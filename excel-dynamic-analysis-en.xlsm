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ico" ContentType="image/.ico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drawings/drawing5.xml" ContentType="application/vnd.openxmlformats-officedocument.drawing+xml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4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5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1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2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6.xml" ContentType="application/vnd.openxmlformats-officedocument.drawing+xml"/>
  <Override PartName="/xl/charts/chart43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4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5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6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7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8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9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0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1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2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7.xml" ContentType="application/vnd.openxmlformats-officedocument.drawing+xml"/>
  <Override PartName="/xl/charts/chart53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4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5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6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7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8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9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0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1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2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8.xml" ContentType="application/vnd.openxmlformats-officedocument.drawing+xml"/>
  <Override PartName="/xl/charts/chart63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4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5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6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7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8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9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70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1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2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2c6326fc6004ca4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ExcelDynamicAnalysis\excel\"/>
    </mc:Choice>
  </mc:AlternateContent>
  <xr:revisionPtr revIDLastSave="0" documentId="8_{6EA1674C-2B09-484F-A77B-2D8911215330}" xr6:coauthVersionLast="47" xr6:coauthVersionMax="47" xr10:uidLastSave="{00000000-0000-0000-0000-000000000000}"/>
  <bookViews>
    <workbookView xWindow="-120" yWindow="-120" windowWidth="29040" windowHeight="15720" tabRatio="714" firstSheet="1" activeTab="1" xr2:uid="{8E062090-D553-4F64-8723-BE6601269431}"/>
  </bookViews>
  <sheets>
    <sheet name="概要" sheetId="1" state="veryHidden" r:id="rId1"/>
    <sheet name="Overview" sheetId="19" r:id="rId2"/>
    <sheet name="Eigenvalue" sheetId="2" r:id="rId3"/>
    <sheet name="AnalysisConditions" sheetId="3" r:id="rId4"/>
    <sheet name="IsolationDevices" sheetId="4" r:id="rId5"/>
    <sheet name="ProductList" sheetId="17" state="veryHidden" r:id="rId6"/>
    <sheet name="制振部材" sheetId="13" state="veryHidden" r:id="rId7"/>
    <sheet name="SeismicWaves" sheetId="6" r:id="rId8"/>
    <sheet name="Wave" sheetId="7" state="veryHidden" r:id="rId9"/>
    <sheet name="Spectrum" sheetId="8" state="veryHidden" r:id="rId10"/>
    <sheet name="X-Direction" sheetId="9" r:id="rId11"/>
    <sheet name="Y-Direction" sheetId="14" r:id="rId12"/>
    <sheet name="U-Direction" sheetId="15" r:id="rId13"/>
    <sheet name="V-Direction" sheetId="16" r:id="rId14"/>
  </sheets>
  <functionGroups builtInGroupCount="19"/>
  <definedNames>
    <definedName name="_xleta.IMPORTCSV" hidden="1" xlm="1">#NAME?</definedName>
    <definedName name="_xleta.ISNUMBER" hidden="1" xlm="1">#NAME?</definedName>
    <definedName name="_xlnm.Print_Area" localSheetId="2">Eigenvalue!$A$1:$B$480</definedName>
    <definedName name="_xlnm.Print_Area" localSheetId="12">'U-Direction'!$A$1:$D$80</definedName>
    <definedName name="_xlnm.Print_Area" localSheetId="13">'V-Direction'!$A$1:$D$80</definedName>
    <definedName name="_xlnm.Print_Area" localSheetId="10">'X-Direction'!$A$1:$D$80</definedName>
    <definedName name="_xlnm.Print_Area" localSheetId="11">'Y-Direction'!$A$1:$D$80</definedName>
    <definedName name="solver_eng" localSheetId="1" hidden="1">1</definedName>
    <definedName name="solver_eng" localSheetId="0" hidden="1">1</definedName>
    <definedName name="solver_neg" localSheetId="1" hidden="1">1</definedName>
    <definedName name="solver_neg" localSheetId="0" hidden="1">1</definedName>
    <definedName name="solver_num" localSheetId="1" hidden="1">0</definedName>
    <definedName name="solver_num" localSheetId="0" hidden="1">0</definedName>
    <definedName name="solver_opt" localSheetId="1" hidden="1">Overview!$A$1</definedName>
    <definedName name="solver_opt" localSheetId="0" hidden="1">概要!$A$1</definedName>
    <definedName name="solver_typ" localSheetId="1" hidden="1">1</definedName>
    <definedName name="solver_typ" localSheetId="0" hidden="1">1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5" i="19" l="1"/>
  <c r="A11" i="19"/>
  <c r="A11" i="1" l="1"/>
  <c r="A5" i="1"/>
  <c r="A41" i="9"/>
  <c r="C4" i="2"/>
  <c r="C5" i="2" s="1"/>
  <c r="C6" i="2" s="1"/>
  <c r="C7" i="2" s="1"/>
  <c r="X9" i="3"/>
  <c r="A41" i="16"/>
  <c r="A79" i="16"/>
  <c r="C79" i="16" s="1"/>
  <c r="A79" i="15"/>
  <c r="C79" i="15" s="1"/>
  <c r="A41" i="15"/>
  <c r="A79" i="14"/>
  <c r="C79" i="14" s="1"/>
  <c r="A41" i="14"/>
  <c r="A79" i="9"/>
  <c r="C79" i="9" s="1"/>
  <c r="X5" i="3"/>
  <c r="C8" i="2" l="1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B4" i="16"/>
  <c r="B3" i="16"/>
  <c r="B2" i="16"/>
  <c r="B1" i="16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B2" i="15"/>
  <c r="B1" i="15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1" i="14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B1" i="9"/>
  <c r="C9" i="2" l="1"/>
  <c r="B2" i="8"/>
  <c r="E2" i="8"/>
  <c r="H2" i="8"/>
  <c r="I2" i="8"/>
  <c r="L2" i="8"/>
  <c r="M2" i="8" s="1"/>
  <c r="B3" i="8"/>
  <c r="E3" i="8"/>
  <c r="H3" i="8"/>
  <c r="I3" i="8"/>
  <c r="L3" i="8"/>
  <c r="M3" i="8" s="1"/>
  <c r="B4" i="8"/>
  <c r="E4" i="8"/>
  <c r="H4" i="8"/>
  <c r="I4" i="8"/>
  <c r="L4" i="8"/>
  <c r="M4" i="8" s="1"/>
  <c r="B5" i="8"/>
  <c r="E5" i="8"/>
  <c r="H5" i="8"/>
  <c r="I5" i="8"/>
  <c r="L5" i="8"/>
  <c r="M5" i="8" s="1"/>
  <c r="B6" i="8"/>
  <c r="E6" i="8"/>
  <c r="H6" i="8"/>
  <c r="I6" i="8"/>
  <c r="L6" i="8"/>
  <c r="M6" i="8" s="1"/>
  <c r="B7" i="8"/>
  <c r="E7" i="8"/>
  <c r="H7" i="8"/>
  <c r="I7" i="8"/>
  <c r="L7" i="8"/>
  <c r="M7" i="8" s="1"/>
  <c r="B8" i="8"/>
  <c r="E8" i="8"/>
  <c r="H8" i="8"/>
  <c r="I8" i="8"/>
  <c r="L8" i="8"/>
  <c r="M8" i="8" s="1"/>
  <c r="B9" i="8"/>
  <c r="E9" i="8"/>
  <c r="H9" i="8"/>
  <c r="I9" i="8"/>
  <c r="L9" i="8"/>
  <c r="M9" i="8" s="1"/>
  <c r="B10" i="8"/>
  <c r="E10" i="8"/>
  <c r="H10" i="8"/>
  <c r="I10" i="8"/>
  <c r="L10" i="8"/>
  <c r="M10" i="8" s="1"/>
  <c r="B11" i="8"/>
  <c r="E11" i="8"/>
  <c r="H11" i="8"/>
  <c r="I11" i="8"/>
  <c r="L11" i="8"/>
  <c r="M11" i="8" s="1"/>
  <c r="B12" i="8"/>
  <c r="E12" i="8"/>
  <c r="H12" i="8"/>
  <c r="I12" i="8"/>
  <c r="L12" i="8"/>
  <c r="M12" i="8" s="1"/>
  <c r="B13" i="8"/>
  <c r="E13" i="8"/>
  <c r="H13" i="8"/>
  <c r="I13" i="8"/>
  <c r="L13" i="8"/>
  <c r="M13" i="8" s="1"/>
  <c r="B14" i="8"/>
  <c r="E14" i="8"/>
  <c r="H14" i="8"/>
  <c r="I14" i="8"/>
  <c r="L14" i="8"/>
  <c r="M14" i="8" s="1"/>
  <c r="B15" i="8"/>
  <c r="E15" i="8"/>
  <c r="H15" i="8"/>
  <c r="I15" i="8"/>
  <c r="L15" i="8"/>
  <c r="M15" i="8" s="1"/>
  <c r="B16" i="8"/>
  <c r="E16" i="8"/>
  <c r="H16" i="8"/>
  <c r="I16" i="8"/>
  <c r="L16" i="8"/>
  <c r="M16" i="8" s="1"/>
  <c r="B17" i="8"/>
  <c r="E17" i="8"/>
  <c r="H17" i="8"/>
  <c r="I17" i="8"/>
  <c r="L17" i="8"/>
  <c r="M17" i="8" s="1"/>
  <c r="B18" i="8"/>
  <c r="E18" i="8"/>
  <c r="H18" i="8"/>
  <c r="I18" i="8"/>
  <c r="L18" i="8"/>
  <c r="M18" i="8" s="1"/>
  <c r="B19" i="8"/>
  <c r="E19" i="8"/>
  <c r="H19" i="8"/>
  <c r="I19" i="8"/>
  <c r="L19" i="8"/>
  <c r="M19" i="8" s="1"/>
  <c r="B20" i="8"/>
  <c r="E20" i="8"/>
  <c r="H20" i="8"/>
  <c r="I20" i="8"/>
  <c r="B21" i="8"/>
  <c r="E21" i="8"/>
  <c r="H21" i="8"/>
  <c r="I21" i="8"/>
  <c r="B22" i="8"/>
  <c r="E22" i="8"/>
  <c r="H22" i="8"/>
  <c r="I22" i="8"/>
  <c r="B23" i="8"/>
  <c r="E23" i="8"/>
  <c r="H23" i="8"/>
  <c r="I23" i="8"/>
  <c r="B24" i="8"/>
  <c r="E24" i="8"/>
  <c r="H24" i="8"/>
  <c r="I24" i="8"/>
  <c r="B25" i="8"/>
  <c r="E25" i="8"/>
  <c r="H25" i="8"/>
  <c r="I25" i="8"/>
  <c r="B26" i="8"/>
  <c r="E26" i="8"/>
  <c r="H26" i="8"/>
  <c r="I26" i="8"/>
  <c r="B27" i="8"/>
  <c r="E27" i="8"/>
  <c r="H27" i="8"/>
  <c r="I27" i="8"/>
  <c r="B28" i="8"/>
  <c r="E28" i="8"/>
  <c r="H28" i="8"/>
  <c r="I28" i="8"/>
  <c r="B29" i="8"/>
  <c r="E29" i="8"/>
  <c r="H29" i="8"/>
  <c r="I29" i="8"/>
  <c r="B30" i="8"/>
  <c r="E30" i="8"/>
  <c r="H30" i="8"/>
  <c r="I30" i="8"/>
  <c r="B31" i="8"/>
  <c r="E31" i="8"/>
  <c r="H31" i="8"/>
  <c r="I31" i="8"/>
  <c r="B32" i="8"/>
  <c r="E32" i="8"/>
  <c r="H32" i="8"/>
  <c r="I32" i="8"/>
  <c r="B33" i="8"/>
  <c r="E33" i="8"/>
  <c r="H33" i="8"/>
  <c r="I33" i="8"/>
  <c r="B34" i="8"/>
  <c r="E34" i="8"/>
  <c r="H34" i="8"/>
  <c r="I34" i="8"/>
  <c r="B35" i="8"/>
  <c r="E35" i="8"/>
  <c r="H35" i="8"/>
  <c r="I35" i="8"/>
  <c r="B36" i="8"/>
  <c r="E36" i="8"/>
  <c r="H36" i="8"/>
  <c r="I36" i="8"/>
  <c r="B37" i="8"/>
  <c r="E37" i="8"/>
  <c r="H37" i="8"/>
  <c r="I37" i="8"/>
  <c r="B38" i="8"/>
  <c r="E38" i="8"/>
  <c r="H38" i="8"/>
  <c r="I38" i="8"/>
  <c r="B39" i="8"/>
  <c r="E39" i="8"/>
  <c r="H39" i="8"/>
  <c r="I39" i="8"/>
  <c r="B40" i="8"/>
  <c r="E40" i="8"/>
  <c r="H40" i="8"/>
  <c r="I40" i="8"/>
  <c r="B41" i="8"/>
  <c r="E41" i="8"/>
  <c r="H41" i="8"/>
  <c r="I41" i="8"/>
  <c r="B42" i="8"/>
  <c r="E42" i="8"/>
  <c r="H42" i="8"/>
  <c r="I42" i="8"/>
  <c r="B43" i="8"/>
  <c r="E43" i="8"/>
  <c r="H43" i="8"/>
  <c r="I43" i="8"/>
  <c r="B44" i="8"/>
  <c r="E44" i="8"/>
  <c r="H44" i="8"/>
  <c r="I44" i="8"/>
  <c r="B45" i="8"/>
  <c r="E45" i="8"/>
  <c r="H45" i="8"/>
  <c r="I45" i="8"/>
  <c r="B46" i="8"/>
  <c r="E46" i="8"/>
  <c r="H46" i="8"/>
  <c r="I46" i="8"/>
  <c r="B47" i="8"/>
  <c r="E47" i="8"/>
  <c r="H47" i="8"/>
  <c r="I47" i="8"/>
  <c r="B48" i="8"/>
  <c r="E48" i="8"/>
  <c r="H48" i="8"/>
  <c r="I48" i="8"/>
  <c r="B49" i="8"/>
  <c r="E49" i="8"/>
  <c r="H49" i="8"/>
  <c r="I49" i="8"/>
  <c r="B50" i="8"/>
  <c r="E50" i="8"/>
  <c r="H50" i="8"/>
  <c r="I50" i="8"/>
  <c r="B51" i="8"/>
  <c r="E51" i="8"/>
  <c r="H51" i="8"/>
  <c r="I51" i="8"/>
  <c r="B52" i="8"/>
  <c r="E52" i="8"/>
  <c r="H52" i="8"/>
  <c r="I52" i="8"/>
  <c r="B53" i="8"/>
  <c r="E53" i="8"/>
  <c r="H53" i="8"/>
  <c r="I53" i="8"/>
  <c r="B54" i="8"/>
  <c r="E54" i="8"/>
  <c r="H54" i="8"/>
  <c r="I54" i="8"/>
  <c r="B55" i="8"/>
  <c r="E55" i="8"/>
  <c r="H55" i="8"/>
  <c r="I55" i="8"/>
  <c r="B56" i="8"/>
  <c r="E56" i="8"/>
  <c r="H56" i="8"/>
  <c r="I56" i="8"/>
  <c r="B57" i="8"/>
  <c r="E57" i="8"/>
  <c r="H57" i="8"/>
  <c r="I57" i="8"/>
  <c r="B58" i="8"/>
  <c r="E58" i="8"/>
  <c r="H58" i="8"/>
  <c r="I58" i="8"/>
  <c r="B59" i="8"/>
  <c r="E59" i="8"/>
  <c r="H59" i="8"/>
  <c r="I59" i="8"/>
  <c r="B60" i="8"/>
  <c r="E60" i="8"/>
  <c r="H60" i="8"/>
  <c r="I60" i="8"/>
  <c r="H61" i="8"/>
  <c r="I61" i="8"/>
  <c r="H62" i="8"/>
  <c r="I62" i="8"/>
  <c r="H63" i="8"/>
  <c r="I63" i="8"/>
  <c r="H64" i="8"/>
  <c r="I64" i="8"/>
  <c r="L3" i="6"/>
  <c r="L4" i="6"/>
  <c r="M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U57" i="4"/>
  <c r="BH155" i="3"/>
  <c r="BG155" i="3"/>
  <c r="BD155" i="3"/>
  <c r="BF155" i="3" s="1"/>
  <c r="BC155" i="3"/>
  <c r="BE155" i="3" s="1"/>
  <c r="BH154" i="3"/>
  <c r="BG154" i="3"/>
  <c r="BD154" i="3"/>
  <c r="BF154" i="3" s="1"/>
  <c r="BC154" i="3"/>
  <c r="BE154" i="3" s="1"/>
  <c r="BH153" i="3"/>
  <c r="BG153" i="3"/>
  <c r="BD153" i="3"/>
  <c r="BF153" i="3" s="1"/>
  <c r="BC153" i="3"/>
  <c r="BE153" i="3" s="1"/>
  <c r="BH152" i="3"/>
  <c r="BG152" i="3"/>
  <c r="BD152" i="3"/>
  <c r="BF152" i="3" s="1"/>
  <c r="BC152" i="3"/>
  <c r="BE152" i="3" s="1"/>
  <c r="BH151" i="3"/>
  <c r="BG151" i="3"/>
  <c r="BD151" i="3"/>
  <c r="BF151" i="3" s="1"/>
  <c r="BC151" i="3"/>
  <c r="BE151" i="3" s="1"/>
  <c r="BH150" i="3"/>
  <c r="BG150" i="3"/>
  <c r="BD150" i="3"/>
  <c r="BF150" i="3" s="1"/>
  <c r="BC150" i="3"/>
  <c r="BE150" i="3" s="1"/>
  <c r="BH149" i="3"/>
  <c r="BG149" i="3"/>
  <c r="BD149" i="3"/>
  <c r="BF149" i="3" s="1"/>
  <c r="BC149" i="3"/>
  <c r="BE149" i="3" s="1"/>
  <c r="BH148" i="3"/>
  <c r="BG148" i="3"/>
  <c r="BD148" i="3"/>
  <c r="BF148" i="3" s="1"/>
  <c r="BC148" i="3"/>
  <c r="BE148" i="3" s="1"/>
  <c r="BH147" i="3"/>
  <c r="BG147" i="3"/>
  <c r="BD147" i="3"/>
  <c r="BF147" i="3" s="1"/>
  <c r="BC147" i="3"/>
  <c r="BE147" i="3" s="1"/>
  <c r="BH146" i="3"/>
  <c r="BG146" i="3"/>
  <c r="BD146" i="3"/>
  <c r="BF146" i="3" s="1"/>
  <c r="BC146" i="3"/>
  <c r="BE146" i="3" s="1"/>
  <c r="BH145" i="3"/>
  <c r="BG145" i="3"/>
  <c r="BD145" i="3"/>
  <c r="BF145" i="3" s="1"/>
  <c r="BC145" i="3"/>
  <c r="BE145" i="3" s="1"/>
  <c r="BH144" i="3"/>
  <c r="BG144" i="3"/>
  <c r="BD144" i="3"/>
  <c r="BF144" i="3" s="1"/>
  <c r="BC144" i="3"/>
  <c r="BE144" i="3" s="1"/>
  <c r="BH143" i="3"/>
  <c r="BG143" i="3"/>
  <c r="BD143" i="3"/>
  <c r="BF143" i="3" s="1"/>
  <c r="BC143" i="3"/>
  <c r="BE143" i="3" s="1"/>
  <c r="BH142" i="3"/>
  <c r="BG142" i="3"/>
  <c r="BD142" i="3"/>
  <c r="BF142" i="3" s="1"/>
  <c r="BC142" i="3"/>
  <c r="BE142" i="3" s="1"/>
  <c r="BH141" i="3"/>
  <c r="BG141" i="3"/>
  <c r="BD141" i="3"/>
  <c r="BF141" i="3" s="1"/>
  <c r="BC141" i="3"/>
  <c r="BE141" i="3" s="1"/>
  <c r="BH140" i="3"/>
  <c r="BG140" i="3"/>
  <c r="BD140" i="3"/>
  <c r="BF140" i="3" s="1"/>
  <c r="BC140" i="3"/>
  <c r="BE140" i="3" s="1"/>
  <c r="BH139" i="3"/>
  <c r="BG139" i="3"/>
  <c r="BD139" i="3"/>
  <c r="BF139" i="3" s="1"/>
  <c r="BC139" i="3"/>
  <c r="BE139" i="3" s="1"/>
  <c r="BH138" i="3"/>
  <c r="BG138" i="3"/>
  <c r="BD138" i="3"/>
  <c r="BF138" i="3" s="1"/>
  <c r="BC138" i="3"/>
  <c r="BE138" i="3" s="1"/>
  <c r="BH137" i="3"/>
  <c r="BG137" i="3"/>
  <c r="BD137" i="3"/>
  <c r="BF137" i="3" s="1"/>
  <c r="BC137" i="3"/>
  <c r="BE137" i="3" s="1"/>
  <c r="BH136" i="3"/>
  <c r="BG136" i="3"/>
  <c r="BD136" i="3"/>
  <c r="BF136" i="3" s="1"/>
  <c r="BC136" i="3"/>
  <c r="BE136" i="3" s="1"/>
  <c r="BH135" i="3"/>
  <c r="BG135" i="3"/>
  <c r="BD135" i="3"/>
  <c r="BF135" i="3" s="1"/>
  <c r="BC135" i="3"/>
  <c r="BE135" i="3" s="1"/>
  <c r="BH134" i="3"/>
  <c r="BG134" i="3"/>
  <c r="BD134" i="3"/>
  <c r="BF134" i="3" s="1"/>
  <c r="BC134" i="3"/>
  <c r="BE134" i="3" s="1"/>
  <c r="BH133" i="3"/>
  <c r="BG133" i="3"/>
  <c r="BD133" i="3"/>
  <c r="BF133" i="3" s="1"/>
  <c r="BC133" i="3"/>
  <c r="BE133" i="3" s="1"/>
  <c r="BH132" i="3"/>
  <c r="BG132" i="3"/>
  <c r="BD132" i="3"/>
  <c r="BF132" i="3" s="1"/>
  <c r="BC132" i="3"/>
  <c r="BE132" i="3" s="1"/>
  <c r="BH131" i="3"/>
  <c r="BG131" i="3"/>
  <c r="BD131" i="3"/>
  <c r="BF131" i="3" s="1"/>
  <c r="BC131" i="3"/>
  <c r="BE131" i="3" s="1"/>
  <c r="BH130" i="3"/>
  <c r="BG130" i="3"/>
  <c r="BD130" i="3"/>
  <c r="BF130" i="3" s="1"/>
  <c r="BC130" i="3"/>
  <c r="BE130" i="3" s="1"/>
  <c r="BH129" i="3"/>
  <c r="BG129" i="3"/>
  <c r="BD129" i="3"/>
  <c r="BF129" i="3" s="1"/>
  <c r="BC129" i="3"/>
  <c r="BE129" i="3" s="1"/>
  <c r="BH128" i="3"/>
  <c r="BG128" i="3"/>
  <c r="BD128" i="3"/>
  <c r="BF128" i="3" s="1"/>
  <c r="BC128" i="3"/>
  <c r="BE128" i="3" s="1"/>
  <c r="BH127" i="3"/>
  <c r="BG127" i="3"/>
  <c r="BD127" i="3"/>
  <c r="BF127" i="3" s="1"/>
  <c r="BC127" i="3"/>
  <c r="BE127" i="3" s="1"/>
  <c r="BH126" i="3"/>
  <c r="BG126" i="3"/>
  <c r="BD126" i="3"/>
  <c r="BF126" i="3" s="1"/>
  <c r="BC126" i="3"/>
  <c r="BE126" i="3" s="1"/>
  <c r="BH125" i="3"/>
  <c r="BG125" i="3"/>
  <c r="BD125" i="3"/>
  <c r="BF125" i="3" s="1"/>
  <c r="BC125" i="3"/>
  <c r="BE125" i="3" s="1"/>
  <c r="BH124" i="3"/>
  <c r="BG124" i="3"/>
  <c r="BD124" i="3"/>
  <c r="BF124" i="3" s="1"/>
  <c r="BC124" i="3"/>
  <c r="BE124" i="3" s="1"/>
  <c r="BH123" i="3"/>
  <c r="BG123" i="3"/>
  <c r="BD123" i="3"/>
  <c r="BF123" i="3" s="1"/>
  <c r="BC123" i="3"/>
  <c r="BE123" i="3" s="1"/>
  <c r="BH122" i="3"/>
  <c r="BG122" i="3"/>
  <c r="BD122" i="3"/>
  <c r="BF122" i="3" s="1"/>
  <c r="BC122" i="3"/>
  <c r="BE122" i="3" s="1"/>
  <c r="BH121" i="3"/>
  <c r="BG121" i="3"/>
  <c r="BD121" i="3"/>
  <c r="BF121" i="3" s="1"/>
  <c r="BC121" i="3"/>
  <c r="BE121" i="3" s="1"/>
  <c r="BH120" i="3"/>
  <c r="BG120" i="3"/>
  <c r="BD120" i="3"/>
  <c r="BF120" i="3" s="1"/>
  <c r="BC120" i="3"/>
  <c r="BE120" i="3" s="1"/>
  <c r="BH119" i="3"/>
  <c r="BG119" i="3"/>
  <c r="BD119" i="3"/>
  <c r="BF119" i="3" s="1"/>
  <c r="BC119" i="3"/>
  <c r="BE119" i="3" s="1"/>
  <c r="BH118" i="3"/>
  <c r="BG118" i="3"/>
  <c r="BD118" i="3"/>
  <c r="BF118" i="3" s="1"/>
  <c r="BC118" i="3"/>
  <c r="BE118" i="3" s="1"/>
  <c r="BH117" i="3"/>
  <c r="BG117" i="3"/>
  <c r="BD117" i="3"/>
  <c r="BF117" i="3" s="1"/>
  <c r="BC117" i="3"/>
  <c r="BE117" i="3" s="1"/>
  <c r="BH116" i="3"/>
  <c r="BG116" i="3"/>
  <c r="BD116" i="3"/>
  <c r="BF116" i="3" s="1"/>
  <c r="BC116" i="3"/>
  <c r="BE116" i="3" s="1"/>
  <c r="BH115" i="3"/>
  <c r="BG115" i="3"/>
  <c r="BD115" i="3"/>
  <c r="BF115" i="3" s="1"/>
  <c r="BC115" i="3"/>
  <c r="BE115" i="3" s="1"/>
  <c r="BH114" i="3"/>
  <c r="BG114" i="3"/>
  <c r="BD114" i="3"/>
  <c r="BF114" i="3" s="1"/>
  <c r="BC114" i="3"/>
  <c r="BE114" i="3" s="1"/>
  <c r="BH113" i="3"/>
  <c r="BG113" i="3"/>
  <c r="BD113" i="3"/>
  <c r="BF113" i="3" s="1"/>
  <c r="BC113" i="3"/>
  <c r="BE113" i="3" s="1"/>
  <c r="BH112" i="3"/>
  <c r="BG112" i="3"/>
  <c r="BD112" i="3"/>
  <c r="BF112" i="3" s="1"/>
  <c r="BC112" i="3"/>
  <c r="BE112" i="3" s="1"/>
  <c r="BH111" i="3"/>
  <c r="BG111" i="3"/>
  <c r="BD111" i="3"/>
  <c r="BF111" i="3" s="1"/>
  <c r="BC111" i="3"/>
  <c r="BE111" i="3" s="1"/>
  <c r="BH110" i="3"/>
  <c r="BG110" i="3"/>
  <c r="BD110" i="3"/>
  <c r="BF110" i="3" s="1"/>
  <c r="BC110" i="3"/>
  <c r="BE110" i="3" s="1"/>
  <c r="BH109" i="3"/>
  <c r="BG109" i="3"/>
  <c r="BD109" i="3"/>
  <c r="BF109" i="3" s="1"/>
  <c r="BC109" i="3"/>
  <c r="BE109" i="3" s="1"/>
  <c r="BH108" i="3"/>
  <c r="BG108" i="3"/>
  <c r="BD108" i="3"/>
  <c r="BF108" i="3" s="1"/>
  <c r="BC108" i="3"/>
  <c r="BE108" i="3" s="1"/>
  <c r="BH107" i="3"/>
  <c r="BG107" i="3"/>
  <c r="BD107" i="3"/>
  <c r="BF107" i="3" s="1"/>
  <c r="BC107" i="3"/>
  <c r="BE107" i="3" s="1"/>
  <c r="BH106" i="3"/>
  <c r="BG106" i="3"/>
  <c r="BD106" i="3"/>
  <c r="BF106" i="3" s="1"/>
  <c r="BC106" i="3"/>
  <c r="BE106" i="3" s="1"/>
  <c r="A3" i="3"/>
  <c r="A209" i="3" s="1"/>
  <c r="X7" i="3"/>
  <c r="C10" i="2" l="1"/>
  <c r="C24" i="6"/>
  <c r="A106" i="3"/>
  <c r="C11" i="2" l="1"/>
  <c r="C12" i="2" s="1"/>
  <c r="A4" i="3"/>
  <c r="A5" i="3"/>
  <c r="C13" i="2" l="1"/>
  <c r="C14" i="2" s="1"/>
  <c r="A211" i="3"/>
  <c r="A108" i="3"/>
  <c r="A210" i="3"/>
  <c r="A107" i="3"/>
  <c r="A6" i="3"/>
  <c r="C15" i="2" l="1"/>
  <c r="A109" i="3"/>
  <c r="A212" i="3"/>
  <c r="C16" i="2" l="1"/>
  <c r="A8" i="3"/>
  <c r="C17" i="2" l="1"/>
  <c r="A7" i="3"/>
  <c r="A214" i="3"/>
  <c r="A111" i="3"/>
  <c r="A9" i="3"/>
  <c r="C18" i="2" l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A10" i="3"/>
  <c r="A216" i="3" s="1"/>
  <c r="A213" i="3"/>
  <c r="A110" i="3"/>
  <c r="A112" i="3"/>
  <c r="A215" i="3"/>
  <c r="A113" i="3" l="1"/>
  <c r="A12" i="3"/>
  <c r="A13" i="3" l="1"/>
  <c r="A11" i="3"/>
  <c r="A217" i="3" s="1"/>
  <c r="A115" i="3"/>
  <c r="A218" i="3"/>
  <c r="A114" i="3" l="1"/>
  <c r="A116" i="3"/>
  <c r="A219" i="3"/>
  <c r="A14" i="3"/>
  <c r="A117" i="3" l="1"/>
  <c r="A220" i="3"/>
  <c r="A15" i="3"/>
  <c r="A118" i="3" l="1"/>
  <c r="A221" i="3"/>
  <c r="A16" i="3"/>
  <c r="A222" i="3" l="1"/>
  <c r="A119" i="3"/>
  <c r="A17" i="3"/>
  <c r="A223" i="3" l="1"/>
  <c r="A120" i="3"/>
  <c r="A18" i="3"/>
  <c r="A224" i="3" l="1"/>
  <c r="A121" i="3"/>
  <c r="A19" i="3"/>
  <c r="A225" i="3" l="1"/>
  <c r="A122" i="3"/>
  <c r="A20" i="3"/>
  <c r="A226" i="3" l="1"/>
  <c r="A123" i="3"/>
  <c r="A21" i="3"/>
  <c r="A227" i="3" l="1"/>
  <c r="A124" i="3"/>
  <c r="A22" i="3"/>
  <c r="A228" i="3" l="1"/>
  <c r="A125" i="3"/>
  <c r="A23" i="3"/>
  <c r="A126" i="3" l="1"/>
  <c r="A229" i="3"/>
  <c r="A24" i="3"/>
  <c r="A230" i="3" l="1"/>
  <c r="A127" i="3"/>
  <c r="A25" i="3"/>
  <c r="A128" i="3" l="1"/>
  <c r="A231" i="3"/>
  <c r="A26" i="3"/>
  <c r="A232" i="3" l="1"/>
  <c r="A129" i="3"/>
  <c r="A27" i="3"/>
  <c r="A130" i="3" l="1"/>
  <c r="A233" i="3"/>
  <c r="A28" i="3"/>
  <c r="A234" i="3" l="1"/>
  <c r="A131" i="3"/>
  <c r="A29" i="3"/>
  <c r="A235" i="3" l="1"/>
  <c r="A132" i="3"/>
  <c r="A30" i="3"/>
  <c r="A133" i="3" l="1"/>
  <c r="A236" i="3"/>
  <c r="A31" i="3"/>
  <c r="A237" i="3" l="1"/>
  <c r="A134" i="3"/>
  <c r="A32" i="3"/>
  <c r="A135" i="3" l="1"/>
  <c r="A238" i="3"/>
  <c r="A33" i="3"/>
  <c r="A136" i="3" l="1"/>
  <c r="A239" i="3"/>
  <c r="A34" i="3"/>
  <c r="A137" i="3" l="1"/>
  <c r="A240" i="3"/>
  <c r="A35" i="3"/>
  <c r="A241" i="3" l="1"/>
  <c r="A138" i="3"/>
  <c r="A36" i="3"/>
  <c r="A242" i="3" l="1"/>
  <c r="A139" i="3"/>
  <c r="A37" i="3"/>
  <c r="A243" i="3" l="1"/>
  <c r="A140" i="3"/>
  <c r="A38" i="3"/>
  <c r="A244" i="3" l="1"/>
  <c r="A141" i="3"/>
  <c r="A39" i="3"/>
  <c r="A245" i="3" l="1"/>
  <c r="A142" i="3"/>
  <c r="A40" i="3"/>
  <c r="A246" i="3" l="1"/>
  <c r="A143" i="3"/>
  <c r="A41" i="3"/>
  <c r="A247" i="3" l="1"/>
  <c r="A144" i="3"/>
  <c r="A42" i="3"/>
  <c r="A145" i="3" l="1"/>
  <c r="A248" i="3"/>
  <c r="A43" i="3"/>
  <c r="A249" i="3" l="1"/>
  <c r="A146" i="3"/>
  <c r="A44" i="3"/>
  <c r="A250" i="3" l="1"/>
  <c r="A147" i="3"/>
  <c r="A45" i="3"/>
  <c r="A251" i="3" l="1"/>
  <c r="A148" i="3"/>
  <c r="A46" i="3"/>
  <c r="A149" i="3" l="1"/>
  <c r="A252" i="3"/>
  <c r="A47" i="3"/>
  <c r="A253" i="3" l="1"/>
  <c r="A150" i="3"/>
  <c r="A48" i="3"/>
  <c r="A254" i="3" l="1"/>
  <c r="A151" i="3"/>
  <c r="A49" i="3"/>
  <c r="A255" i="3" l="1"/>
  <c r="A152" i="3"/>
  <c r="A50" i="3"/>
  <c r="A256" i="3" l="1"/>
  <c r="A153" i="3"/>
  <c r="D54" i="2"/>
  <c r="A51" i="3"/>
  <c r="F54" i="2"/>
  <c r="I54" i="2"/>
  <c r="G54" i="2"/>
  <c r="P54" i="2"/>
  <c r="N54" i="2"/>
  <c r="O54" i="2"/>
  <c r="Q54" i="2"/>
  <c r="H54" i="2"/>
  <c r="A257" i="3" l="1"/>
  <c r="A154" i="3"/>
  <c r="D53" i="2"/>
  <c r="Q53" i="2"/>
  <c r="I53" i="2"/>
  <c r="O53" i="2"/>
  <c r="P53" i="2"/>
  <c r="N53" i="2"/>
  <c r="F53" i="2"/>
  <c r="G53" i="2"/>
  <c r="H53" i="2"/>
  <c r="S22" i="2" l="1"/>
  <c r="A52" i="3"/>
  <c r="S25" i="2" l="1"/>
  <c r="S26" i="2"/>
  <c r="S23" i="2"/>
  <c r="S24" i="2"/>
  <c r="A155" i="3"/>
  <c r="A25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柳濟晟</author>
  </authors>
  <commentList>
    <comment ref="M1" authorId="0" shapeId="0" xr:uid="{76948A58-3C52-4365-B13A-E5B4225FC28E}">
      <text>
        <r>
          <rPr>
            <sz val="10"/>
            <color indexed="81"/>
            <rFont val="MS P ゴシック"/>
            <family val="3"/>
            <charset val="128"/>
          </rPr>
          <t>数式の場合はL(mm)を手入力してKdを計算する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柳濟晟</author>
  </authors>
  <commentList>
    <comment ref="F2" authorId="0" shapeId="0" xr:uid="{E2F7472F-E3AD-40D5-9A75-03B4259955CE}">
      <text>
        <r>
          <rPr>
            <sz val="10"/>
            <color indexed="81"/>
            <rFont val="ＭＳ ゴシック"/>
            <family val="3"/>
            <charset val="128"/>
          </rPr>
          <t>[入力例]
・空白の場合：倍率をかけません。
・数字の場合：1.23 → 地震波を1.23倍します。
・数字の最後にAを付ける場合：123.45A → 最大加速度が123.45となるように倍率をかけます。</t>
        </r>
      </text>
    </comment>
    <comment ref="G2" authorId="0" shapeId="0" xr:uid="{0393DFD3-EB6C-483D-B839-F6E1CFD6856F}">
      <text>
        <r>
          <rPr>
            <sz val="10"/>
            <color indexed="81"/>
            <rFont val="ＭＳ ゴシック"/>
            <family val="3"/>
            <charset val="128"/>
          </rPr>
          <t>・L1   ：レベル1地震波
・L2   ：レベル2地震波
・L1&amp;L2：レベル1&amp;レベル2地震波(レベル1の入力加速度はレベル2の半分とします)</t>
        </r>
      </text>
    </comment>
  </commentList>
</comments>
</file>

<file path=xl/sharedStrings.xml><?xml version="1.0" encoding="utf-8"?>
<sst xmlns="http://schemas.openxmlformats.org/spreadsheetml/2006/main" count="884" uniqueCount="410">
  <si>
    <r>
      <t>(</t>
    </r>
    <r>
      <rPr>
        <sz val="10"/>
        <color rgb="FFFF0000"/>
        <rFont val="ＭＳ ゴシック"/>
        <family val="3"/>
        <charset val="128"/>
      </rPr>
      <t>kN</t>
    </r>
    <r>
      <rPr>
        <sz val="10"/>
        <rFont val="ＭＳ ゴシック"/>
        <family val="3"/>
        <charset val="128"/>
      </rPr>
      <t>)</t>
    </r>
    <phoneticPr fontId="5"/>
  </si>
  <si>
    <r>
      <t>(</t>
    </r>
    <r>
      <rPr>
        <sz val="10"/>
        <color rgb="FFFF0000"/>
        <rFont val="ＭＳ ゴシック"/>
        <family val="3"/>
        <charset val="128"/>
      </rPr>
      <t>cm</t>
    </r>
    <r>
      <rPr>
        <sz val="10"/>
        <rFont val="ＭＳ ゴシック"/>
        <family val="3"/>
        <charset val="128"/>
      </rPr>
      <t>)</t>
    </r>
    <phoneticPr fontId="5"/>
  </si>
  <si>
    <t>X方向</t>
    <rPh sb="1" eb="3">
      <t>ホウコウ</t>
    </rPh>
    <phoneticPr fontId="3"/>
  </si>
  <si>
    <t>Y方向</t>
    <phoneticPr fontId="5"/>
  </si>
  <si>
    <t>U方向</t>
    <phoneticPr fontId="5"/>
  </si>
  <si>
    <t>V方向</t>
    <phoneticPr fontId="5"/>
  </si>
  <si>
    <t>Y方向</t>
  </si>
  <si>
    <t>U方向</t>
  </si>
  <si>
    <t>V方向</t>
  </si>
  <si>
    <t>免震層</t>
    <rPh sb="0" eb="3">
      <t>メンシ</t>
    </rPh>
    <phoneticPr fontId="5"/>
  </si>
  <si>
    <t>[X]</t>
  </si>
  <si>
    <t>最上階→</t>
    <phoneticPr fontId="5"/>
  </si>
  <si>
    <r>
      <t>重量(</t>
    </r>
    <r>
      <rPr>
        <sz val="10"/>
        <color rgb="FFFF0000"/>
        <rFont val="ＭＳ ゴシック"/>
        <family val="3"/>
        <charset val="128"/>
      </rPr>
      <t>kN</t>
    </r>
    <r>
      <rPr>
        <sz val="10"/>
        <color theme="1"/>
        <rFont val="ＭＳ ゴシック"/>
        <family val="3"/>
        <charset val="128"/>
      </rPr>
      <t>)</t>
    </r>
    <rPh sb="0" eb="2">
      <t>ジュウリョウ</t>
    </rPh>
    <phoneticPr fontId="5"/>
  </si>
  <si>
    <t>1次</t>
  </si>
  <si>
    <r>
      <t>構造階高(</t>
    </r>
    <r>
      <rPr>
        <sz val="10"/>
        <color rgb="FFFF0000"/>
        <rFont val="ＭＳ ゴシック"/>
        <family val="3"/>
        <charset val="128"/>
      </rPr>
      <t>cm</t>
    </r>
    <r>
      <rPr>
        <sz val="10"/>
        <color theme="1"/>
        <rFont val="ＭＳ ゴシック"/>
        <family val="3"/>
        <charset val="128"/>
      </rPr>
      <t>)</t>
    </r>
    <rPh sb="0" eb="2">
      <t>コウゾウ</t>
    </rPh>
    <rPh sb="2" eb="4">
      <t>カイダカ</t>
    </rPh>
    <phoneticPr fontId="5"/>
  </si>
  <si>
    <t>2次</t>
  </si>
  <si>
    <r>
      <t>L1等価剛性(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4">
      <t>トウカ</t>
    </rPh>
    <rPh sb="4" eb="6">
      <t>ゴウセイ</t>
    </rPh>
    <phoneticPr fontId="5"/>
  </si>
  <si>
    <t>3次</t>
  </si>
  <si>
    <r>
      <t>L2等価剛性(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4">
      <t>トウカ</t>
    </rPh>
    <rPh sb="4" eb="6">
      <t>ゴウセイ</t>
    </rPh>
    <phoneticPr fontId="5"/>
  </si>
  <si>
    <t>4次</t>
  </si>
  <si>
    <t>5次</t>
  </si>
  <si>
    <t>スウェイ</t>
  </si>
  <si>
    <t>6次</t>
  </si>
  <si>
    <r>
      <t>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0" eb="2">
      <t>ゴウセイ</t>
    </rPh>
    <phoneticPr fontId="5"/>
  </si>
  <si>
    <r>
      <t>減衰係数(</t>
    </r>
    <r>
      <rPr>
        <sz val="10"/>
        <color rgb="FFFF0000"/>
        <rFont val="ＭＳ ゴシック"/>
        <family val="3"/>
        <charset val="128"/>
      </rPr>
      <t>kN･sec/cm</t>
    </r>
    <r>
      <rPr>
        <sz val="10"/>
        <color theme="1"/>
        <rFont val="ＭＳ ゴシック"/>
        <family val="3"/>
        <charset val="128"/>
      </rPr>
      <t>)</t>
    </r>
    <rPh sb="0" eb="2">
      <t>ゲンスイ</t>
    </rPh>
    <rPh sb="2" eb="4">
      <t>ケイスウ</t>
    </rPh>
    <phoneticPr fontId="5"/>
  </si>
  <si>
    <t>[Y]</t>
  </si>
  <si>
    <t>ロッキング</t>
  </si>
  <si>
    <r>
      <t>慣性モーメント(</t>
    </r>
    <r>
      <rPr>
        <sz val="10"/>
        <color rgb="FFFF0000"/>
        <rFont val="ＭＳ ゴシック"/>
        <family val="3"/>
        <charset val="128"/>
      </rPr>
      <t>kN･cm2</t>
    </r>
    <r>
      <rPr>
        <sz val="10"/>
        <color theme="1"/>
        <rFont val="ＭＳ ゴシック"/>
        <family val="3"/>
        <charset val="128"/>
      </rPr>
      <t>)</t>
    </r>
    <rPh sb="0" eb="2">
      <t>カンセイ</t>
    </rPh>
    <phoneticPr fontId="5"/>
  </si>
  <si>
    <r>
      <t>剛性(</t>
    </r>
    <r>
      <rPr>
        <sz val="10"/>
        <color rgb="FFFF0000"/>
        <rFont val="ＭＳ ゴシック"/>
        <family val="3"/>
        <charset val="128"/>
      </rPr>
      <t>kN･cm/rad</t>
    </r>
    <r>
      <rPr>
        <sz val="10"/>
        <color theme="1"/>
        <rFont val="ＭＳ ゴシック"/>
        <family val="3"/>
        <charset val="128"/>
      </rPr>
      <t>)</t>
    </r>
    <rPh sb="0" eb="2">
      <t>ゴウセイ</t>
    </rPh>
    <phoneticPr fontId="5"/>
  </si>
  <si>
    <r>
      <t>減衰係数(</t>
    </r>
    <r>
      <rPr>
        <sz val="10"/>
        <color rgb="FFFF0000"/>
        <rFont val="ＭＳ ゴシック"/>
        <family val="3"/>
        <charset val="128"/>
      </rPr>
      <t>kN･cm･sec/rad</t>
    </r>
    <r>
      <rPr>
        <sz val="10"/>
        <color theme="1"/>
        <rFont val="ＭＳ ゴシック"/>
        <family val="3"/>
        <charset val="128"/>
      </rPr>
      <t>)</t>
    </r>
    <rPh sb="0" eb="2">
      <t>ゲンスイ</t>
    </rPh>
    <rPh sb="2" eb="4">
      <t>ケイスウ</t>
    </rPh>
    <phoneticPr fontId="5"/>
  </si>
  <si>
    <t>比例減衰の種類</t>
    <rPh sb="0" eb="2">
      <t>ヒレイ</t>
    </rPh>
    <rPh sb="2" eb="4">
      <t>ゲンスイ</t>
    </rPh>
    <rPh sb="5" eb="7">
      <t>シュルイ</t>
    </rPh>
    <phoneticPr fontId="5"/>
  </si>
  <si>
    <t>減衰定数(1次モード)</t>
    <rPh sb="0" eb="2">
      <t>ゲンスイ</t>
    </rPh>
    <rPh sb="2" eb="4">
      <t>ジョウスウ</t>
    </rPh>
    <phoneticPr fontId="5"/>
  </si>
  <si>
    <t>減衰定数(2次モード)</t>
    <rPh sb="0" eb="2">
      <t>ゲンスイ</t>
    </rPh>
    <rPh sb="2" eb="4">
      <t>ジョウスウ</t>
    </rPh>
    <phoneticPr fontId="5"/>
  </si>
  <si>
    <t>モデルタイプ</t>
    <phoneticPr fontId="5"/>
  </si>
  <si>
    <t>X方向</t>
    <rPh sb="1" eb="3">
      <t>ホウコウ</t>
    </rPh>
    <phoneticPr fontId="5"/>
  </si>
  <si>
    <t>Y方向</t>
    <rPh sb="1" eb="3">
      <t>ホウコウ</t>
    </rPh>
    <phoneticPr fontId="5"/>
  </si>
  <si>
    <t>U方向</t>
    <rPh sb="1" eb="3">
      <t>ホウコウ</t>
    </rPh>
    <phoneticPr fontId="5"/>
  </si>
  <si>
    <t>V方向</t>
    <rPh sb="1" eb="3">
      <t>ホウコウ</t>
    </rPh>
    <phoneticPr fontId="5"/>
  </si>
  <si>
    <t>(1) X方向</t>
    <phoneticPr fontId="5"/>
  </si>
  <si>
    <t>(2) Y方向</t>
    <phoneticPr fontId="5"/>
  </si>
  <si>
    <t>固有周期</t>
    <rPh sb="0" eb="4">
      <t>コユウシュウキ</t>
    </rPh>
    <phoneticPr fontId="5"/>
  </si>
  <si>
    <t>上部構造</t>
    <rPh sb="0" eb="2">
      <t>ジョウブ</t>
    </rPh>
    <rPh sb="2" eb="4">
      <t>コウゾウ</t>
    </rPh>
    <phoneticPr fontId="5"/>
  </si>
  <si>
    <t>上部構造＋免震層(L1地震時)</t>
    <rPh sb="0" eb="2">
      <t>ジョウブ</t>
    </rPh>
    <rPh sb="2" eb="4">
      <t>コウゾウ</t>
    </rPh>
    <rPh sb="5" eb="8">
      <t>メンシ</t>
    </rPh>
    <rPh sb="11" eb="14">
      <t>ジシンジ</t>
    </rPh>
    <phoneticPr fontId="5"/>
  </si>
  <si>
    <t>上部構造＋免震層(L2地震時)</t>
    <rPh sb="0" eb="2">
      <t>ジョウブ</t>
    </rPh>
    <rPh sb="2" eb="4">
      <t>コウゾウ</t>
    </rPh>
    <rPh sb="5" eb="8">
      <t>メンシ</t>
    </rPh>
    <rPh sb="11" eb="14">
      <t>ジシンジ</t>
    </rPh>
    <phoneticPr fontId="5"/>
  </si>
  <si>
    <t>中間層免震の下部構造の固有周期(sec)</t>
    <phoneticPr fontId="5"/>
  </si>
  <si>
    <t>(3) U方向</t>
    <phoneticPr fontId="5"/>
  </si>
  <si>
    <t>(4) V方向</t>
    <phoneticPr fontId="5"/>
  </si>
  <si>
    <t>復元力特性(個別指定)</t>
    <rPh sb="0" eb="5">
      <t>フクゲンリョクトクセイ</t>
    </rPh>
    <rPh sb="6" eb="8">
      <t>コベツ</t>
    </rPh>
    <rPh sb="8" eb="10">
      <t>シテイ</t>
    </rPh>
    <phoneticPr fontId="5"/>
  </si>
  <si>
    <t>製品名</t>
    <rPh sb="0" eb="3">
      <t>セイヒン</t>
    </rPh>
    <phoneticPr fontId="5"/>
  </si>
  <si>
    <t>基準面圧</t>
    <rPh sb="0" eb="2">
      <t>キジュン</t>
    </rPh>
    <rPh sb="2" eb="4">
      <t>メンアツ</t>
    </rPh>
    <phoneticPr fontId="5"/>
  </si>
  <si>
    <t>ゴム総厚</t>
    <rPh sb="2" eb="3">
      <t>ソウ</t>
    </rPh>
    <rPh sb="3" eb="4">
      <t>コウ</t>
    </rPh>
    <phoneticPr fontId="5"/>
  </si>
  <si>
    <t>Ae</t>
  </si>
  <si>
    <t>Kh</t>
    <phoneticPr fontId="5"/>
  </si>
  <si>
    <t>Kv</t>
  </si>
  <si>
    <t>鉛本数</t>
    <rPh sb="0" eb="1">
      <t>ナマリ</t>
    </rPh>
    <rPh sb="1" eb="3">
      <t>ホンスウ</t>
    </rPh>
    <phoneticPr fontId="5"/>
  </si>
  <si>
    <t>Kd</t>
    <phoneticPr fontId="5"/>
  </si>
  <si>
    <t>Qd</t>
    <phoneticPr fontId="5"/>
  </si>
  <si>
    <t>HRB(状態2)</t>
    <rPh sb="4" eb="6">
      <t>ジョウタイ</t>
    </rPh>
    <phoneticPr fontId="5"/>
  </si>
  <si>
    <t>HRB(状態3)</t>
    <rPh sb="4" eb="6">
      <t>ジョウタイ</t>
    </rPh>
    <phoneticPr fontId="5"/>
  </si>
  <si>
    <t>LRB･SnRB(状態2)</t>
    <rPh sb="9" eb="11">
      <t>ジョウタイ</t>
    </rPh>
    <phoneticPr fontId="5"/>
  </si>
  <si>
    <t>LRB･SnRB(状態3)</t>
    <rPh sb="9" eb="11">
      <t>ジョウタイ</t>
    </rPh>
    <phoneticPr fontId="5"/>
  </si>
  <si>
    <t>NRB</t>
    <phoneticPr fontId="5"/>
  </si>
  <si>
    <t>SLB･SSB(状態2)</t>
    <rPh sb="8" eb="10">
      <t>ジョウタイ</t>
    </rPh>
    <phoneticPr fontId="5"/>
  </si>
  <si>
    <t>SLB･SSB(状態3)</t>
    <rPh sb="8" eb="10">
      <t>ジョウタイ</t>
    </rPh>
    <phoneticPr fontId="5"/>
  </si>
  <si>
    <t>オイルダンパー</t>
    <phoneticPr fontId="5"/>
  </si>
  <si>
    <t>基数</t>
    <rPh sb="0" eb="2">
      <t>キスウ</t>
    </rPh>
    <phoneticPr fontId="5"/>
  </si>
  <si>
    <t>C1</t>
    <phoneticPr fontId="5"/>
  </si>
  <si>
    <t>C2</t>
    <phoneticPr fontId="5"/>
  </si>
  <si>
    <t>Vr</t>
    <phoneticPr fontId="5"/>
  </si>
  <si>
    <t>Kd(kN/cm)</t>
    <phoneticPr fontId="5"/>
  </si>
  <si>
    <t>状態2</t>
    <rPh sb="0" eb="2">
      <t>ジョウタイ</t>
    </rPh>
    <phoneticPr fontId="5"/>
  </si>
  <si>
    <t>状態3</t>
    <rPh sb="0" eb="2">
      <t>ジョウタイ</t>
    </rPh>
    <phoneticPr fontId="5"/>
  </si>
  <si>
    <t>Qy1</t>
    <phoneticPr fontId="5"/>
  </si>
  <si>
    <t>α1</t>
    <phoneticPr fontId="5"/>
  </si>
  <si>
    <t>Qy2</t>
    <phoneticPr fontId="5"/>
  </si>
  <si>
    <t>α2</t>
    <phoneticPr fontId="5"/>
  </si>
  <si>
    <t>(N/mm2)</t>
  </si>
  <si>
    <t>(mm)</t>
  </si>
  <si>
    <t>(mm2)</t>
  </si>
  <si>
    <t>(kN/mm)</t>
    <phoneticPr fontId="5"/>
  </si>
  <si>
    <t>(kN/mm)</t>
  </si>
  <si>
    <t>(kN/cm)</t>
  </si>
  <si>
    <t>(kN)</t>
  </si>
  <si>
    <t>Geq</t>
    <phoneticPr fontId="5"/>
  </si>
  <si>
    <t>Heq &amp; u</t>
    <phoneticPr fontId="5"/>
  </si>
  <si>
    <t>K(状態2)</t>
    <rPh sb="2" eb="4">
      <t>ジョウタイ</t>
    </rPh>
    <phoneticPr fontId="5"/>
  </si>
  <si>
    <t>K(状態3)</t>
    <rPh sb="2" eb="4">
      <t>ジョウタイ</t>
    </rPh>
    <phoneticPr fontId="5"/>
  </si>
  <si>
    <t>K</t>
    <phoneticPr fontId="5"/>
  </si>
  <si>
    <t>μ</t>
    <phoneticPr fontId="5"/>
  </si>
  <si>
    <t>メーカー</t>
    <phoneticPr fontId="5"/>
  </si>
  <si>
    <t>シリーズ</t>
    <phoneticPr fontId="5"/>
  </si>
  <si>
    <t>製品名</t>
    <rPh sb="0" eb="3">
      <t>セイヒンメイ</t>
    </rPh>
    <phoneticPr fontId="5"/>
  </si>
  <si>
    <t>kN･s/cm</t>
    <phoneticPr fontId="5"/>
  </si>
  <si>
    <t>cm/s</t>
    <phoneticPr fontId="5"/>
  </si>
  <si>
    <t>X</t>
    <phoneticPr fontId="5"/>
  </si>
  <si>
    <t>Y</t>
    <phoneticPr fontId="5"/>
  </si>
  <si>
    <t>U</t>
    <phoneticPr fontId="5"/>
  </si>
  <si>
    <t>V</t>
    <phoneticPr fontId="5"/>
  </si>
  <si>
    <t>C1 &amp; C2</t>
    <phoneticPr fontId="5"/>
  </si>
  <si>
    <t>X方向とU方向の角度(度)</t>
    <rPh sb="1" eb="3">
      <t>ホウコウ</t>
    </rPh>
    <rPh sb="5" eb="7">
      <t>ホウコウ</t>
    </rPh>
    <rPh sb="8" eb="10">
      <t>カクド</t>
    </rPh>
    <rPh sb="11" eb="12">
      <t>ド</t>
    </rPh>
    <phoneticPr fontId="5"/>
  </si>
  <si>
    <t>β=1/4</t>
  </si>
  <si>
    <t>鋼材ダンパー</t>
    <rPh sb="0" eb="2">
      <t>コウザイ</t>
    </rPh>
    <phoneticPr fontId="5"/>
  </si>
  <si>
    <t>K1</t>
    <phoneticPr fontId="5"/>
  </si>
  <si>
    <t>K2</t>
    <phoneticPr fontId="5"/>
  </si>
  <si>
    <t>Qy</t>
    <phoneticPr fontId="5"/>
  </si>
  <si>
    <t>(kN/m)</t>
    <phoneticPr fontId="5"/>
  </si>
  <si>
    <t>(kN)</t>
    <phoneticPr fontId="5"/>
  </si>
  <si>
    <t>最高温度(℃)</t>
    <rPh sb="0" eb="2">
      <t>サイコウ</t>
    </rPh>
    <rPh sb="2" eb="4">
      <t>オンド</t>
    </rPh>
    <phoneticPr fontId="5"/>
  </si>
  <si>
    <t>最低温度(℃)</t>
    <rPh sb="0" eb="2">
      <t>サイテイ</t>
    </rPh>
    <rPh sb="2" eb="4">
      <t>オンド</t>
    </rPh>
    <phoneticPr fontId="5"/>
  </si>
  <si>
    <t>X方向</t>
  </si>
  <si>
    <t>Kdi/(Kfi＋Kdi)</t>
    <phoneticPr fontId="5"/>
  </si>
  <si>
    <t>X方向-δmax</t>
  </si>
  <si>
    <t>Y方向-δmax</t>
  </si>
  <si>
    <t>X方向-Qmax</t>
  </si>
  <si>
    <t>Y方向-Qmax</t>
  </si>
  <si>
    <t>X方向-Ci</t>
  </si>
  <si>
    <t>Y方向-Ci</t>
  </si>
  <si>
    <t>X方向-OTM</t>
  </si>
  <si>
    <t>Y方向-OTM</t>
  </si>
  <si>
    <t>Esfi</t>
    <phoneticPr fontId="5"/>
  </si>
  <si>
    <t>Esdi</t>
    <phoneticPr fontId="5"/>
  </si>
  <si>
    <t>ηfi</t>
    <phoneticPr fontId="5"/>
  </si>
  <si>
    <t>ηdi</t>
    <phoneticPr fontId="5"/>
  </si>
  <si>
    <t>μ=η/2+1</t>
  </si>
  <si>
    <t>グラフに表示するδmaxの選択</t>
    <rPh sb="4" eb="6">
      <t>ヒョウジ</t>
    </rPh>
    <rPh sb="13" eb="15">
      <t>センタク</t>
    </rPh>
    <phoneticPr fontId="5"/>
  </si>
  <si>
    <t>μ=η/2+1</t>
    <phoneticPr fontId="5"/>
  </si>
  <si>
    <t>manual5.3</t>
    <phoneticPr fontId="5"/>
  </si>
  <si>
    <t>manual5.4</t>
    <phoneticPr fontId="5"/>
  </si>
  <si>
    <t>X方向-δ/H</t>
  </si>
  <si>
    <t>Y方向-δ/H</t>
  </si>
  <si>
    <t>平均軸力</t>
    <rPh sb="0" eb="2">
      <t>ヘイキン</t>
    </rPh>
    <rPh sb="2" eb="3">
      <t>ジク</t>
    </rPh>
    <rPh sb="3" eb="4">
      <t>リョク</t>
    </rPh>
    <phoneticPr fontId="5"/>
  </si>
  <si>
    <t>メーカー</t>
  </si>
  <si>
    <t>装置</t>
    <rPh sb="0" eb="2">
      <t>ソウチ</t>
    </rPh>
    <phoneticPr fontId="5"/>
  </si>
  <si>
    <t>ゴム種</t>
    <rPh sb="2" eb="3">
      <t>タネ</t>
    </rPh>
    <phoneticPr fontId="5"/>
  </si>
  <si>
    <t>シリーズ</t>
  </si>
  <si>
    <t>ゴム外径</t>
    <rPh sb="2" eb="4">
      <t>ガイケイ</t>
    </rPh>
    <phoneticPr fontId="5"/>
  </si>
  <si>
    <t>鉛径</t>
    <rPh sb="0" eb="1">
      <t>ナマリ</t>
    </rPh>
    <rPh sb="1" eb="2">
      <t>ケイ</t>
    </rPh>
    <phoneticPr fontId="5"/>
  </si>
  <si>
    <t>加速度</t>
  </si>
  <si>
    <t>速度</t>
  </si>
  <si>
    <t>色</t>
    <rPh sb="0" eb="1">
      <t>イロ</t>
    </rPh>
    <phoneticPr fontId="5"/>
  </si>
  <si>
    <t>Δt(sec)</t>
    <phoneticPr fontId="5"/>
  </si>
  <si>
    <t>Δt分割数</t>
    <rPh sb="2" eb="5">
      <t>ブンカツスウ</t>
    </rPh>
    <phoneticPr fontId="5"/>
  </si>
  <si>
    <t>倍率</t>
    <rPh sb="0" eb="2">
      <t>バイリツ</t>
    </rPh>
    <phoneticPr fontId="5"/>
  </si>
  <si>
    <t>区分</t>
    <rPh sb="0" eb="2">
      <t>クブン</t>
    </rPh>
    <phoneticPr fontId="5"/>
  </si>
  <si>
    <t>地震波名</t>
    <phoneticPr fontId="5"/>
  </si>
  <si>
    <t>最初の行</t>
    <rPh sb="0" eb="4">
      <t>サイショ</t>
    </rPh>
    <phoneticPr fontId="5"/>
  </si>
  <si>
    <t>最後の行</t>
    <rPh sb="0" eb="2">
      <t>サイゴ</t>
    </rPh>
    <rPh sb="3" eb="4">
      <t>ギョウ</t>
    </rPh>
    <phoneticPr fontId="5"/>
  </si>
  <si>
    <t>フォーマット</t>
    <phoneticPr fontId="5"/>
  </si>
  <si>
    <t>観測波入力チェック</t>
    <phoneticPr fontId="5"/>
  </si>
  <si>
    <t>(cm/s2)</t>
    <phoneticPr fontId="5"/>
  </si>
  <si>
    <t>(cm/s)</t>
    <phoneticPr fontId="5"/>
  </si>
  <si>
    <t>Ve</t>
    <phoneticPr fontId="5"/>
  </si>
  <si>
    <t>Sd</t>
    <phoneticPr fontId="5"/>
  </si>
  <si>
    <t>Sv</t>
    <phoneticPr fontId="5"/>
  </si>
  <si>
    <t>Sa</t>
    <phoneticPr fontId="5"/>
  </si>
  <si>
    <t>pSv</t>
    <phoneticPr fontId="5"/>
  </si>
  <si>
    <t>pSv(L2)</t>
    <phoneticPr fontId="5"/>
  </si>
  <si>
    <t>pSv(L1)</t>
    <phoneticPr fontId="5"/>
  </si>
  <si>
    <t>T</t>
    <phoneticPr fontId="5"/>
  </si>
  <si>
    <t>(2) 速度(cm/sec)</t>
    <rPh sb="4" eb="6">
      <t>ソクド</t>
    </rPh>
    <phoneticPr fontId="5"/>
  </si>
  <si>
    <t>(4) 層間変位(cm)</t>
    <phoneticPr fontId="5"/>
  </si>
  <si>
    <t>(5) 層間変形角</t>
    <phoneticPr fontId="5"/>
  </si>
  <si>
    <t>(6) 層せん断力(kN)</t>
    <phoneticPr fontId="5"/>
  </si>
  <si>
    <t>(6) 層せん断力(kN)</t>
    <rPh sb="4" eb="5">
      <t>ソウ</t>
    </rPh>
    <rPh sb="7" eb="9">
      <t>ダン</t>
    </rPh>
    <phoneticPr fontId="5"/>
  </si>
  <si>
    <t>(7) 層せん断力係数</t>
    <phoneticPr fontId="5"/>
  </si>
  <si>
    <t>(8) 転倒モーメント(kN･m)</t>
    <phoneticPr fontId="5"/>
  </si>
  <si>
    <t>[U]</t>
  </si>
  <si>
    <t>[V]</t>
  </si>
  <si>
    <r>
      <t>(1) 加速度(cm/sec</t>
    </r>
    <r>
      <rPr>
        <vertAlign val="superscript"/>
        <sz val="10"/>
        <rFont val="ＭＳ ゴシック"/>
        <family val="3"/>
        <charset val="128"/>
      </rPr>
      <t>2</t>
    </r>
    <r>
      <rPr>
        <sz val="10"/>
        <rFont val="ＭＳ ゴシック"/>
        <family val="3"/>
        <charset val="128"/>
      </rPr>
      <t>)</t>
    </r>
    <rPh sb="4" eb="7">
      <t>カソクド</t>
    </rPh>
    <phoneticPr fontId="5"/>
  </si>
  <si>
    <t>OilDamper</t>
    <phoneticPr fontId="5"/>
  </si>
  <si>
    <t>Series</t>
  </si>
  <si>
    <t>Fmax</t>
  </si>
  <si>
    <t>Fr</t>
  </si>
  <si>
    <t>Vmax</t>
  </si>
  <si>
    <t>C1</t>
  </si>
  <si>
    <t>C2</t>
  </si>
  <si>
    <t>HalfStroke</t>
  </si>
  <si>
    <t>Lmax</t>
  </si>
  <si>
    <t>Kd</t>
  </si>
  <si>
    <t>Product</t>
  </si>
  <si>
    <t>角度</t>
    <rPh sb="0" eb="2">
      <t>カクド</t>
    </rPh>
    <phoneticPr fontId="5"/>
  </si>
  <si>
    <t>(+)側</t>
    <rPh sb="3" eb="4">
      <t>ガワ</t>
    </rPh>
    <phoneticPr fontId="5"/>
  </si>
  <si>
    <t>(-)側</t>
    <rPh sb="3" eb="4">
      <t>ガワ</t>
    </rPh>
    <phoneticPr fontId="5"/>
  </si>
  <si>
    <t>Vr</t>
  </si>
  <si>
    <t>Kj</t>
  </si>
  <si>
    <t>Maker</t>
  </si>
  <si>
    <t>kN</t>
  </si>
  <si>
    <t>cm/s</t>
  </si>
  <si>
    <t>kN･s/cm</t>
  </si>
  <si>
    <t>cm</t>
  </si>
  <si>
    <t>kN/cm</t>
  </si>
  <si>
    <t>(度)</t>
    <rPh sb="1" eb="2">
      <t>ド</t>
    </rPh>
    <phoneticPr fontId="5"/>
  </si>
  <si>
    <t>C1 &amp; C2</t>
  </si>
  <si>
    <t>使わない</t>
  </si>
  <si>
    <t>オイルダンパー</t>
  </si>
  <si>
    <t>Zener型ダンパー</t>
  </si>
  <si>
    <t>減衰定数</t>
    <rPh sb="0" eb="2">
      <t>ゲンスイ</t>
    </rPh>
    <rPh sb="2" eb="4">
      <t>ジョウスウ</t>
    </rPh>
    <phoneticPr fontId="6"/>
  </si>
  <si>
    <t>地域係数</t>
    <rPh sb="0" eb="2">
      <t>チイキ</t>
    </rPh>
    <rPh sb="2" eb="4">
      <t>ケイスウ</t>
    </rPh>
    <phoneticPr fontId="6"/>
  </si>
  <si>
    <t>状態</t>
    <rPh sb="0" eb="2">
      <t>ジョウタイ</t>
    </rPh>
    <phoneticPr fontId="1"/>
  </si>
  <si>
    <t>Wave</t>
    <phoneticPr fontId="5"/>
  </si>
  <si>
    <t>固有モード図(上部構造)</t>
    <rPh sb="0" eb="2">
      <t>コユウ</t>
    </rPh>
    <rPh sb="5" eb="6">
      <t>ズ</t>
    </rPh>
    <phoneticPr fontId="5"/>
  </si>
  <si>
    <t>固有モード図(上部構造＋SRばね)</t>
    <phoneticPr fontId="5"/>
  </si>
  <si>
    <t>応答スペクトル計算条件</t>
    <rPh sb="0" eb="2">
      <t>オウトウ</t>
    </rPh>
    <rPh sb="7" eb="9">
      <t>ケイサン</t>
    </rPh>
    <rPh sb="9" eb="11">
      <t>ジョウケン</t>
    </rPh>
    <phoneticPr fontId="1"/>
  </si>
  <si>
    <t>本ツールは[261013版]です。</t>
    <rPh sb="0" eb="1">
      <t>ホン</t>
    </rPh>
    <rPh sb="12" eb="13">
      <t>バン</t>
    </rPh>
    <phoneticPr fontId="1"/>
  </si>
  <si>
    <t>更新履歴</t>
    <rPh sb="0" eb="2">
      <t>コウシン</t>
    </rPh>
    <rPh sb="2" eb="4">
      <t>リレキ</t>
    </rPh>
    <phoneticPr fontId="1"/>
  </si>
  <si>
    <t>[261013版]</t>
    <phoneticPr fontId="1"/>
  </si>
  <si>
    <t>本ツールで使用しているライブラリを以下に示します。ソースコードの公開に感謝します。</t>
    <rPh sb="0" eb="1">
      <t>ホン</t>
    </rPh>
    <rPh sb="5" eb="7">
      <t>シヨウ</t>
    </rPh>
    <rPh sb="17" eb="19">
      <t>イカ</t>
    </rPh>
    <rPh sb="20" eb="21">
      <t>シメ</t>
    </rPh>
    <phoneticPr fontId="1"/>
  </si>
  <si>
    <t>下記のメッセージが表示される場合は、http://www.ch-werner.de/sqliteodbc/ にて sqliteodbc_w64.exe をダウンロードしてインストールしてください。</t>
    <rPh sb="0" eb="2">
      <t>カキ</t>
    </rPh>
    <rPh sb="9" eb="11">
      <t>ヒョウジ</t>
    </rPh>
    <phoneticPr fontId="1"/>
  </si>
  <si>
    <t>固有周期</t>
    <phoneticPr fontId="1"/>
  </si>
  <si>
    <t>有効質量比</t>
    <phoneticPr fontId="1"/>
  </si>
  <si>
    <t>刺激係数</t>
    <phoneticPr fontId="1"/>
  </si>
  <si>
    <t>刺激関数</t>
    <phoneticPr fontId="1"/>
  </si>
  <si>
    <t>初版をリリースしました。</t>
    <rPh sb="0" eb="2">
      <t>ショハン</t>
    </rPh>
    <phoneticPr fontId="1"/>
  </si>
  <si>
    <t>クラウド環境は下記の Oracle Cloud Infrastructure の Always Free 枠内としています。</t>
    <rPh sb="4" eb="6">
      <t>カンキョウ</t>
    </rPh>
    <rPh sb="7" eb="9">
      <t>カキ</t>
    </rPh>
    <rPh sb="53" eb="54">
      <t>ワク</t>
    </rPh>
    <rPh sb="54" eb="55">
      <t>ナイ</t>
    </rPh>
    <phoneticPr fontId="1"/>
  </si>
  <si>
    <t>(1,500 OCPU hours and 9,000 GB hours per month → 2 OCPU + 12GB RAMを常時稼働)</t>
    <rPh sb="67" eb="69">
      <t>ジョウジ</t>
    </rPh>
    <rPh sb="69" eb="71">
      <t>カドウ</t>
    </rPh>
    <phoneticPr fontId="1"/>
  </si>
  <si>
    <t>7次</t>
  </si>
  <si>
    <t>8次</t>
  </si>
  <si>
    <t>9次</t>
  </si>
  <si>
    <t>10次</t>
  </si>
  <si>
    <t>11次</t>
  </si>
  <si>
    <t>12次</t>
  </si>
  <si>
    <t>13次</t>
  </si>
  <si>
    <t>14次</t>
  </si>
  <si>
    <t>15次</t>
  </si>
  <si>
    <t>16次</t>
  </si>
  <si>
    <t>17次</t>
  </si>
  <si>
    <t>18次</t>
  </si>
  <si>
    <t>19次</t>
  </si>
  <si>
    <t>20次</t>
  </si>
  <si>
    <t>21次</t>
  </si>
  <si>
    <t>(2) 速度(cm/sec)</t>
    <phoneticPr fontId="5"/>
  </si>
  <si>
    <t>(3) 変位(cm)</t>
    <phoneticPr fontId="5"/>
  </si>
  <si>
    <t>K-A</t>
  </si>
  <si>
    <t>免震部材のラインナップは以下の通りです。</t>
    <rPh sb="0" eb="2">
      <t>メンシン</t>
    </rPh>
    <rPh sb="2" eb="4">
      <t>ブザイ</t>
    </rPh>
    <rPh sb="12" eb="14">
      <t>イカ</t>
    </rPh>
    <rPh sb="15" eb="16">
      <t>トオ</t>
    </rPh>
    <phoneticPr fontId="1"/>
  </si>
  <si>
    <t>下記のメッセージが表示される場合は、コンテンツの有効化ボタンをクリックしてください。</t>
    <rPh sb="0" eb="2">
      <t>カキ</t>
    </rPh>
    <rPh sb="9" eb="11">
      <t>ヒョウジ</t>
    </rPh>
    <rPh sb="24" eb="27">
      <t>ユウコウカ</t>
    </rPh>
    <phoneticPr fontId="1"/>
  </si>
  <si>
    <t>© 2026 excel-dynamic-analysis.com</t>
    <phoneticPr fontId="1"/>
  </si>
  <si>
    <t>Qy1、α1：第1折れ点のせん断力、せん断剛性低下率</t>
    <rPh sb="7" eb="8">
      <t>ダイ</t>
    </rPh>
    <rPh sb="9" eb="10">
      <t>オ</t>
    </rPh>
    <rPh sb="11" eb="12">
      <t>テン</t>
    </rPh>
    <rPh sb="15" eb="16">
      <t>ダン</t>
    </rPh>
    <rPh sb="16" eb="17">
      <t>リョク</t>
    </rPh>
    <rPh sb="20" eb="21">
      <t>ダン</t>
    </rPh>
    <rPh sb="21" eb="23">
      <t>ゴウセイ</t>
    </rPh>
    <rPh sb="23" eb="26">
      <t>テイカリツ</t>
    </rPh>
    <phoneticPr fontId="1"/>
  </si>
  <si>
    <t>Qy2、α2：第2折れ点のせん断力、せん断剛性低下率</t>
    <rPh sb="7" eb="8">
      <t>ダイ</t>
    </rPh>
    <rPh sb="9" eb="10">
      <t>オ</t>
    </rPh>
    <rPh sb="11" eb="12">
      <t>テン</t>
    </rPh>
    <rPh sb="15" eb="16">
      <t>ダン</t>
    </rPh>
    <rPh sb="16" eb="17">
      <t>リョク</t>
    </rPh>
    <rPh sb="20" eb="21">
      <t>ダン</t>
    </rPh>
    <rPh sb="21" eb="23">
      <t>ゴウセイ</t>
    </rPh>
    <rPh sb="23" eb="26">
      <t>テイカリツ</t>
    </rPh>
    <phoneticPr fontId="1"/>
  </si>
  <si>
    <t>LLT</t>
  </si>
  <si>
    <t>固有モード図(上部構造＋免震層｜レベル1地震時)</t>
    <rPh sb="0" eb="2">
      <t>コユウ</t>
    </rPh>
    <rPh sb="5" eb="6">
      <t>ズ</t>
    </rPh>
    <phoneticPr fontId="5"/>
  </si>
  <si>
    <t>固有モード図(上部構造＋免震層｜レベル2地震時)</t>
    <phoneticPr fontId="5"/>
  </si>
  <si>
    <t>固有モード図(上部構造＋免震層＋SRばね｜レベル1地震時)</t>
    <phoneticPr fontId="5"/>
  </si>
  <si>
    <t>固有モード図(上部構造＋免震層＋SRばね｜レベル2地震時)</t>
    <phoneticPr fontId="5"/>
  </si>
  <si>
    <t>重量</t>
    <phoneticPr fontId="3"/>
  </si>
  <si>
    <t>構造階高</t>
    <phoneticPr fontId="3"/>
  </si>
  <si>
    <t>X方向</t>
    <phoneticPr fontId="5"/>
  </si>
  <si>
    <r>
      <t>G･A(</t>
    </r>
    <r>
      <rPr>
        <sz val="10"/>
        <color rgb="FFFF0000"/>
        <rFont val="ＭＳ ゴシック"/>
        <family val="3"/>
        <charset val="128"/>
      </rPr>
      <t>kN</t>
    </r>
    <r>
      <rPr>
        <sz val="10"/>
        <color theme="1"/>
        <rFont val="ＭＳ ゴシック"/>
        <family val="3"/>
        <charset val="128"/>
      </rPr>
      <t>)</t>
    </r>
    <phoneticPr fontId="3"/>
  </si>
  <si>
    <r>
      <t>E･I(</t>
    </r>
    <r>
      <rPr>
        <sz val="10"/>
        <color rgb="FFFF0000"/>
        <rFont val="ＭＳ ゴシック"/>
        <family val="3"/>
        <charset val="128"/>
      </rPr>
      <t>kN･cm2</t>
    </r>
    <r>
      <rPr>
        <sz val="10"/>
        <color theme="1"/>
        <rFont val="ＭＳ ゴシック"/>
        <family val="3"/>
        <charset val="128"/>
      </rPr>
      <t>)</t>
    </r>
    <phoneticPr fontId="3"/>
  </si>
  <si>
    <t>[X]-L1</t>
  </si>
  <si>
    <t>[Y]-L1</t>
  </si>
  <si>
    <t>[U]-L1</t>
  </si>
  <si>
    <t>[V]-L1</t>
  </si>
  <si>
    <t>[X]-L2</t>
  </si>
  <si>
    <t>[Y]-L2</t>
  </si>
  <si>
    <t>[U]-L2</t>
  </si>
  <si>
    <t>[V]-L2</t>
  </si>
  <si>
    <t>(sec)</t>
    <phoneticPr fontId="1"/>
  </si>
  <si>
    <t>摩擦係数</t>
    <rPh sb="0" eb="4">
      <t>マサツケイスウ</t>
    </rPh>
    <phoneticPr fontId="1"/>
  </si>
  <si>
    <t>1次</t>
    <rPh sb="1" eb="2">
      <t>ジ</t>
    </rPh>
    <phoneticPr fontId="1"/>
  </si>
  <si>
    <t>2次</t>
    <rPh sb="1" eb="2">
      <t>ジ</t>
    </rPh>
    <phoneticPr fontId="1"/>
  </si>
  <si>
    <t>3次</t>
    <rPh sb="1" eb="2">
      <t>ジ</t>
    </rPh>
    <phoneticPr fontId="1"/>
  </si>
  <si>
    <t>4次</t>
    <rPh sb="1" eb="2">
      <t>ジ</t>
    </rPh>
    <phoneticPr fontId="1"/>
  </si>
  <si>
    <t>L2</t>
    <phoneticPr fontId="1"/>
  </si>
  <si>
    <t>状態1</t>
    <phoneticPr fontId="1"/>
  </si>
  <si>
    <t>本ツールの数値解法は以下の通りです。</t>
    <rPh sb="0" eb="1">
      <t>ホン</t>
    </rPh>
    <rPh sb="5" eb="7">
      <t>スウチ</t>
    </rPh>
    <rPh sb="7" eb="9">
      <t>カイホウ</t>
    </rPh>
    <rPh sb="10" eb="12">
      <t>イカ</t>
    </rPh>
    <rPh sb="13" eb="14">
      <t>トオ</t>
    </rPh>
    <phoneticPr fontId="1"/>
  </si>
  <si>
    <t>免震部材のモデル化は以下の通りです。</t>
    <rPh sb="0" eb="2">
      <t>メンシン</t>
    </rPh>
    <rPh sb="2" eb="4">
      <t>ブザイ</t>
    </rPh>
    <rPh sb="8" eb="9">
      <t>カ</t>
    </rPh>
    <rPh sb="10" eb="12">
      <t>イカ</t>
    </rPh>
    <rPh sb="13" eb="14">
      <t>トオ</t>
    </rPh>
    <phoneticPr fontId="1"/>
  </si>
  <si>
    <t>：linearモデル</t>
    <phoneticPr fontId="1"/>
  </si>
  <si>
    <t>：修正bi-linearモデル または Kikuchi-Aikenモデル</t>
    <phoneticPr fontId="1"/>
  </si>
  <si>
    <t>：修正bi-linearモデル</t>
    <phoneticPr fontId="1"/>
  </si>
  <si>
    <t>：bi-linearモデル(完全弾塑性型)</t>
    <phoneticPr fontId="1"/>
  </si>
  <si>
    <t>：bi-linearモデル(摩擦係数の速度依存性考慮)</t>
    <rPh sb="14" eb="18">
      <t>マサツケイスウ</t>
    </rPh>
    <rPh sb="19" eb="21">
      <t>ソクド</t>
    </rPh>
    <rPh sb="21" eb="24">
      <t>イゾンセイ</t>
    </rPh>
    <rPh sb="24" eb="26">
      <t>コウリョ</t>
    </rPh>
    <phoneticPr fontId="1"/>
  </si>
  <si>
    <t>：Maxwellモデル</t>
    <phoneticPr fontId="1"/>
  </si>
  <si>
    <t>：ニューマークβ法(Newmark beta method)</t>
    <phoneticPr fontId="1"/>
  </si>
  <si>
    <t>：ヤコビ法(Jacobi eigenvalue algorithm)</t>
    <phoneticPr fontId="1"/>
  </si>
  <si>
    <t>　・クラウドとの通信：cpp-httplib (https://github.com/yhirose/cpp-httplib、ライセンス：MIT license)</t>
    <rPh sb="8" eb="10">
      <t>ツウシン</t>
    </rPh>
    <phoneticPr fontId="1"/>
  </si>
  <si>
    <t>　・固有値解析</t>
    <rPh sb="2" eb="5">
      <t>コユウチ</t>
    </rPh>
    <rPh sb="5" eb="7">
      <t>カイセキ</t>
    </rPh>
    <phoneticPr fontId="1"/>
  </si>
  <si>
    <t>　・時刻歴応答解析</t>
    <rPh sb="2" eb="4">
      <t>ジコク</t>
    </rPh>
    <rPh sb="4" eb="5">
      <t>レキ</t>
    </rPh>
    <rPh sb="5" eb="9">
      <t>オウトウカイセキ</t>
    </rPh>
    <phoneticPr fontId="1"/>
  </si>
  <si>
    <t>　・ブリヂストン化工品ジャパン株式会社</t>
    <rPh sb="8" eb="10">
      <t>カコウ</t>
    </rPh>
    <rPh sb="10" eb="11">
      <t>ヒン</t>
    </rPh>
    <rPh sb="15" eb="19">
      <t>カブシキガイシャ</t>
    </rPh>
    <phoneticPr fontId="1"/>
  </si>
  <si>
    <t>　・オイレス工業株式会社</t>
    <rPh sb="6" eb="8">
      <t>コウギョウ</t>
    </rPh>
    <rPh sb="8" eb="12">
      <t>カブシキガイシャ</t>
    </rPh>
    <phoneticPr fontId="1"/>
  </si>
  <si>
    <t>　・日鉄エンジニアリング株式会社</t>
    <rPh sb="2" eb="4">
      <t>ニッテツ</t>
    </rPh>
    <rPh sb="12" eb="16">
      <t>カブシキガイシャ</t>
    </rPh>
    <phoneticPr fontId="1"/>
  </si>
  <si>
    <t>　・株式会社免制震ディバイス</t>
    <rPh sb="2" eb="6">
      <t>カブシキガイシャ</t>
    </rPh>
    <rPh sb="6" eb="7">
      <t>メン</t>
    </rPh>
    <rPh sb="7" eb="9">
      <t>セイシン</t>
    </rPh>
    <phoneticPr fontId="1"/>
  </si>
  <si>
    <t>　・株式会社川金コアテック</t>
    <rPh sb="2" eb="6">
      <t>カブシキガイシャ</t>
    </rPh>
    <rPh sb="6" eb="8">
      <t>カワキン</t>
    </rPh>
    <phoneticPr fontId="1"/>
  </si>
  <si>
    <t>：天然ゴム系積層ゴム支承(NRB)、高減衰ゴム系積層ゴム支承(HRB)、鉛プラグ入り積層ゴム支承(LRB)、弾性すべり支承(SLB)</t>
    <rPh sb="1" eb="3">
      <t>テンネン</t>
    </rPh>
    <rPh sb="5" eb="6">
      <t>ケイ</t>
    </rPh>
    <rPh sb="6" eb="8">
      <t>セキソウ</t>
    </rPh>
    <rPh sb="10" eb="12">
      <t>シショウ</t>
    </rPh>
    <phoneticPr fontId="1"/>
  </si>
  <si>
    <t>：天然ゴム系積層ゴム支承(NRB)、鉛プラグ入り積層ゴム支承(LRB)、弾性すべり支承(SLB)</t>
    <rPh sb="1" eb="3">
      <t>テンネン</t>
    </rPh>
    <rPh sb="5" eb="6">
      <t>ケイ</t>
    </rPh>
    <rPh sb="6" eb="8">
      <t>セキソウ</t>
    </rPh>
    <rPh sb="10" eb="12">
      <t>シショウ</t>
    </rPh>
    <phoneticPr fontId="1"/>
  </si>
  <si>
    <t>：球面すべり支承(SSB)、免震NSUダンパー(NSUD)</t>
    <rPh sb="1" eb="3">
      <t>キュウメン</t>
    </rPh>
    <rPh sb="6" eb="8">
      <t>シショウ</t>
    </rPh>
    <phoneticPr fontId="1"/>
  </si>
  <si>
    <t>：錫プラグ入り積層ゴム支承(SnRB)</t>
    <rPh sb="7" eb="9">
      <t>セキソウ</t>
    </rPh>
    <rPh sb="11" eb="13">
      <t>シショウ</t>
    </rPh>
    <phoneticPr fontId="1"/>
  </si>
  <si>
    <t>：KYM免震オイルダンパー(OD)</t>
    <rPh sb="4" eb="6">
      <t>メンシン</t>
    </rPh>
    <phoneticPr fontId="1"/>
  </si>
  <si>
    <t>　・NRB</t>
    <phoneticPr fontId="1"/>
  </si>
  <si>
    <t>　・HRB</t>
    <phoneticPr fontId="1"/>
  </si>
  <si>
    <t>　・LRB、SnRB</t>
    <phoneticPr fontId="1"/>
  </si>
  <si>
    <t>　・SSB</t>
    <phoneticPr fontId="1"/>
  </si>
  <si>
    <t>　・OD</t>
    <phoneticPr fontId="1"/>
  </si>
  <si>
    <t>要読込</t>
    <phoneticPr fontId="1"/>
  </si>
  <si>
    <t>操作マニュアル</t>
    <rPh sb="0" eb="2">
      <t>ソウサ</t>
    </rPh>
    <phoneticPr fontId="1"/>
  </si>
  <si>
    <r>
      <t>せん断剛性(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3">
      <t>ダン</t>
    </rPh>
    <phoneticPr fontId="3"/>
  </si>
  <si>
    <t>　1. D、E列に重量、構造階高を入力する</t>
    <rPh sb="7" eb="8">
      <t>レツ</t>
    </rPh>
    <rPh sb="9" eb="11">
      <t>ジュウリョウ</t>
    </rPh>
    <rPh sb="12" eb="14">
      <t>コウゾウ</t>
    </rPh>
    <rPh sb="14" eb="16">
      <t>カイダカ</t>
    </rPh>
    <rPh sb="17" eb="19">
      <t>ニュウリョク</t>
    </rPh>
    <phoneticPr fontId="1"/>
  </si>
  <si>
    <t>　2. 等価せん断型モデルはF~I列にせん断剛性、等価曲げせん断型モデルはJ~Q列にG･A、E･Iを入力する</t>
    <rPh sb="4" eb="6">
      <t>トウカ</t>
    </rPh>
    <rPh sb="8" eb="9">
      <t>ダン</t>
    </rPh>
    <rPh sb="9" eb="10">
      <t>ガタ</t>
    </rPh>
    <rPh sb="17" eb="18">
      <t>レツ</t>
    </rPh>
    <rPh sb="21" eb="22">
      <t>ダン</t>
    </rPh>
    <rPh sb="22" eb="24">
      <t>ゴウセイ</t>
    </rPh>
    <rPh sb="25" eb="27">
      <t>トウカ</t>
    </rPh>
    <rPh sb="27" eb="28">
      <t>マ</t>
    </rPh>
    <rPh sb="31" eb="32">
      <t>ダン</t>
    </rPh>
    <rPh sb="32" eb="33">
      <t>ガタ</t>
    </rPh>
    <rPh sb="40" eb="41">
      <t>レツ</t>
    </rPh>
    <rPh sb="50" eb="52">
      <t>ニュウリョク</t>
    </rPh>
    <phoneticPr fontId="1"/>
  </si>
  <si>
    <t>　4. S18セルで比例減衰の種類を選択し、S19またはS20セルに減衰定数を入力する</t>
    <rPh sb="10" eb="12">
      <t>ヒレイ</t>
    </rPh>
    <rPh sb="12" eb="14">
      <t>ゲンスイ</t>
    </rPh>
    <rPh sb="15" eb="17">
      <t>シュルイ</t>
    </rPh>
    <rPh sb="18" eb="20">
      <t>センタク</t>
    </rPh>
    <rPh sb="34" eb="36">
      <t>ゲンスイ</t>
    </rPh>
    <rPh sb="36" eb="38">
      <t>ジョウスウ</t>
    </rPh>
    <rPh sb="39" eb="41">
      <t>ニュウリョク</t>
    </rPh>
    <phoneticPr fontId="1"/>
  </si>
  <si>
    <t>　↓</t>
    <phoneticPr fontId="1"/>
  </si>
  <si>
    <t>　1. 必要に応じてW列の選択肢を変更する</t>
    <rPh sb="4" eb="6">
      <t>ヒツヨウ</t>
    </rPh>
    <rPh sb="7" eb="8">
      <t>オウ</t>
    </rPh>
    <rPh sb="11" eb="12">
      <t>レツ</t>
    </rPh>
    <rPh sb="13" eb="16">
      <t>センタクシ</t>
    </rPh>
    <rPh sb="17" eb="19">
      <t>ヘンコウ</t>
    </rPh>
    <phoneticPr fontId="1"/>
  </si>
  <si>
    <t>Linear</t>
  </si>
  <si>
    <t>　2. B~Q列において、復元力特性がBi-Linearの場合はQ1とα1、Takedaの場合は更にQ2とα2を入力する</t>
    <rPh sb="7" eb="8">
      <t>レツ</t>
    </rPh>
    <rPh sb="13" eb="15">
      <t>フクゲン</t>
    </rPh>
    <rPh sb="15" eb="16">
      <t>リョク</t>
    </rPh>
    <rPh sb="16" eb="18">
      <t>トクセイ</t>
    </rPh>
    <rPh sb="29" eb="31">
      <t>バアイ</t>
    </rPh>
    <rPh sb="45" eb="47">
      <t>バアイ</t>
    </rPh>
    <rPh sb="48" eb="49">
      <t>サラ</t>
    </rPh>
    <rPh sb="56" eb="58">
      <t>ニュウリョク</t>
    </rPh>
    <phoneticPr fontId="1"/>
  </si>
  <si>
    <t>　1. 支承材はC列→D列→…の順に項目を選択し、J列以降に諸元が出力されることを確認する</t>
    <rPh sb="4" eb="7">
      <t>シショウザイ</t>
    </rPh>
    <rPh sb="9" eb="10">
      <t>レツ</t>
    </rPh>
    <rPh sb="12" eb="13">
      <t>レツ</t>
    </rPh>
    <rPh sb="16" eb="17">
      <t>ジュン</t>
    </rPh>
    <rPh sb="18" eb="20">
      <t>コウモク</t>
    </rPh>
    <rPh sb="21" eb="23">
      <t>センタク</t>
    </rPh>
    <rPh sb="26" eb="27">
      <t>レツ</t>
    </rPh>
    <rPh sb="27" eb="29">
      <t>イコウ</t>
    </rPh>
    <rPh sb="30" eb="32">
      <t>ショゲン</t>
    </rPh>
    <rPh sb="33" eb="35">
      <t>シュツリョク</t>
    </rPh>
    <rPh sb="41" eb="43">
      <t>カクニン</t>
    </rPh>
    <phoneticPr fontId="1"/>
  </si>
  <si>
    <t>　2. オイルダンパー、鋼材ダンパーはB、C、D列で項目を選択し、E列以降に諸元が出力されることを確認する</t>
    <rPh sb="12" eb="14">
      <t>コウザイ</t>
    </rPh>
    <rPh sb="24" eb="25">
      <t>レツ</t>
    </rPh>
    <rPh sb="26" eb="28">
      <t>コウモク</t>
    </rPh>
    <rPh sb="29" eb="31">
      <t>センタク</t>
    </rPh>
    <rPh sb="34" eb="35">
      <t>レツ</t>
    </rPh>
    <rPh sb="35" eb="37">
      <t>イコウ</t>
    </rPh>
    <rPh sb="38" eb="40">
      <t>ショゲン</t>
    </rPh>
    <rPh sb="41" eb="43">
      <t>シュツリョク</t>
    </rPh>
    <rPh sb="49" eb="51">
      <t>カクニン</t>
    </rPh>
    <phoneticPr fontId="1"/>
  </si>
  <si>
    <t>　3. A列に基数を入力する</t>
    <rPh sb="5" eb="6">
      <t>レツ</t>
    </rPh>
    <rPh sb="7" eb="9">
      <t>キスウ</t>
    </rPh>
    <rPh sb="10" eb="12">
      <t>ニュウリョク</t>
    </rPh>
    <phoneticPr fontId="1"/>
  </si>
  <si>
    <t>　4. 弾性すべり支承、球面すべり支承はB列に平均軸力を入力する</t>
    <rPh sb="4" eb="6">
      <t>ダンセイ</t>
    </rPh>
    <rPh sb="9" eb="11">
      <t>シショウ</t>
    </rPh>
    <rPh sb="12" eb="14">
      <t>キュウメン</t>
    </rPh>
    <rPh sb="17" eb="19">
      <t>シショウ</t>
    </rPh>
    <rPh sb="21" eb="22">
      <t>レツ</t>
    </rPh>
    <rPh sb="23" eb="25">
      <t>ヘイキン</t>
    </rPh>
    <rPh sb="25" eb="27">
      <t>ジクリョク</t>
    </rPh>
    <rPh sb="28" eb="30">
      <t>ニュウリョク</t>
    </rPh>
    <phoneticPr fontId="1"/>
  </si>
  <si>
    <t>　1. A列に固定フォーマット形式の地震波データを入力する(説明文があってもOK)</t>
    <rPh sb="5" eb="6">
      <t>レツ</t>
    </rPh>
    <rPh sb="7" eb="9">
      <t>コテイ</t>
    </rPh>
    <rPh sb="15" eb="17">
      <t>ケイシキ</t>
    </rPh>
    <rPh sb="18" eb="21">
      <t>ジシンハ</t>
    </rPh>
    <rPh sb="25" eb="27">
      <t>ニュウリョク</t>
    </rPh>
    <rPh sb="30" eb="33">
      <t>セツメイブン</t>
    </rPh>
    <phoneticPr fontId="1"/>
  </si>
  <si>
    <t>　3. D~G列に必要事項を入力する。必要に応じてH列の地震波名を変更する</t>
    <rPh sb="7" eb="8">
      <t>レツ</t>
    </rPh>
    <rPh sb="9" eb="11">
      <t>ヒツヨウ</t>
    </rPh>
    <rPh sb="11" eb="13">
      <t>ジコウ</t>
    </rPh>
    <rPh sb="14" eb="16">
      <t>ニュウリョク</t>
    </rPh>
    <rPh sb="19" eb="21">
      <t>ヒツヨウ</t>
    </rPh>
    <rPh sb="22" eb="23">
      <t>オウ</t>
    </rPh>
    <rPh sb="26" eb="27">
      <t>レツ</t>
    </rPh>
    <rPh sb="28" eb="31">
      <t>ジシンハ</t>
    </rPh>
    <rPh sb="31" eb="32">
      <t>メイ</t>
    </rPh>
    <rPh sb="33" eb="35">
      <t>ヘンコウ</t>
    </rPh>
    <phoneticPr fontId="1"/>
  </si>
  <si>
    <t>　5. S23~S26セルが実行可になっていることを確認し、固有値解析実行ボタンをクリックする</t>
    <rPh sb="14" eb="16">
      <t>ジッコウ</t>
    </rPh>
    <rPh sb="16" eb="17">
      <t>カ</t>
    </rPh>
    <rPh sb="26" eb="28">
      <t>カクニン</t>
    </rPh>
    <rPh sb="30" eb="33">
      <t>コユウチ</t>
    </rPh>
    <rPh sb="33" eb="35">
      <t>カイセキ</t>
    </rPh>
    <rPh sb="35" eb="37">
      <t>ジッコウ</t>
    </rPh>
    <phoneticPr fontId="1"/>
  </si>
  <si>
    <t>[固有値]シート</t>
    <rPh sb="1" eb="4">
      <t>コユウチ</t>
    </rPh>
    <phoneticPr fontId="1"/>
  </si>
  <si>
    <t>[解析条件]シート</t>
    <rPh sb="1" eb="3">
      <t>カイセキ</t>
    </rPh>
    <rPh sb="3" eb="5">
      <t>ジョウケン</t>
    </rPh>
    <phoneticPr fontId="1"/>
  </si>
  <si>
    <t>[地震波]シート</t>
    <rPh sb="1" eb="4">
      <t>ジシンハ</t>
    </rPh>
    <phoneticPr fontId="1"/>
  </si>
  <si>
    <t>[X、Y、U、V方向]シート</t>
    <phoneticPr fontId="1"/>
  </si>
  <si>
    <t>　1. DA1セルで地震波の種類を選択する</t>
    <rPh sb="10" eb="13">
      <t>ジシンハ</t>
    </rPh>
    <rPh sb="14" eb="16">
      <t>シュルイ</t>
    </rPh>
    <rPh sb="17" eb="19">
      <t>センタク</t>
    </rPh>
    <phoneticPr fontId="1"/>
  </si>
  <si>
    <t>　2. 時刻歴応答解析実行ボタンをクリックする</t>
    <rPh sb="4" eb="11">
      <t>ジコクレキオウトウカイセキ</t>
    </rPh>
    <rPh sb="11" eb="13">
      <t>ジッコウ</t>
    </rPh>
    <phoneticPr fontId="1"/>
  </si>
  <si>
    <t>　5. T54、T55セルを変更するとT列以降の性能変動率が一括変更される。性能変動率＝温度＋製造ばらつき＋経年変化による性能変動率の合計</t>
    <rPh sb="14" eb="16">
      <t>ヘンコウ</t>
    </rPh>
    <rPh sb="20" eb="21">
      <t>レツ</t>
    </rPh>
    <rPh sb="21" eb="23">
      <t>イコウ</t>
    </rPh>
    <rPh sb="24" eb="29">
      <t>セイノウヘンドウリツ</t>
    </rPh>
    <rPh sb="30" eb="32">
      <t>イッカツ</t>
    </rPh>
    <rPh sb="32" eb="34">
      <t>ヘンコウ</t>
    </rPh>
    <rPh sb="38" eb="40">
      <t>セイノウ</t>
    </rPh>
    <rPh sb="40" eb="43">
      <t>ヘンドウリツ</t>
    </rPh>
    <rPh sb="44" eb="46">
      <t>オンド</t>
    </rPh>
    <rPh sb="47" eb="49">
      <t>セイゾウ</t>
    </rPh>
    <rPh sb="54" eb="56">
      <t>ケイネン</t>
    </rPh>
    <rPh sb="56" eb="58">
      <t>ヘンカ</t>
    </rPh>
    <rPh sb="61" eb="63">
      <t>セイノウ</t>
    </rPh>
    <rPh sb="63" eb="66">
      <t>ヘンドウリツ</t>
    </rPh>
    <rPh sb="67" eb="69">
      <t>ゴウケイ</t>
    </rPh>
    <phoneticPr fontId="1"/>
  </si>
  <si>
    <t>　6. 高減衰ゴム系積層ゴム支承の復元力特性はT57セルで変更する</t>
    <rPh sb="4" eb="5">
      <t>タカ</t>
    </rPh>
    <rPh sb="5" eb="7">
      <t>ゲンスイ</t>
    </rPh>
    <rPh sb="9" eb="12">
      <t>ケイセキソウ</t>
    </rPh>
    <rPh sb="14" eb="16">
      <t>シショウ</t>
    </rPh>
    <rPh sb="17" eb="22">
      <t>フクゲンリョクトクセイ</t>
    </rPh>
    <rPh sb="29" eb="31">
      <t>ヘンコウ</t>
    </rPh>
    <phoneticPr fontId="1"/>
  </si>
  <si>
    <t>　2. 地震波読込実行ボタンをクリックする</t>
    <rPh sb="4" eb="7">
      <t>ジシンハ</t>
    </rPh>
    <rPh sb="7" eb="9">
      <t>ヨミコミ</t>
    </rPh>
    <rPh sb="9" eb="11">
      <t>ジッコウ</t>
    </rPh>
    <phoneticPr fontId="1"/>
  </si>
  <si>
    <t>　4. 地震波読込実行ボタンをクリックする</t>
    <rPh sb="4" eb="7">
      <t>ジシンハ</t>
    </rPh>
    <rPh sb="7" eb="9">
      <t>ヨミコミ</t>
    </rPh>
    <rPh sb="9" eb="11">
      <t>ジッコウ</t>
    </rPh>
    <phoneticPr fontId="1"/>
  </si>
  <si>
    <t>[共通実行]</t>
    <rPh sb="1" eb="3">
      <t>キョウツウ</t>
    </rPh>
    <rPh sb="3" eb="5">
      <t>ジッコウ</t>
    </rPh>
    <phoneticPr fontId="1"/>
  </si>
  <si>
    <t>解析リボンをクリックすると、本ツールの各種実行ボタンが表示されます。</t>
    <rPh sb="0" eb="2">
      <t>カイセキ</t>
    </rPh>
    <rPh sb="14" eb="15">
      <t>ホン</t>
    </rPh>
    <rPh sb="19" eb="21">
      <t>カクシュ</t>
    </rPh>
    <rPh sb="21" eb="23">
      <t>ジッコウ</t>
    </rPh>
    <rPh sb="27" eb="29">
      <t>ヒョウジ</t>
    </rPh>
    <phoneticPr fontId="1"/>
  </si>
  <si>
    <t>　3. 免震層がある場合はS3~S6セルに必要事項を入力する</t>
    <rPh sb="4" eb="6">
      <t>メンシン</t>
    </rPh>
    <rPh sb="6" eb="7">
      <t>ソウ</t>
    </rPh>
    <rPh sb="10" eb="12">
      <t>バアイ</t>
    </rPh>
    <rPh sb="21" eb="23">
      <t>ヒツヨウ</t>
    </rPh>
    <rPh sb="23" eb="25">
      <t>ジコウ</t>
    </rPh>
    <rPh sb="26" eb="28">
      <t>ニュウリョク</t>
    </rPh>
    <phoneticPr fontId="1"/>
  </si>
  <si>
    <t>　3. W5セルと異なる復元力特性は、R~U列で指定する</t>
    <rPh sb="9" eb="10">
      <t>コト</t>
    </rPh>
    <rPh sb="12" eb="17">
      <t>フクゲンリョクトクセイ</t>
    </rPh>
    <rPh sb="24" eb="26">
      <t>シテイ</t>
    </rPh>
    <phoneticPr fontId="1"/>
  </si>
  <si>
    <t>[免震部材]シート（免震層がある場合のみ）</t>
    <rPh sb="1" eb="3">
      <t>メンシン</t>
    </rPh>
    <rPh sb="3" eb="5">
      <t>ブザイ</t>
    </rPh>
    <rPh sb="10" eb="12">
      <t>メンシン</t>
    </rPh>
    <rPh sb="12" eb="13">
      <t>ソウ</t>
    </rPh>
    <rPh sb="16" eb="18">
      <t>バアイ</t>
    </rPh>
    <phoneticPr fontId="1"/>
  </si>
  <si>
    <t>　5. 地震波の色を変更する場合は、C列のセルの色を変更し、地震波読込実行ボタンをクリックする</t>
    <rPh sb="4" eb="7">
      <t>ジシンハ</t>
    </rPh>
    <rPh sb="8" eb="9">
      <t>イロ</t>
    </rPh>
    <rPh sb="10" eb="12">
      <t>ヘンコウ</t>
    </rPh>
    <rPh sb="14" eb="16">
      <t>バアイ</t>
    </rPh>
    <rPh sb="19" eb="20">
      <t>レツ</t>
    </rPh>
    <rPh sb="24" eb="25">
      <t>イロ</t>
    </rPh>
    <rPh sb="26" eb="28">
      <t>ヘンコウ</t>
    </rPh>
    <rPh sb="30" eb="33">
      <t>ジシンハ</t>
    </rPh>
    <rPh sb="33" eb="35">
      <t>ヨミコミ</t>
    </rPh>
    <rPh sb="35" eb="37">
      <t>ジッコウ</t>
    </rPh>
    <phoneticPr fontId="1"/>
  </si>
  <si>
    <t>　3. 免震層がある場合は、DA3セルを変更し、状態1～3の解析結果を確認する</t>
    <rPh sb="4" eb="6">
      <t>メンシン</t>
    </rPh>
    <rPh sb="6" eb="7">
      <t>ソウ</t>
    </rPh>
    <rPh sb="10" eb="12">
      <t>バアイ</t>
    </rPh>
    <rPh sb="20" eb="22">
      <t>ヘンコウ</t>
    </rPh>
    <rPh sb="24" eb="26">
      <t>ジョウタイ</t>
    </rPh>
    <rPh sb="30" eb="32">
      <t>カイセキ</t>
    </rPh>
    <rPh sb="32" eb="34">
      <t>ケッカ</t>
    </rPh>
    <rPh sb="35" eb="37">
      <t>カクニン</t>
    </rPh>
    <phoneticPr fontId="1"/>
  </si>
  <si>
    <t>　・SLB</t>
    <phoneticPr fontId="1"/>
  </si>
  <si>
    <t>　・NSUD</t>
    <phoneticPr fontId="1"/>
  </si>
  <si>
    <t>：bi-linearモデル</t>
    <phoneticPr fontId="1"/>
  </si>
  <si>
    <t>　・行列計算　　　　：Eigen (https://libeigen.gitlab.io、ライセンス：MPL 2.0)</t>
    <rPh sb="2" eb="4">
      <t>ギョウレツ</t>
    </rPh>
    <rPh sb="4" eb="6">
      <t>ケイサン</t>
    </rPh>
    <phoneticPr fontId="1"/>
  </si>
  <si>
    <t>下記のメッセージが表示される場合は、Excelファイルを右クリック → プロパティ → セキュリティ → 許可するにチェックを入れる → OKボタンをクリックしてください。</t>
    <rPh sb="0" eb="2">
      <t>カキ</t>
    </rPh>
    <rPh sb="9" eb="11">
      <t>ヒョウジ</t>
    </rPh>
    <rPh sb="28" eb="29">
      <t>ミギ</t>
    </rPh>
    <rPh sb="53" eb="55">
      <t>キョカ</t>
    </rPh>
    <rPh sb="63" eb="64">
      <t>イ</t>
    </rPh>
    <phoneticPr fontId="1"/>
  </si>
  <si>
    <t>If the message below appears, click the "Enable Content" button.</t>
  </si>
  <si>
    <t>If the message below appears, right-click the Excel file → Properties → Security → check "Unblock" → click OK.</t>
  </si>
  <si>
    <t>[General]</t>
  </si>
  <si>
    <t>Click the "Analysis" ribbon tab to show the run buttons for this tool.</t>
  </si>
  <si>
    <t>If the message below appears, download sqliteodbc_w64.exe from http://www.ch-werner.de/sqliteodbc/ and install it.</t>
  </si>
  <si>
    <t>[固有値 (Eigenvalue)] sheet</t>
  </si>
  <si>
    <t xml:space="preserve">  1. Enter the weight and structural story height in columns D and E.</t>
  </si>
  <si>
    <t xml:space="preserve">  3. If there is a seismic isolation layer, fill in the required items in cells S3–S6.</t>
  </si>
  <si>
    <t xml:space="preserve">  4. Select the proportional damping type in cell S18 and enter the damping ratio in cell S19 or S20.</t>
  </si>
  <si>
    <t xml:space="preserve">  5. Confirm that cells S23–S26 show "実行可" (ready), then click the Eigenvalue Analysis "Run" button.</t>
  </si>
  <si>
    <t xml:space="preserve">  ↓</t>
  </si>
  <si>
    <t>[解析条件 (Analysis Conditions)] sheet</t>
  </si>
  <si>
    <t>The libraries used in this tool are listed below. Many thanks to their authors for publishing the source code.</t>
  </si>
  <si>
    <t xml:space="preserve">  1. Change the options in column W as needed.</t>
  </si>
  <si>
    <t xml:space="preserve">  2. In columns B–Q, enter Q1 and α1 if the hysteresis model is Bi-Linear; for Takeda, also enter Q2 and α2.</t>
  </si>
  <si>
    <t xml:space="preserve">  3. Specify any hysteresis model that differs from cell W5 in columns R–U.</t>
  </si>
  <si>
    <t>The cloud environment runs within the Oracle Cloud Infrastructure Always Free tier shown below.</t>
  </si>
  <si>
    <t>(1,500 OCPU hours and 9,000 GB hours per month → 2 OCPU + 12 GB RAM running continuously)</t>
  </si>
  <si>
    <t xml:space="preserve">  1. For bearings, select items in order from column C → D → …, and confirm that the specifications appear in column J onward.</t>
  </si>
  <si>
    <t xml:space="preserve">  2. For oil dampers and steel dampers, select items in columns B, C and D, and confirm that the specifications appear in column E onward.</t>
  </si>
  <si>
    <t>The numerical methods used in this tool are as follows.</t>
  </si>
  <si>
    <t xml:space="preserve">  3. Enter the number of units in column A.</t>
  </si>
  <si>
    <t xml:space="preserve">  • Eigenvalue analysis</t>
  </si>
  <si>
    <t>: Jacobi eigenvalue algorithm</t>
  </si>
  <si>
    <t xml:space="preserve">  4. For elastic sliding bearings and spherical sliding bearings, enter the average axial force in column B.</t>
  </si>
  <si>
    <t xml:space="preserve">  • Time-history response analysis</t>
  </si>
  <si>
    <t>: Newmark-β method</t>
  </si>
  <si>
    <t xml:space="preserve">  6. Change the hysteresis model of high-damping rubber bearings in cell T57.</t>
  </si>
  <si>
    <t>The isolation device lineup is as follows.</t>
  </si>
  <si>
    <t>[地震波 (Seismic Waves)] sheet</t>
  </si>
  <si>
    <t xml:space="preserve">  1. Enter fixed-format seismic wave data in column A (header/description lines are OK).</t>
  </si>
  <si>
    <t xml:space="preserve">  2. Click the Load Seismic Waves "Run" button.</t>
  </si>
  <si>
    <t xml:space="preserve">  3. Fill in the required items in columns D–G. Change the wave names in column H as needed.</t>
  </si>
  <si>
    <t xml:space="preserve">  4. Click the Load Seismic Waves "Run" button.</t>
  </si>
  <si>
    <t xml:space="preserve">  5. To change a wave's color, change the fill color of its cell in column C, then click the Load Seismic Waves "Run" button.</t>
  </si>
  <si>
    <t>[X方向 / Y方向 / U方向 / V方向 (X/Y/U/V direction)] sheets</t>
  </si>
  <si>
    <t xml:space="preserve">  1. Select the seismic wave level in cell DA1.</t>
  </si>
  <si>
    <t>: KYM isolation oil dampers (OD)</t>
  </si>
  <si>
    <t xml:space="preserve">  2. Click the Time-History Response Analysis "Run" button.</t>
  </si>
  <si>
    <t xml:space="preserve">  3. If there is an isolation layer, change cell DA3 and check the results for 状態1–3 (States 1–3).</t>
  </si>
  <si>
    <t>The isolation devices are modeled as follows.</t>
  </si>
  <si>
    <t xml:space="preserve">  • NRB</t>
  </si>
  <si>
    <t xml:space="preserve">  • HRB</t>
  </si>
  <si>
    <t xml:space="preserve">  • LRB, SnRB</t>
  </si>
  <si>
    <t xml:space="preserve">  • SLB</t>
  </si>
  <si>
    <t xml:space="preserve">  • NSUD</t>
  </si>
  <si>
    <t xml:space="preserve">  • SSB</t>
  </si>
  <si>
    <t xml:space="preserve">  • OD</t>
  </si>
  <si>
    <t>This tool is version [261013]</t>
    <phoneticPr fontId="1"/>
  </si>
  <si>
    <t>Revision History</t>
    <phoneticPr fontId="1"/>
  </si>
  <si>
    <t>Initial release.</t>
    <phoneticPr fontId="1"/>
  </si>
  <si>
    <t>[免震部材 (Isolation Devices)] sheet (only if there is a seismic isolation layer)</t>
    <phoneticPr fontId="1"/>
  </si>
  <si>
    <t xml:space="preserve">  5. Changing cells T54 and T55 updates all performance variation rates in column T onward at once.</t>
    <phoneticPr fontId="1"/>
  </si>
  <si>
    <t>　　Performance variation rate = sum of the variations due to temperature + manufacturing tolerance + aging.</t>
    <phoneticPr fontId="1"/>
  </si>
  <si>
    <t xml:space="preserve">  2. For the equivalent shear model, enter the shear stiffness in columns F–I.</t>
    <phoneticPr fontId="1"/>
  </si>
  <si>
    <t>　　For the equivalent bending-shear model, enter G·A and E·I in columns J–Q.</t>
    <phoneticPr fontId="1"/>
  </si>
  <si>
    <t xml:space="preserve">  • Cloud communication</t>
    <phoneticPr fontId="1"/>
  </si>
  <si>
    <t>: cpp-httplib (https://github.com/yhirose/cpp-httplib, License: MIT license)</t>
    <phoneticPr fontId="1"/>
  </si>
  <si>
    <t xml:space="preserve">  • Matrix computation</t>
    <phoneticPr fontId="1"/>
  </si>
  <si>
    <t>: Eigen (https://libeigen.gitlab.io, License: MPL 2.0)</t>
  </si>
  <si>
    <t xml:space="preserve">  • Bridgestone Diversified Products Japan Co.,Ltd.</t>
    <phoneticPr fontId="1"/>
  </si>
  <si>
    <t xml:space="preserve">  • Oiles Corporation</t>
    <phoneticPr fontId="1"/>
  </si>
  <si>
    <t xml:space="preserve">  • Nippon Steel Engineering Co., Ltd.</t>
    <phoneticPr fontId="1"/>
  </si>
  <si>
    <t xml:space="preserve">  • Aseismic Devices Co., Ltd.</t>
    <phoneticPr fontId="1"/>
  </si>
  <si>
    <t>: natural rubber bearings (NRB), high-damping rubber bearings (HRB), lead-plug rubber bearings (LRB), elastic sliding bearings (SLB)</t>
    <phoneticPr fontId="1"/>
  </si>
  <si>
    <t>: spherical sliding bearings (SSB), NSU isolation dampers (NSUD)</t>
    <phoneticPr fontId="1"/>
  </si>
  <si>
    <t>: tin-plug rubber bearings (SnRB)</t>
    <phoneticPr fontId="1"/>
  </si>
  <si>
    <t>: natural rubber bearings (NRB), lead-plug rubber bearings (LRB), elastic sliding bearings (SLB)</t>
    <phoneticPr fontId="1"/>
  </si>
  <si>
    <t xml:space="preserve">  • Kawakin Core-Tech Co., Ltd.</t>
    <phoneticPr fontId="1"/>
  </si>
  <si>
    <t>: linear model</t>
    <phoneticPr fontId="1"/>
  </si>
  <si>
    <t>: modified bi-linear model or Kikuchi-Aiken model</t>
    <phoneticPr fontId="1"/>
  </si>
  <si>
    <t>: modified bi-linear model</t>
    <phoneticPr fontId="1"/>
  </si>
  <si>
    <t>: bi-linear model (perfectly elastic-plastic)</t>
    <phoneticPr fontId="1"/>
  </si>
  <si>
    <t>: bi-linear model</t>
    <phoneticPr fontId="1"/>
  </si>
  <si>
    <t>: bi-linear model (with velocity-dependent friction coefficient)</t>
    <phoneticPr fontId="1"/>
  </si>
  <si>
    <t>: Maxwell model</t>
    <phoneticPr fontId="1"/>
  </si>
  <si>
    <t>Version [261013]</t>
    <phoneticPr fontId="1"/>
  </si>
  <si>
    <t>User Manual</t>
    <phoneticPr fontId="1"/>
  </si>
  <si>
    <t>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</si>
</sst>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10"/>
      <color rgb="FF0066CC"/>
      <name val="ＭＳ Ｐゴシック"/>
      <family val="3"/>
      <charset val="128"/>
    </font>
    <font>
      <sz val="10"/>
      <color theme="1"/>
      <name val="ＭＳ Ｐゴシック"/>
      <family val="2"/>
      <charset val="128"/>
    </font>
    <font>
      <sz val="10"/>
      <color theme="1"/>
      <name val="ＭＳ ゴシック"/>
      <family val="3"/>
      <charset val="128"/>
    </font>
    <font>
      <sz val="6"/>
      <name val="ＭＳ Ｐゴシック"/>
      <family val="2"/>
      <charset val="128"/>
    </font>
    <font>
      <sz val="10"/>
      <color rgb="FFFF0000"/>
      <name val="ＭＳ ゴシック"/>
      <family val="3"/>
      <charset val="128"/>
    </font>
    <font>
      <sz val="10"/>
      <name val="ＭＳ ゴシック"/>
      <family val="3"/>
      <charset val="128"/>
    </font>
    <font>
      <sz val="10"/>
      <color rgb="FF0000FF"/>
      <name val="ＭＳ ゴシック"/>
      <family val="3"/>
      <charset val="128"/>
    </font>
    <font>
      <sz val="10"/>
      <color theme="0" tint="-0.249977111117893"/>
      <name val="ＭＳ ゴシック"/>
      <family val="3"/>
      <charset val="128"/>
    </font>
    <font>
      <sz val="10"/>
      <color rgb="FF0066CC"/>
      <name val="ＭＳ Ｐゴシック"/>
      <family val="3"/>
      <charset val="128"/>
    </font>
    <font>
      <sz val="10"/>
      <color theme="0"/>
      <name val="ＭＳ ゴシック"/>
      <family val="3"/>
      <charset val="128"/>
    </font>
    <font>
      <b/>
      <sz val="10"/>
      <color rgb="FF008000"/>
      <name val="ＭＳ Ｐゴシック"/>
      <family val="3"/>
      <charset val="128"/>
    </font>
    <font>
      <sz val="10"/>
      <color theme="1"/>
      <name val="游ゴシック"/>
      <family val="2"/>
      <charset val="128"/>
      <scheme val="minor"/>
    </font>
    <font>
      <vertAlign val="superscript"/>
      <sz val="10"/>
      <name val="ＭＳ ゴシック"/>
      <family val="3"/>
      <charset val="128"/>
    </font>
    <font>
      <sz val="10"/>
      <color indexed="81"/>
      <name val="MS P ゴシック"/>
      <family val="3"/>
      <charset val="128"/>
    </font>
    <font>
      <sz val="10"/>
      <color indexed="81"/>
      <name val="ＭＳ ゴシック"/>
      <family val="3"/>
      <charset val="128"/>
    </font>
    <font>
      <sz val="10"/>
      <name val="ＭＳ ゴシック"/>
      <family val="2"/>
      <charset val="128"/>
    </font>
    <font>
      <sz val="10"/>
      <color theme="1"/>
      <name val="メイリオ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rgb="FFD86DCD"/>
        <bgColor indexed="64"/>
      </patternFill>
    </fill>
    <fill>
      <patternFill patternType="solid">
        <fgColor rgb="FF61CBF3"/>
        <bgColor indexed="64"/>
      </patternFill>
    </fill>
    <fill>
      <patternFill patternType="solid">
        <fgColor rgb="FF47D359"/>
        <bgColor indexed="64"/>
      </patternFill>
    </fill>
    <fill>
      <patternFill patternType="solid">
        <fgColor rgb="FFF1A983"/>
        <bgColor indexed="64"/>
      </patternFill>
    </fill>
    <fill>
      <patternFill patternType="solid">
        <fgColor rgb="FF44B3E1"/>
        <bgColor indexed="64"/>
      </patternFill>
    </fill>
    <fill>
      <patternFill patternType="solid">
        <fgColor rgb="FF4D93D9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BFBFBF"/>
        <bgColor indexed="64"/>
      </patternFill>
    </fill>
  </fills>
  <borders count="4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</borders>
  <cellStyleXfs count="3">
    <xf numFmtId="0" fontId="0" fillId="0" borderId="0">
      <alignment vertical="center"/>
    </xf>
    <xf numFmtId="0" fontId="3" fillId="0" borderId="0">
      <alignment vertical="center"/>
    </xf>
    <xf numFmtId="0" fontId="13" fillId="0" borderId="0">
      <alignment vertical="center"/>
    </xf>
  </cellStyleXfs>
  <cellXfs count="164">
    <xf numFmtId="0" fontId="0" fillId="0" borderId="0" xfId="0">
      <alignment vertical="center"/>
    </xf>
    <xf numFmtId="0" fontId="4" fillId="0" borderId="0" xfId="1" applyFont="1" applyProtection="1">
      <alignment vertical="center"/>
      <protection locked="0"/>
    </xf>
    <xf numFmtId="0" fontId="4" fillId="0" borderId="1" xfId="1" applyFont="1" applyBorder="1" applyAlignment="1" applyProtection="1">
      <alignment horizontal="center" vertical="center"/>
      <protection locked="0"/>
    </xf>
    <xf numFmtId="0" fontId="4" fillId="0" borderId="2" xfId="1" applyFont="1" applyBorder="1" applyAlignment="1" applyProtection="1">
      <alignment horizontal="center" vertical="center"/>
      <protection locked="0"/>
    </xf>
    <xf numFmtId="0" fontId="7" fillId="0" borderId="3" xfId="1" applyFont="1" applyBorder="1" applyAlignment="1" applyProtection="1">
      <alignment horizontal="center" vertical="center"/>
      <protection locked="0"/>
    </xf>
    <xf numFmtId="0" fontId="4" fillId="0" borderId="0" xfId="1" applyFont="1" applyAlignment="1">
      <alignment horizontal="right" vertical="center"/>
    </xf>
    <xf numFmtId="0" fontId="8" fillId="2" borderId="5" xfId="1" applyFont="1" applyFill="1" applyBorder="1" applyProtection="1">
      <alignment vertical="center"/>
      <protection locked="0"/>
    </xf>
    <xf numFmtId="0" fontId="8" fillId="2" borderId="7" xfId="1" applyFont="1" applyFill="1" applyBorder="1" applyProtection="1">
      <alignment vertical="center"/>
      <protection locked="0"/>
    </xf>
    <xf numFmtId="0" fontId="8" fillId="2" borderId="8" xfId="1" applyFont="1" applyFill="1" applyBorder="1" applyProtection="1">
      <alignment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7" fillId="0" borderId="0" xfId="1" applyFont="1" applyProtection="1">
      <alignment vertical="center"/>
      <protection locked="0"/>
    </xf>
    <xf numFmtId="0" fontId="7" fillId="0" borderId="0" xfId="1" applyFont="1" applyAlignment="1" applyProtection="1">
      <alignment horizontal="center" vertical="center"/>
      <protection locked="0"/>
    </xf>
    <xf numFmtId="0" fontId="7" fillId="0" borderId="0" xfId="1" applyFont="1">
      <alignment vertical="center"/>
    </xf>
    <xf numFmtId="0" fontId="4" fillId="0" borderId="0" xfId="1" applyFont="1">
      <alignment vertical="center"/>
    </xf>
    <xf numFmtId="0" fontId="7" fillId="0" borderId="0" xfId="1" applyFont="1" applyAlignment="1" applyProtection="1">
      <alignment horizontal="right" vertical="center"/>
      <protection locked="0"/>
    </xf>
    <xf numFmtId="0" fontId="7" fillId="0" borderId="9" xfId="1" applyFont="1" applyBorder="1" applyAlignment="1" applyProtection="1">
      <alignment horizontal="center" vertical="center"/>
      <protection locked="0"/>
    </xf>
    <xf numFmtId="0" fontId="7" fillId="0" borderId="9" xfId="1" applyFont="1" applyBorder="1" applyAlignment="1" applyProtection="1">
      <alignment horizontal="left" vertical="center"/>
      <protection locked="0"/>
    </xf>
    <xf numFmtId="0" fontId="4" fillId="0" borderId="3" xfId="1" applyFont="1" applyBorder="1" applyAlignment="1" applyProtection="1">
      <alignment horizontal="center" vertical="center"/>
      <protection locked="0"/>
    </xf>
    <xf numFmtId="0" fontId="7" fillId="0" borderId="2" xfId="1" applyFont="1" applyBorder="1" applyAlignment="1" applyProtection="1">
      <alignment horizontal="center" vertical="center"/>
      <protection locked="0"/>
    </xf>
    <xf numFmtId="0" fontId="4" fillId="0" borderId="5" xfId="1" applyFont="1" applyBorder="1" applyAlignment="1" applyProtection="1">
      <alignment horizontal="center" vertical="center"/>
      <protection locked="0"/>
    </xf>
    <xf numFmtId="0" fontId="7" fillId="0" borderId="4" xfId="1" applyFont="1" applyBorder="1" applyAlignment="1" applyProtection="1">
      <alignment horizontal="center" vertical="center"/>
      <protection locked="0"/>
    </xf>
    <xf numFmtId="0" fontId="4" fillId="0" borderId="7" xfId="1" applyFont="1" applyBorder="1" applyAlignment="1" applyProtection="1">
      <alignment horizontal="center" vertical="center"/>
      <protection locked="0"/>
    </xf>
    <xf numFmtId="0" fontId="4" fillId="0" borderId="13" xfId="1" applyFont="1" applyBorder="1" applyAlignment="1" applyProtection="1">
      <alignment horizontal="center" vertical="center"/>
      <protection locked="0"/>
    </xf>
    <xf numFmtId="0" fontId="7" fillId="0" borderId="15" xfId="1" applyFont="1" applyBorder="1" applyAlignment="1" applyProtection="1">
      <alignment horizontal="center" vertical="center"/>
      <protection locked="0"/>
    </xf>
    <xf numFmtId="0" fontId="4" fillId="0" borderId="10" xfId="1" applyFont="1" applyBorder="1" applyAlignment="1">
      <alignment horizontal="center" vertical="center"/>
    </xf>
    <xf numFmtId="0" fontId="4" fillId="0" borderId="12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16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4" fillId="0" borderId="17" xfId="1" applyFont="1" applyBorder="1" applyAlignment="1">
      <alignment horizontal="center" vertical="center"/>
    </xf>
    <xf numFmtId="0" fontId="8" fillId="2" borderId="19" xfId="1" applyFont="1" applyFill="1" applyBorder="1">
      <alignment vertical="center"/>
    </xf>
    <xf numFmtId="0" fontId="8" fillId="2" borderId="20" xfId="1" applyFont="1" applyFill="1" applyBorder="1">
      <alignment vertical="center"/>
    </xf>
    <xf numFmtId="0" fontId="8" fillId="2" borderId="21" xfId="1" applyFont="1" applyFill="1" applyBorder="1">
      <alignment vertical="center"/>
    </xf>
    <xf numFmtId="0" fontId="8" fillId="2" borderId="22" xfId="1" applyFont="1" applyFill="1" applyBorder="1" applyAlignment="1">
      <alignment horizontal="center" vertical="center"/>
    </xf>
    <xf numFmtId="0" fontId="8" fillId="2" borderId="23" xfId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4" fillId="0" borderId="25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27" xfId="1" applyFont="1" applyBorder="1">
      <alignment vertical="center"/>
    </xf>
    <xf numFmtId="0" fontId="4" fillId="0" borderId="28" xfId="1" applyFont="1" applyBorder="1">
      <alignment vertical="center"/>
    </xf>
    <xf numFmtId="0" fontId="4" fillId="0" borderId="29" xfId="1" applyFont="1" applyBorder="1">
      <alignment vertical="center"/>
    </xf>
    <xf numFmtId="0" fontId="4" fillId="0" borderId="15" xfId="1" applyFont="1" applyBorder="1">
      <alignment vertical="center"/>
    </xf>
    <xf numFmtId="0" fontId="4" fillId="0" borderId="14" xfId="1" applyFont="1" applyBorder="1">
      <alignment vertical="center"/>
    </xf>
    <xf numFmtId="0" fontId="8" fillId="2" borderId="30" xfId="1" applyFont="1" applyFill="1" applyBorder="1">
      <alignment vertical="center"/>
    </xf>
    <xf numFmtId="0" fontId="8" fillId="2" borderId="28" xfId="1" applyFont="1" applyFill="1" applyBorder="1">
      <alignment vertical="center"/>
    </xf>
    <xf numFmtId="0" fontId="8" fillId="2" borderId="29" xfId="1" applyFont="1" applyFill="1" applyBorder="1">
      <alignment vertical="center"/>
    </xf>
    <xf numFmtId="0" fontId="8" fillId="2" borderId="27" xfId="1" applyFont="1" applyFill="1" applyBorder="1" applyAlignment="1">
      <alignment horizontal="center" vertical="center"/>
    </xf>
    <xf numFmtId="0" fontId="8" fillId="2" borderId="31" xfId="1" applyFont="1" applyFill="1" applyBorder="1" applyAlignment="1">
      <alignment horizontal="center" vertical="center"/>
    </xf>
    <xf numFmtId="0" fontId="7" fillId="0" borderId="28" xfId="1" applyFont="1" applyBorder="1">
      <alignment vertical="center"/>
    </xf>
    <xf numFmtId="0" fontId="4" fillId="0" borderId="32" xfId="1" applyFont="1" applyBorder="1" applyAlignment="1">
      <alignment horizontal="center" vertical="center"/>
    </xf>
    <xf numFmtId="0" fontId="4" fillId="0" borderId="33" xfId="1" applyFont="1" applyBorder="1" applyAlignment="1">
      <alignment horizontal="center" vertical="center"/>
    </xf>
    <xf numFmtId="0" fontId="4" fillId="0" borderId="34" xfId="1" applyFont="1" applyBorder="1">
      <alignment vertical="center"/>
    </xf>
    <xf numFmtId="0" fontId="4" fillId="0" borderId="30" xfId="1" applyFont="1" applyBorder="1">
      <alignment vertical="center"/>
    </xf>
    <xf numFmtId="0" fontId="8" fillId="2" borderId="34" xfId="1" applyFont="1" applyFill="1" applyBorder="1">
      <alignment vertical="center"/>
    </xf>
    <xf numFmtId="0" fontId="8" fillId="2" borderId="24" xfId="1" applyFont="1" applyFill="1" applyBorder="1">
      <alignment vertical="center"/>
    </xf>
    <xf numFmtId="0" fontId="8" fillId="2" borderId="25" xfId="1" applyFont="1" applyFill="1" applyBorder="1">
      <alignment vertical="center"/>
    </xf>
    <xf numFmtId="0" fontId="4" fillId="0" borderId="6" xfId="1" applyFont="1" applyBorder="1">
      <alignment vertical="center"/>
    </xf>
    <xf numFmtId="0" fontId="8" fillId="2" borderId="35" xfId="1" applyFont="1" applyFill="1" applyBorder="1">
      <alignment vertical="center"/>
    </xf>
    <xf numFmtId="0" fontId="8" fillId="2" borderId="36" xfId="1" applyFont="1" applyFill="1" applyBorder="1">
      <alignment vertical="center"/>
    </xf>
    <xf numFmtId="0" fontId="8" fillId="2" borderId="37" xfId="1" applyFont="1" applyFill="1" applyBorder="1">
      <alignment vertical="center"/>
    </xf>
    <xf numFmtId="0" fontId="8" fillId="2" borderId="38" xfId="1" applyFont="1" applyFill="1" applyBorder="1" applyAlignment="1">
      <alignment horizontal="center" vertical="center"/>
    </xf>
    <xf numFmtId="0" fontId="8" fillId="2" borderId="0" xfId="1" applyFont="1" applyFill="1" applyAlignment="1">
      <alignment horizontal="center" vertical="center"/>
    </xf>
    <xf numFmtId="0" fontId="8" fillId="2" borderId="39" xfId="1" applyFont="1" applyFill="1" applyBorder="1">
      <alignment vertical="center"/>
    </xf>
    <xf numFmtId="0" fontId="8" fillId="2" borderId="40" xfId="1" applyFont="1" applyFill="1" applyBorder="1">
      <alignment vertical="center"/>
    </xf>
    <xf numFmtId="0" fontId="8" fillId="2" borderId="41" xfId="1" applyFont="1" applyFill="1" applyBorder="1">
      <alignment vertical="center"/>
    </xf>
    <xf numFmtId="0" fontId="4" fillId="0" borderId="39" xfId="1" applyFont="1" applyBorder="1">
      <alignment vertical="center"/>
    </xf>
    <xf numFmtId="0" fontId="4" fillId="0" borderId="41" xfId="1" applyFont="1" applyBorder="1">
      <alignment vertical="center"/>
    </xf>
    <xf numFmtId="0" fontId="8" fillId="2" borderId="19" xfId="1" applyFont="1" applyFill="1" applyBorder="1" applyAlignment="1">
      <alignment horizontal="center" vertical="center"/>
    </xf>
    <xf numFmtId="0" fontId="8" fillId="2" borderId="20" xfId="1" applyFont="1" applyFill="1" applyBorder="1" applyAlignment="1">
      <alignment horizontal="center" vertical="center"/>
    </xf>
    <xf numFmtId="0" fontId="8" fillId="2" borderId="21" xfId="1" applyFont="1" applyFill="1" applyBorder="1" applyAlignment="1">
      <alignment horizontal="center" vertical="center"/>
    </xf>
    <xf numFmtId="0" fontId="4" fillId="0" borderId="22" xfId="1" applyFont="1" applyBorder="1">
      <alignment vertical="center"/>
    </xf>
    <xf numFmtId="0" fontId="4" fillId="0" borderId="20" xfId="1" applyFont="1" applyBorder="1">
      <alignment vertical="center"/>
    </xf>
    <xf numFmtId="0" fontId="4" fillId="0" borderId="21" xfId="1" applyFont="1" applyBorder="1">
      <alignment vertical="center"/>
    </xf>
    <xf numFmtId="0" fontId="8" fillId="2" borderId="30" xfId="1" applyFont="1" applyFill="1" applyBorder="1" applyAlignment="1">
      <alignment horizontal="center" vertical="center"/>
    </xf>
    <xf numFmtId="0" fontId="8" fillId="2" borderId="28" xfId="1" applyFont="1" applyFill="1" applyBorder="1" applyAlignment="1">
      <alignment horizontal="center" vertical="center"/>
    </xf>
    <xf numFmtId="0" fontId="8" fillId="2" borderId="29" xfId="1" applyFont="1" applyFill="1" applyBorder="1" applyAlignment="1">
      <alignment horizontal="center" vertical="center"/>
    </xf>
    <xf numFmtId="0" fontId="8" fillId="2" borderId="4" xfId="1" applyFont="1" applyFill="1" applyBorder="1">
      <alignment vertical="center"/>
    </xf>
    <xf numFmtId="0" fontId="8" fillId="2" borderId="4" xfId="1" applyFont="1" applyFill="1" applyBorder="1" applyAlignment="1">
      <alignment horizontal="center" vertical="center"/>
    </xf>
    <xf numFmtId="0" fontId="8" fillId="2" borderId="26" xfId="1" applyFont="1" applyFill="1" applyBorder="1">
      <alignment vertical="center"/>
    </xf>
    <xf numFmtId="0" fontId="8" fillId="2" borderId="7" xfId="1" applyFont="1" applyFill="1" applyBorder="1">
      <alignment vertical="center"/>
    </xf>
    <xf numFmtId="0" fontId="8" fillId="2" borderId="15" xfId="1" applyFont="1" applyFill="1" applyBorder="1">
      <alignment vertical="center"/>
    </xf>
    <xf numFmtId="0" fontId="8" fillId="2" borderId="15" xfId="1" applyFont="1" applyFill="1" applyBorder="1" applyAlignment="1">
      <alignment horizontal="center" vertical="center"/>
    </xf>
    <xf numFmtId="0" fontId="8" fillId="2" borderId="13" xfId="1" applyFont="1" applyFill="1" applyBorder="1">
      <alignment vertical="center"/>
    </xf>
    <xf numFmtId="0" fontId="8" fillId="2" borderId="9" xfId="1" applyFont="1" applyFill="1" applyBorder="1">
      <alignment vertical="center"/>
    </xf>
    <xf numFmtId="0" fontId="4" fillId="2" borderId="30" xfId="1" applyFont="1" applyFill="1" applyBorder="1">
      <alignment vertical="center"/>
    </xf>
    <xf numFmtId="0" fontId="4" fillId="2" borderId="28" xfId="1" applyFont="1" applyFill="1" applyBorder="1">
      <alignment vertical="center"/>
    </xf>
    <xf numFmtId="0" fontId="4" fillId="2" borderId="29" xfId="1" applyFont="1" applyFill="1" applyBorder="1">
      <alignment vertical="center"/>
    </xf>
    <xf numFmtId="0" fontId="4" fillId="2" borderId="40" xfId="1" applyFont="1" applyFill="1" applyBorder="1">
      <alignment vertical="center"/>
    </xf>
    <xf numFmtId="0" fontId="4" fillId="2" borderId="41" xfId="1" applyFont="1" applyFill="1" applyBorder="1">
      <alignment vertical="center"/>
    </xf>
    <xf numFmtId="0" fontId="4" fillId="0" borderId="40" xfId="1" applyFont="1" applyBorder="1">
      <alignment vertical="center"/>
    </xf>
    <xf numFmtId="0" fontId="4" fillId="0" borderId="11" xfId="1" applyFont="1" applyBorder="1">
      <alignment vertical="center"/>
    </xf>
    <xf numFmtId="0" fontId="7" fillId="0" borderId="0" xfId="2" applyFont="1">
      <alignment vertical="center"/>
    </xf>
    <xf numFmtId="0" fontId="4" fillId="0" borderId="0" xfId="2" applyFont="1">
      <alignment vertical="center"/>
    </xf>
    <xf numFmtId="0" fontId="9" fillId="0" borderId="0" xfId="2" applyFont="1">
      <alignment vertical="center"/>
    </xf>
    <xf numFmtId="0" fontId="9" fillId="0" borderId="0" xfId="1" applyFont="1">
      <alignment vertical="center"/>
    </xf>
    <xf numFmtId="0" fontId="4" fillId="0" borderId="0" xfId="1" applyFont="1" applyAlignment="1">
      <alignment horizontal="center" vertical="center"/>
    </xf>
    <xf numFmtId="0" fontId="8" fillId="4" borderId="2" xfId="1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7" fillId="0" borderId="14" xfId="1" applyFont="1" applyBorder="1">
      <alignment vertical="center"/>
    </xf>
    <xf numFmtId="0" fontId="4" fillId="0" borderId="0" xfId="0" applyFont="1" applyAlignment="1">
      <alignment horizontal="center" vertical="center"/>
    </xf>
    <xf numFmtId="0" fontId="4" fillId="0" borderId="14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5" xfId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  <xf numFmtId="0" fontId="4" fillId="0" borderId="8" xfId="1" applyFont="1" applyBorder="1" applyAlignment="1">
      <alignment horizontal="center" vertical="center"/>
    </xf>
    <xf numFmtId="0" fontId="8" fillId="2" borderId="5" xfId="1" applyFont="1" applyFill="1" applyBorder="1" applyAlignment="1">
      <alignment horizontal="center" vertical="center"/>
    </xf>
    <xf numFmtId="0" fontId="8" fillId="2" borderId="8" xfId="1" applyFont="1" applyFill="1" applyBorder="1" applyAlignment="1">
      <alignment horizontal="center" vertical="center"/>
    </xf>
    <xf numFmtId="0" fontId="4" fillId="0" borderId="0" xfId="0" applyFont="1" applyProtection="1">
      <alignment vertical="center"/>
      <protection locked="0"/>
    </xf>
    <xf numFmtId="0" fontId="4" fillId="0" borderId="14" xfId="0" applyFont="1" applyBorder="1" applyProtection="1">
      <alignment vertical="center"/>
      <protection locked="0"/>
    </xf>
    <xf numFmtId="0" fontId="8" fillId="2" borderId="4" xfId="1" applyFont="1" applyFill="1" applyBorder="1" applyProtection="1">
      <alignment vertical="center"/>
      <protection locked="0"/>
    </xf>
    <xf numFmtId="0" fontId="11" fillId="0" borderId="0" xfId="1" applyFont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8" fillId="3" borderId="5" xfId="1" applyFont="1" applyFill="1" applyBorder="1">
      <alignment vertical="center"/>
    </xf>
    <xf numFmtId="0" fontId="8" fillId="3" borderId="7" xfId="1" applyFont="1" applyFill="1" applyBorder="1">
      <alignment vertical="center"/>
    </xf>
    <xf numFmtId="0" fontId="8" fillId="3" borderId="8" xfId="1" applyFont="1" applyFill="1" applyBorder="1">
      <alignment vertical="center"/>
    </xf>
    <xf numFmtId="0" fontId="7" fillId="6" borderId="5" xfId="1" applyFont="1" applyFill="1" applyBorder="1" applyAlignment="1">
      <alignment horizontal="center" vertical="center"/>
    </xf>
    <xf numFmtId="0" fontId="7" fillId="5" borderId="7" xfId="1" applyFont="1" applyFill="1" applyBorder="1" applyAlignment="1">
      <alignment horizontal="center" vertical="center"/>
    </xf>
    <xf numFmtId="0" fontId="7" fillId="7" borderId="7" xfId="1" applyFont="1" applyFill="1" applyBorder="1" applyAlignment="1">
      <alignment horizontal="center" vertical="center"/>
    </xf>
    <xf numFmtId="0" fontId="7" fillId="8" borderId="7" xfId="1" applyFont="1" applyFill="1" applyBorder="1" applyAlignment="1">
      <alignment horizontal="center" vertical="center"/>
    </xf>
    <xf numFmtId="0" fontId="7" fillId="9" borderId="7" xfId="1" applyFont="1" applyFill="1" applyBorder="1" applyAlignment="1">
      <alignment horizontal="center" vertical="center"/>
    </xf>
    <xf numFmtId="0" fontId="7" fillId="10" borderId="7" xfId="1" applyFont="1" applyFill="1" applyBorder="1" applyAlignment="1">
      <alignment horizontal="center" vertical="center"/>
    </xf>
    <xf numFmtId="0" fontId="7" fillId="11" borderId="7" xfId="1" applyFont="1" applyFill="1" applyBorder="1" applyAlignment="1">
      <alignment horizontal="center" vertical="center"/>
    </xf>
    <xf numFmtId="0" fontId="7" fillId="12" borderId="7" xfId="1" applyFont="1" applyFill="1" applyBorder="1" applyAlignment="1">
      <alignment horizontal="center" vertical="center"/>
    </xf>
    <xf numFmtId="0" fontId="7" fillId="13" borderId="7" xfId="1" applyFont="1" applyFill="1" applyBorder="1" applyAlignment="1">
      <alignment horizontal="center" vertical="center"/>
    </xf>
    <xf numFmtId="0" fontId="7" fillId="14" borderId="7" xfId="1" applyFont="1" applyFill="1" applyBorder="1" applyAlignment="1">
      <alignment horizontal="center" vertical="center"/>
    </xf>
    <xf numFmtId="0" fontId="7" fillId="15" borderId="7" xfId="1" applyFont="1" applyFill="1" applyBorder="1" applyAlignment="1">
      <alignment horizontal="center" vertical="center"/>
    </xf>
    <xf numFmtId="0" fontId="7" fillId="16" borderId="7" xfId="1" applyFont="1" applyFill="1" applyBorder="1" applyAlignment="1">
      <alignment horizontal="center" vertical="center"/>
    </xf>
    <xf numFmtId="0" fontId="7" fillId="17" borderId="7" xfId="1" applyFont="1" applyFill="1" applyBorder="1" applyAlignment="1">
      <alignment horizontal="center" vertical="center"/>
    </xf>
    <xf numFmtId="0" fontId="7" fillId="18" borderId="7" xfId="1" applyFont="1" applyFill="1" applyBorder="1" applyAlignment="1">
      <alignment horizontal="center" vertical="center"/>
    </xf>
    <xf numFmtId="0" fontId="7" fillId="19" borderId="7" xfId="1" applyFont="1" applyFill="1" applyBorder="1" applyAlignment="1">
      <alignment horizontal="center" vertical="center"/>
    </xf>
    <xf numFmtId="0" fontId="7" fillId="20" borderId="7" xfId="1" applyFont="1" applyFill="1" applyBorder="1" applyAlignment="1">
      <alignment horizontal="center" vertical="center"/>
    </xf>
    <xf numFmtId="0" fontId="7" fillId="21" borderId="7" xfId="1" applyFont="1" applyFill="1" applyBorder="1" applyAlignment="1">
      <alignment horizontal="center" vertical="center"/>
    </xf>
    <xf numFmtId="0" fontId="7" fillId="22" borderId="7" xfId="1" applyFont="1" applyFill="1" applyBorder="1" applyAlignment="1">
      <alignment horizontal="center" vertical="center"/>
    </xf>
    <xf numFmtId="0" fontId="7" fillId="23" borderId="7" xfId="1" applyFont="1" applyFill="1" applyBorder="1" applyAlignment="1">
      <alignment horizontal="center" vertical="center"/>
    </xf>
    <xf numFmtId="0" fontId="7" fillId="24" borderId="13" xfId="1" applyFont="1" applyFill="1" applyBorder="1" applyAlignment="1">
      <alignment horizontal="center" vertical="center"/>
    </xf>
    <xf numFmtId="0" fontId="11" fillId="0" borderId="0" xfId="1" applyFont="1">
      <alignment vertical="center"/>
    </xf>
    <xf numFmtId="0" fontId="17" fillId="0" borderId="0" xfId="0" applyFont="1">
      <alignment vertical="center"/>
    </xf>
    <xf numFmtId="0" fontId="7" fillId="0" borderId="0" xfId="0" applyFont="1">
      <alignment vertical="center"/>
    </xf>
    <xf numFmtId="0" fontId="18" fillId="0" borderId="0" xfId="0" applyFont="1">
      <alignment vertical="center"/>
    </xf>
    <xf numFmtId="0" fontId="4" fillId="0" borderId="0" xfId="1" applyFont="1" applyAlignment="1" applyProtection="1">
      <alignment horizontal="center" vertical="center"/>
      <protection locked="0"/>
    </xf>
    <xf numFmtId="0" fontId="4" fillId="0" borderId="6" xfId="1" applyFont="1" applyBorder="1" applyProtection="1">
      <alignment vertical="center"/>
      <protection locked="0"/>
    </xf>
    <xf numFmtId="0" fontId="4" fillId="0" borderId="0" xfId="1" applyFont="1" applyProtection="1">
      <alignment vertical="center"/>
      <protection locked="0"/>
    </xf>
    <xf numFmtId="0" fontId="4" fillId="0" borderId="10" xfId="1" applyFont="1" applyBorder="1" applyAlignment="1" applyProtection="1">
      <alignment horizontal="center" vertical="center"/>
      <protection locked="0"/>
    </xf>
    <xf numFmtId="0" fontId="4" fillId="0" borderId="11" xfId="1" applyFont="1" applyBorder="1" applyAlignment="1" applyProtection="1">
      <alignment horizontal="center" vertical="center"/>
      <protection locked="0"/>
    </xf>
    <xf numFmtId="0" fontId="4" fillId="0" borderId="12" xfId="1" applyFont="1" applyBorder="1" applyAlignment="1" applyProtection="1">
      <alignment horizontal="center" vertical="center"/>
      <protection locked="0"/>
    </xf>
    <xf numFmtId="0" fontId="7" fillId="0" borderId="10" xfId="1" applyFont="1" applyBorder="1" applyAlignment="1" applyProtection="1">
      <alignment horizontal="center" vertical="center"/>
      <protection locked="0"/>
    </xf>
    <xf numFmtId="0" fontId="7" fillId="0" borderId="11" xfId="1" applyFont="1" applyBorder="1" applyAlignment="1" applyProtection="1">
      <alignment horizontal="center" vertical="center"/>
      <protection locked="0"/>
    </xf>
    <xf numFmtId="0" fontId="7" fillId="0" borderId="12" xfId="1" applyFont="1" applyBorder="1" applyAlignment="1" applyProtection="1">
      <alignment horizontal="center" vertical="center"/>
      <protection locked="0"/>
    </xf>
    <xf numFmtId="0" fontId="4" fillId="0" borderId="2" xfId="1" applyFont="1" applyBorder="1" applyAlignment="1" applyProtection="1">
      <alignment horizontal="center" vertical="center"/>
      <protection locked="0"/>
    </xf>
    <xf numFmtId="0" fontId="4" fillId="0" borderId="10" xfId="1" applyFont="1" applyBorder="1" applyAlignment="1">
      <alignment horizontal="center" vertical="center"/>
    </xf>
    <xf numFmtId="0" fontId="4" fillId="0" borderId="11" xfId="1" applyFont="1" applyBorder="1" applyAlignment="1">
      <alignment horizontal="center" vertical="center"/>
    </xf>
    <xf numFmtId="0" fontId="4" fillId="0" borderId="12" xfId="1" applyFont="1" applyBorder="1" applyAlignment="1">
      <alignment horizontal="center" vertical="center"/>
    </xf>
    <xf numFmtId="0" fontId="8" fillId="2" borderId="10" xfId="1" applyFont="1" applyFill="1" applyBorder="1" applyAlignment="1">
      <alignment horizontal="center" vertical="center"/>
    </xf>
    <xf numFmtId="0" fontId="8" fillId="2" borderId="12" xfId="1" applyFont="1" applyFill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7" fillId="0" borderId="0" xfId="1" applyFont="1" applyAlignment="1">
      <alignment horizontal="center"/>
    </xf>
    <xf numFmtId="0" fontId="8" fillId="2" borderId="1" xfId="1" applyFont="1" applyFill="1" applyBorder="1" applyAlignment="1">
      <alignment horizontal="center" vertical="center"/>
    </xf>
    <xf numFmtId="0" fontId="8" fillId="2" borderId="3" xfId="1" applyFont="1" applyFill="1" applyBorder="1" applyAlignment="1">
      <alignment horizontal="center" vertical="center"/>
    </xf>
  </cellXfs>
  <cellStyles count="3">
    <cellStyle name="標準" xfId="0" builtinId="0"/>
    <cellStyle name="標準 2" xfId="1" xr:uid="{CBBCB6E3-C8AF-428B-87AB-E9178019ED0D}"/>
    <cellStyle name="標準 2 2" xfId="2" xr:uid="{B521A654-6793-4217-BA25-BF775D30943D}"/>
  </cellStyles>
  <dxfs count="23">
    <dxf>
      <font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b val="0"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00FF"/>
        </patternFill>
      </fill>
    </dxf>
  </dxfs>
  <tableStyles count="0" defaultTableStyle="TableStyleMedium2" defaultPivotStyle="PivotStyleLight16"/>
  <colors>
    <mruColors>
      <color rgb="FF00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76D3-4BA4-AD36-7A72A6368442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76D3-4BA4-AD36-7A72A6368442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6D3-4BA4-AD36-7A72A6368442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6D3-4BA4-AD36-7A72A6368442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6D3-4BA4-AD36-7A72A6368442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6D3-4BA4-AD36-7A72A6368442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6D3-4BA4-AD36-7A72A6368442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6D3-4BA4-AD36-7A72A6368442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6D3-4BA4-AD36-7A72A6368442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6D3-4BA4-AD36-7A72A6368442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6D3-4BA4-AD36-7A72A6368442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6D3-4BA4-AD36-7A72A6368442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6D3-4BA4-AD36-7A72A6368442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6D3-4BA4-AD36-7A72A6368442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6D3-4BA4-AD36-7A72A6368442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6D3-4BA4-AD36-7A72A6368442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6D3-4BA4-AD36-7A72A6368442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6D3-4BA4-AD36-7A72A6368442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6D3-4BA4-AD36-7A72A6368442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6D3-4BA4-AD36-7A72A6368442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76D3-4BA4-AD36-7A72A6368442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76D3-4BA4-AD36-7A72A6368442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76D3-4BA4-AD36-7A72A6368442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76D3-4BA4-AD36-7A72A6368442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76D3-4BA4-AD36-7A72A6368442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76D3-4BA4-AD36-7A72A6368442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76D3-4BA4-AD36-7A72A6368442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76D3-4BA4-AD36-7A72A6368442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76D3-4BA4-AD36-7A72A6368442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76D3-4BA4-AD36-7A72A6368442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76D3-4BA4-AD36-7A72A6368442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76D3-4BA4-AD36-7A72A6368442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76D3-4BA4-AD36-7A72A6368442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76D3-4BA4-AD36-7A72A6368442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76D3-4BA4-AD36-7A72A6368442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76D3-4BA4-AD36-7A72A6368442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76D3-4BA4-AD36-7A72A6368442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76D3-4BA4-AD36-7A72A6368442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76D3-4BA4-AD36-7A72A6368442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76D3-4BA4-AD36-7A72A6368442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76D3-4BA4-AD36-7A72A6368442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76D3-4BA4-AD36-7A72A6368442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76D3-4BA4-AD36-7A72A6368442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76D3-4BA4-AD36-7A72A6368442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76D3-4BA4-AD36-7A72A6368442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76D3-4BA4-AD36-7A72A6368442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76D3-4BA4-AD36-7A72A6368442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76D3-4BA4-AD36-7A72A6368442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76D3-4BA4-AD36-7A72A6368442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76D3-4BA4-AD36-7A72A6368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03D-401B-878D-AE6C246C398B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03D-401B-878D-AE6C246C398B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03D-401B-878D-AE6C246C398B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03D-401B-878D-AE6C246C398B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03D-401B-878D-AE6C246C398B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03D-401B-878D-AE6C246C398B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03D-401B-878D-AE6C246C398B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03D-401B-878D-AE6C246C398B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03D-401B-878D-AE6C246C398B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03D-401B-878D-AE6C246C398B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03D-401B-878D-AE6C246C398B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03D-401B-878D-AE6C246C398B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03D-401B-878D-AE6C246C398B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03D-401B-878D-AE6C246C398B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03D-401B-878D-AE6C246C398B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03D-401B-878D-AE6C246C398B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03D-401B-878D-AE6C246C398B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03D-401B-878D-AE6C246C398B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03D-401B-878D-AE6C246C398B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03D-401B-878D-AE6C246C398B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03D-401B-878D-AE6C246C398B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03D-401B-878D-AE6C246C398B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03D-401B-878D-AE6C246C398B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03D-401B-878D-AE6C246C398B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03D-401B-878D-AE6C246C398B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03D-401B-878D-AE6C246C398B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03D-401B-878D-AE6C246C398B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03D-401B-878D-AE6C246C398B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03D-401B-878D-AE6C246C398B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03D-401B-878D-AE6C246C398B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03D-401B-878D-AE6C246C398B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03D-401B-878D-AE6C246C398B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03D-401B-878D-AE6C246C398B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03D-401B-878D-AE6C246C398B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03D-401B-878D-AE6C246C398B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03D-401B-878D-AE6C246C398B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03D-401B-878D-AE6C246C398B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03D-401B-878D-AE6C246C398B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03D-401B-878D-AE6C246C398B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03D-401B-878D-AE6C246C398B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03D-401B-878D-AE6C246C398B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03D-401B-878D-AE6C246C398B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03D-401B-878D-AE6C246C398B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03D-401B-878D-AE6C246C398B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03D-401B-878D-AE6C246C398B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03D-401B-878D-AE6C246C398B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03D-401B-878D-AE6C246C398B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03D-401B-878D-AE6C246C398B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03D-401B-878D-AE6C246C398B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03D-401B-878D-AE6C246C3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1CCB-4E7F-B7B5-0BD2974C374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1CCB-4E7F-B7B5-0BD2974C374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1CCB-4E7F-B7B5-0BD2974C374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1CCB-4E7F-B7B5-0BD2974C374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CCB-4E7F-B7B5-0BD2974C374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CCB-4E7F-B7B5-0BD2974C374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CCB-4E7F-B7B5-0BD2974C374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CCB-4E7F-B7B5-0BD2974C374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CCB-4E7F-B7B5-0BD2974C374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CCB-4E7F-B7B5-0BD2974C374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CCB-4E7F-B7B5-0BD2974C374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CCB-4E7F-B7B5-0BD2974C374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CCB-4E7F-B7B5-0BD2974C374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CCB-4E7F-B7B5-0BD2974C374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CCB-4E7F-B7B5-0BD2974C374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CCB-4E7F-B7B5-0BD2974C374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CCB-4E7F-B7B5-0BD2974C374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CCB-4E7F-B7B5-0BD2974C374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CCB-4E7F-B7B5-0BD2974C374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CCB-4E7F-B7B5-0BD2974C374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1CCB-4E7F-B7B5-0BD2974C374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1CCB-4E7F-B7B5-0BD2974C374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1CCB-4E7F-B7B5-0BD2974C374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1CCB-4E7F-B7B5-0BD2974C374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1CCB-4E7F-B7B5-0BD2974C374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1CCB-4E7F-B7B5-0BD2974C374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1CCB-4E7F-B7B5-0BD2974C374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1CCB-4E7F-B7B5-0BD2974C374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1CCB-4E7F-B7B5-0BD2974C374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1CCB-4E7F-B7B5-0BD2974C374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1CCB-4E7F-B7B5-0BD2974C374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1CCB-4E7F-B7B5-0BD2974C374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1CCB-4E7F-B7B5-0BD2974C374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1CCB-4E7F-B7B5-0BD2974C374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1CCB-4E7F-B7B5-0BD2974C374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1CCB-4E7F-B7B5-0BD2974C374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1CCB-4E7F-B7B5-0BD2974C374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1CCB-4E7F-B7B5-0BD2974C374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1CCB-4E7F-B7B5-0BD2974C374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1CCB-4E7F-B7B5-0BD2974C374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1CCB-4E7F-B7B5-0BD2974C374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1CCB-4E7F-B7B5-0BD2974C374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1CCB-4E7F-B7B5-0BD2974C374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1CCB-4E7F-B7B5-0BD2974C374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1CCB-4E7F-B7B5-0BD2974C374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1CCB-4E7F-B7B5-0BD2974C374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1CCB-4E7F-B7B5-0BD2974C374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1CCB-4E7F-B7B5-0BD2974C374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1CCB-4E7F-B7B5-0BD2974C374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1CCB-4E7F-B7B5-0BD2974C3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DAD-44D5-9FF2-14097712EC1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DAD-44D5-9FF2-14097712EC1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DAD-44D5-9FF2-14097712EC1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DAD-44D5-9FF2-14097712EC1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DAD-44D5-9FF2-14097712EC1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DAD-44D5-9FF2-14097712EC1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DAD-44D5-9FF2-14097712EC1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DAD-44D5-9FF2-14097712EC1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DAD-44D5-9FF2-14097712EC1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DAD-44D5-9FF2-14097712EC1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DAD-44D5-9FF2-14097712EC1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DAD-44D5-9FF2-14097712EC1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DAD-44D5-9FF2-14097712EC1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DAD-44D5-9FF2-14097712EC1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DAD-44D5-9FF2-14097712EC1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DAD-44D5-9FF2-14097712EC1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DAD-44D5-9FF2-14097712EC1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DAD-44D5-9FF2-14097712EC1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DAD-44D5-9FF2-14097712EC1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DAD-44D5-9FF2-14097712EC1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DAD-44D5-9FF2-14097712EC1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DAD-44D5-9FF2-14097712EC1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DAD-44D5-9FF2-14097712EC1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DAD-44D5-9FF2-14097712EC1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DAD-44D5-9FF2-14097712EC1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DAD-44D5-9FF2-14097712EC1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DAD-44D5-9FF2-14097712EC1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DAD-44D5-9FF2-14097712EC1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DAD-44D5-9FF2-14097712EC1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DAD-44D5-9FF2-14097712EC1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DAD-44D5-9FF2-14097712EC1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DAD-44D5-9FF2-14097712EC1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DAD-44D5-9FF2-14097712EC1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DAD-44D5-9FF2-14097712EC1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DAD-44D5-9FF2-14097712EC1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DAD-44D5-9FF2-14097712EC1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DAD-44D5-9FF2-14097712EC1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DAD-44D5-9FF2-14097712EC1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DAD-44D5-9FF2-14097712EC1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DAD-44D5-9FF2-14097712EC1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DAD-44D5-9FF2-14097712EC1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DAD-44D5-9FF2-14097712EC1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DAD-44D5-9FF2-14097712EC1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DAD-44D5-9FF2-14097712EC1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DAD-44D5-9FF2-14097712EC1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DAD-44D5-9FF2-14097712EC1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DAD-44D5-9FF2-14097712EC1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DAD-44D5-9FF2-14097712EC1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DAD-44D5-9FF2-14097712EC1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DAD-44D5-9FF2-14097712E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C1B-426D-9857-0D30ADE67AF5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C1B-426D-9857-0D30ADE67AF5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C1B-426D-9857-0D30ADE67AF5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C1B-426D-9857-0D30ADE67AF5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C1B-426D-9857-0D30ADE67AF5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C1B-426D-9857-0D30ADE67AF5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C1B-426D-9857-0D30ADE67AF5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C1B-426D-9857-0D30ADE67AF5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C1B-426D-9857-0D30ADE67AF5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C1B-426D-9857-0D30ADE67AF5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C1B-426D-9857-0D30ADE67AF5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C1B-426D-9857-0D30ADE67AF5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C1B-426D-9857-0D30ADE67AF5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C1B-426D-9857-0D30ADE67AF5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C1B-426D-9857-0D30ADE67AF5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C1B-426D-9857-0D30ADE67AF5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C1B-426D-9857-0D30ADE67AF5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C1B-426D-9857-0D30ADE67AF5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C1B-426D-9857-0D30ADE67AF5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C1B-426D-9857-0D30ADE67AF5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C1B-426D-9857-0D30ADE67AF5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C1B-426D-9857-0D30ADE67AF5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C1B-426D-9857-0D30ADE67AF5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C1B-426D-9857-0D30ADE67AF5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C1B-426D-9857-0D30ADE67AF5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C1B-426D-9857-0D30ADE67AF5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C1B-426D-9857-0D30ADE67AF5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C1B-426D-9857-0D30ADE67AF5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C1B-426D-9857-0D30ADE67AF5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C1B-426D-9857-0D30ADE67AF5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C1B-426D-9857-0D30ADE67AF5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C1B-426D-9857-0D30ADE67AF5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C1B-426D-9857-0D30ADE67AF5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C1B-426D-9857-0D30ADE67AF5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C1B-426D-9857-0D30ADE67AF5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C1B-426D-9857-0D30ADE67AF5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C1B-426D-9857-0D30ADE67AF5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C1B-426D-9857-0D30ADE67AF5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C1B-426D-9857-0D30ADE67AF5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C1B-426D-9857-0D30ADE67AF5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C1B-426D-9857-0D30ADE67AF5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C1B-426D-9857-0D30ADE67AF5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C1B-426D-9857-0D30ADE67AF5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C1B-426D-9857-0D30ADE67AF5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C1B-426D-9857-0D30ADE67AF5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C1B-426D-9857-0D30ADE67AF5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C1B-426D-9857-0D30ADE67AF5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C1B-426D-9857-0D30ADE67AF5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C1B-426D-9857-0D30ADE67AF5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C1B-426D-9857-0D30ADE67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FC1E-476F-B36F-BAD04302C8F6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FC1E-476F-B36F-BAD04302C8F6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FC1E-476F-B36F-BAD04302C8F6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FC1E-476F-B36F-BAD04302C8F6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C1E-476F-B36F-BAD04302C8F6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C1E-476F-B36F-BAD04302C8F6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C1E-476F-B36F-BAD04302C8F6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C1E-476F-B36F-BAD04302C8F6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C1E-476F-B36F-BAD04302C8F6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C1E-476F-B36F-BAD04302C8F6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C1E-476F-B36F-BAD04302C8F6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C1E-476F-B36F-BAD04302C8F6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C1E-476F-B36F-BAD04302C8F6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C1E-476F-B36F-BAD04302C8F6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C1E-476F-B36F-BAD04302C8F6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C1E-476F-B36F-BAD04302C8F6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C1E-476F-B36F-BAD04302C8F6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C1E-476F-B36F-BAD04302C8F6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C1E-476F-B36F-BAD04302C8F6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C1E-476F-B36F-BAD04302C8F6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FC1E-476F-B36F-BAD04302C8F6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FC1E-476F-B36F-BAD04302C8F6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FC1E-476F-B36F-BAD04302C8F6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FC1E-476F-B36F-BAD04302C8F6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FC1E-476F-B36F-BAD04302C8F6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FC1E-476F-B36F-BAD04302C8F6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FC1E-476F-B36F-BAD04302C8F6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FC1E-476F-B36F-BAD04302C8F6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FC1E-476F-B36F-BAD04302C8F6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FC1E-476F-B36F-BAD04302C8F6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FC1E-476F-B36F-BAD04302C8F6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FC1E-476F-B36F-BAD04302C8F6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FC1E-476F-B36F-BAD04302C8F6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FC1E-476F-B36F-BAD04302C8F6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FC1E-476F-B36F-BAD04302C8F6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FC1E-476F-B36F-BAD04302C8F6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FC1E-476F-B36F-BAD04302C8F6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FC1E-476F-B36F-BAD04302C8F6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FC1E-476F-B36F-BAD04302C8F6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FC1E-476F-B36F-BAD04302C8F6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FC1E-476F-B36F-BAD04302C8F6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FC1E-476F-B36F-BAD04302C8F6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FC1E-476F-B36F-BAD04302C8F6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FC1E-476F-B36F-BAD04302C8F6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FC1E-476F-B36F-BAD04302C8F6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FC1E-476F-B36F-BAD04302C8F6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FC1E-476F-B36F-BAD04302C8F6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FC1E-476F-B36F-BAD04302C8F6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FC1E-476F-B36F-BAD04302C8F6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FC1E-476F-B36F-BAD04302C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C4A-408B-B90B-01570F983663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C4A-408B-B90B-01570F983663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C4A-408B-B90B-01570F983663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C4A-408B-B90B-01570F983663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C4A-408B-B90B-01570F983663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C4A-408B-B90B-01570F983663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C4A-408B-B90B-01570F983663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C4A-408B-B90B-01570F983663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C4A-408B-B90B-01570F983663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C4A-408B-B90B-01570F983663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C4A-408B-B90B-01570F983663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C4A-408B-B90B-01570F983663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C4A-408B-B90B-01570F983663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C4A-408B-B90B-01570F983663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C4A-408B-B90B-01570F983663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C4A-408B-B90B-01570F983663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C4A-408B-B90B-01570F983663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C4A-408B-B90B-01570F983663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C4A-408B-B90B-01570F983663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C4A-408B-B90B-01570F983663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C4A-408B-B90B-01570F983663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C4A-408B-B90B-01570F983663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C4A-408B-B90B-01570F983663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C4A-408B-B90B-01570F983663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C4A-408B-B90B-01570F983663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C4A-408B-B90B-01570F983663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C4A-408B-B90B-01570F983663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C4A-408B-B90B-01570F983663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C4A-408B-B90B-01570F983663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C4A-408B-B90B-01570F983663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C4A-408B-B90B-01570F983663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C4A-408B-B90B-01570F983663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C4A-408B-B90B-01570F983663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C4A-408B-B90B-01570F983663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C4A-408B-B90B-01570F983663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C4A-408B-B90B-01570F983663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C4A-408B-B90B-01570F983663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C4A-408B-B90B-01570F983663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C4A-408B-B90B-01570F983663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C4A-408B-B90B-01570F983663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C4A-408B-B90B-01570F983663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C4A-408B-B90B-01570F983663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C4A-408B-B90B-01570F983663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C4A-408B-B90B-01570F983663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C4A-408B-B90B-01570F983663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C4A-408B-B90B-01570F983663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C4A-408B-B90B-01570F983663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C4A-408B-B90B-01570F983663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C4A-408B-B90B-01570F983663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C4A-408B-B90B-01570F983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ACF7-4713-A28B-F1E58DF2AC2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ACF7-4713-A28B-F1E58DF2AC2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ACF7-4713-A28B-F1E58DF2AC2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ACF7-4713-A28B-F1E58DF2AC2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ACF7-4713-A28B-F1E58DF2AC2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CF7-4713-A28B-F1E58DF2AC2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ACF7-4713-A28B-F1E58DF2AC2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CF7-4713-A28B-F1E58DF2AC2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CF7-4713-A28B-F1E58DF2AC2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CF7-4713-A28B-F1E58DF2AC2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ACF7-4713-A28B-F1E58DF2AC2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CF7-4713-A28B-F1E58DF2AC2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CF7-4713-A28B-F1E58DF2AC2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CF7-4713-A28B-F1E58DF2AC2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ACF7-4713-A28B-F1E58DF2AC2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ACF7-4713-A28B-F1E58DF2AC2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CF7-4713-A28B-F1E58DF2AC2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CF7-4713-A28B-F1E58DF2AC2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CF7-4713-A28B-F1E58DF2AC2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ACF7-4713-A28B-F1E58DF2AC2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ACF7-4713-A28B-F1E58DF2AC2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ACF7-4713-A28B-F1E58DF2AC2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ACF7-4713-A28B-F1E58DF2AC2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ACF7-4713-A28B-F1E58DF2AC2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ACF7-4713-A28B-F1E58DF2AC2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ACF7-4713-A28B-F1E58DF2AC2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ACF7-4713-A28B-F1E58DF2AC2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ACF7-4713-A28B-F1E58DF2AC2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ACF7-4713-A28B-F1E58DF2AC2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ACF7-4713-A28B-F1E58DF2AC2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ACF7-4713-A28B-F1E58DF2AC2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ACF7-4713-A28B-F1E58DF2AC2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ACF7-4713-A28B-F1E58DF2AC2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ACF7-4713-A28B-F1E58DF2AC2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ACF7-4713-A28B-F1E58DF2AC2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ACF7-4713-A28B-F1E58DF2AC2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ACF7-4713-A28B-F1E58DF2AC2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ACF7-4713-A28B-F1E58DF2AC2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ACF7-4713-A28B-F1E58DF2AC2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ACF7-4713-A28B-F1E58DF2AC2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ACF7-4713-A28B-F1E58DF2AC2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ACF7-4713-A28B-F1E58DF2AC2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ACF7-4713-A28B-F1E58DF2AC2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ACF7-4713-A28B-F1E58DF2AC2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ACF7-4713-A28B-F1E58DF2AC2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ACF7-4713-A28B-F1E58DF2AC2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ACF7-4713-A28B-F1E58DF2AC2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ACF7-4713-A28B-F1E58DF2AC2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ACF7-4713-A28B-F1E58DF2AC2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ACF7-4713-A28B-F1E58DF2A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9B0-4F9F-97BC-6DC9971C1D2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9B0-4F9F-97BC-6DC9971C1D2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9B0-4F9F-97BC-6DC9971C1D2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9B0-4F9F-97BC-6DC9971C1D2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9B0-4F9F-97BC-6DC9971C1D2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9B0-4F9F-97BC-6DC9971C1D2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9B0-4F9F-97BC-6DC9971C1D2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9B0-4F9F-97BC-6DC9971C1D2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9B0-4F9F-97BC-6DC9971C1D2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9B0-4F9F-97BC-6DC9971C1D2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9B0-4F9F-97BC-6DC9971C1D2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9B0-4F9F-97BC-6DC9971C1D2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9B0-4F9F-97BC-6DC9971C1D2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9B0-4F9F-97BC-6DC9971C1D2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9B0-4F9F-97BC-6DC9971C1D2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9B0-4F9F-97BC-6DC9971C1D2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9B0-4F9F-97BC-6DC9971C1D2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9B0-4F9F-97BC-6DC9971C1D2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9B0-4F9F-97BC-6DC9971C1D2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9B0-4F9F-97BC-6DC9971C1D2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9B0-4F9F-97BC-6DC9971C1D2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9B0-4F9F-97BC-6DC9971C1D2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9B0-4F9F-97BC-6DC9971C1D2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9B0-4F9F-97BC-6DC9971C1D2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9B0-4F9F-97BC-6DC9971C1D2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9B0-4F9F-97BC-6DC9971C1D2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9B0-4F9F-97BC-6DC9971C1D2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9B0-4F9F-97BC-6DC9971C1D2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9B0-4F9F-97BC-6DC9971C1D2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9B0-4F9F-97BC-6DC9971C1D2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9B0-4F9F-97BC-6DC9971C1D2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9B0-4F9F-97BC-6DC9971C1D2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9B0-4F9F-97BC-6DC9971C1D2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9B0-4F9F-97BC-6DC9971C1D2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9B0-4F9F-97BC-6DC9971C1D2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9B0-4F9F-97BC-6DC9971C1D2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9B0-4F9F-97BC-6DC9971C1D2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9B0-4F9F-97BC-6DC9971C1D2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9B0-4F9F-97BC-6DC9971C1D2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9B0-4F9F-97BC-6DC9971C1D2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9B0-4F9F-97BC-6DC9971C1D2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9B0-4F9F-97BC-6DC9971C1D2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9B0-4F9F-97BC-6DC9971C1D2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9B0-4F9F-97BC-6DC9971C1D2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9B0-4F9F-97BC-6DC9971C1D2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9B0-4F9F-97BC-6DC9971C1D2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9B0-4F9F-97BC-6DC9971C1D2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9B0-4F9F-97BC-6DC9971C1D2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9B0-4F9F-97BC-6DC9971C1D2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9B0-4F9F-97BC-6DC9971C1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4F2A-438B-BDB1-186E64C81F2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4F2A-438B-BDB1-186E64C81F2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4F2A-438B-BDB1-186E64C81F2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4F2A-438B-BDB1-186E64C81F2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F2A-438B-BDB1-186E64C81F2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F2A-438B-BDB1-186E64C81F2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F2A-438B-BDB1-186E64C81F2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F2A-438B-BDB1-186E64C81F2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F2A-438B-BDB1-186E64C81F2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F2A-438B-BDB1-186E64C81F2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F2A-438B-BDB1-186E64C81F2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F2A-438B-BDB1-186E64C81F2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F2A-438B-BDB1-186E64C81F2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F2A-438B-BDB1-186E64C81F2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F2A-438B-BDB1-186E64C81F2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F2A-438B-BDB1-186E64C81F2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F2A-438B-BDB1-186E64C81F2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F2A-438B-BDB1-186E64C81F2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F2A-438B-BDB1-186E64C81F2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F2A-438B-BDB1-186E64C81F2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4F2A-438B-BDB1-186E64C81F2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4F2A-438B-BDB1-186E64C81F2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4F2A-438B-BDB1-186E64C81F2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4F2A-438B-BDB1-186E64C81F2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4F2A-438B-BDB1-186E64C81F2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4F2A-438B-BDB1-186E64C81F2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4F2A-438B-BDB1-186E64C81F2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4F2A-438B-BDB1-186E64C81F2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4F2A-438B-BDB1-186E64C81F2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4F2A-438B-BDB1-186E64C81F2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4F2A-438B-BDB1-186E64C81F2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4F2A-438B-BDB1-186E64C81F2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4F2A-438B-BDB1-186E64C81F2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4F2A-438B-BDB1-186E64C81F2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4F2A-438B-BDB1-186E64C81F2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4F2A-438B-BDB1-186E64C81F2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4F2A-438B-BDB1-186E64C81F2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4F2A-438B-BDB1-186E64C81F2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4F2A-438B-BDB1-186E64C81F2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4F2A-438B-BDB1-186E64C81F2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4F2A-438B-BDB1-186E64C81F2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4F2A-438B-BDB1-186E64C81F2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4F2A-438B-BDB1-186E64C81F2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4F2A-438B-BDB1-186E64C81F2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4F2A-438B-BDB1-186E64C81F2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4F2A-438B-BDB1-186E64C81F2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4F2A-438B-BDB1-186E64C81F2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4F2A-438B-BDB1-186E64C81F2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4F2A-438B-BDB1-186E64C81F2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4F2A-438B-BDB1-186E64C81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001-4E0C-891C-D27E1497D67C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001-4E0C-891C-D27E1497D67C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6001-4E0C-891C-D27E1497D67C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6001-4E0C-891C-D27E1497D67C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001-4E0C-891C-D27E1497D67C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001-4E0C-891C-D27E1497D67C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001-4E0C-891C-D27E1497D67C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001-4E0C-891C-D27E1497D67C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001-4E0C-891C-D27E1497D67C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001-4E0C-891C-D27E1497D67C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001-4E0C-891C-D27E1497D67C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001-4E0C-891C-D27E1497D67C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001-4E0C-891C-D27E1497D67C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001-4E0C-891C-D27E1497D67C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001-4E0C-891C-D27E1497D67C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001-4E0C-891C-D27E1497D67C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001-4E0C-891C-D27E1497D67C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001-4E0C-891C-D27E1497D67C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001-4E0C-891C-D27E1497D67C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001-4E0C-891C-D27E1497D67C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6001-4E0C-891C-D27E1497D67C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6001-4E0C-891C-D27E1497D67C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6001-4E0C-891C-D27E1497D67C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6001-4E0C-891C-D27E1497D67C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6001-4E0C-891C-D27E1497D67C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6001-4E0C-891C-D27E1497D67C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6001-4E0C-891C-D27E1497D67C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6001-4E0C-891C-D27E1497D67C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6001-4E0C-891C-D27E1497D67C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6001-4E0C-891C-D27E1497D67C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6001-4E0C-891C-D27E1497D67C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6001-4E0C-891C-D27E1497D67C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6001-4E0C-891C-D27E1497D67C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6001-4E0C-891C-D27E1497D67C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6001-4E0C-891C-D27E1497D67C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6001-4E0C-891C-D27E1497D67C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6001-4E0C-891C-D27E1497D67C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6001-4E0C-891C-D27E1497D67C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6001-4E0C-891C-D27E1497D67C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6001-4E0C-891C-D27E1497D67C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6001-4E0C-891C-D27E1497D67C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6001-4E0C-891C-D27E1497D67C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6001-4E0C-891C-D27E1497D67C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6001-4E0C-891C-D27E1497D67C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6001-4E0C-891C-D27E1497D67C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6001-4E0C-891C-D27E1497D67C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6001-4E0C-891C-D27E1497D67C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6001-4E0C-891C-D27E1497D67C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6001-4E0C-891C-D27E1497D67C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6001-4E0C-891C-D27E1497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19FF-4B69-88CD-31EDDAC8A371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19FF-4B69-88CD-31EDDAC8A371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19FF-4B69-88CD-31EDDAC8A371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19FF-4B69-88CD-31EDDAC8A371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9FF-4B69-88CD-31EDDAC8A371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9FF-4B69-88CD-31EDDAC8A371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9FF-4B69-88CD-31EDDAC8A371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9FF-4B69-88CD-31EDDAC8A371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9FF-4B69-88CD-31EDDAC8A371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9FF-4B69-88CD-31EDDAC8A371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9FF-4B69-88CD-31EDDAC8A371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9FF-4B69-88CD-31EDDAC8A371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9FF-4B69-88CD-31EDDAC8A371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9FF-4B69-88CD-31EDDAC8A371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9FF-4B69-88CD-31EDDAC8A371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9FF-4B69-88CD-31EDDAC8A371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9FF-4B69-88CD-31EDDAC8A371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9FF-4B69-88CD-31EDDAC8A371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9FF-4B69-88CD-31EDDAC8A371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9FF-4B69-88CD-31EDDAC8A371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19FF-4B69-88CD-31EDDAC8A371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19FF-4B69-88CD-31EDDAC8A371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19FF-4B69-88CD-31EDDAC8A371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19FF-4B69-88CD-31EDDAC8A371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19FF-4B69-88CD-31EDDAC8A371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19FF-4B69-88CD-31EDDAC8A371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19FF-4B69-88CD-31EDDAC8A371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19FF-4B69-88CD-31EDDAC8A371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19FF-4B69-88CD-31EDDAC8A371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19FF-4B69-88CD-31EDDAC8A371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19FF-4B69-88CD-31EDDAC8A371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19FF-4B69-88CD-31EDDAC8A371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19FF-4B69-88CD-31EDDAC8A371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19FF-4B69-88CD-31EDDAC8A371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19FF-4B69-88CD-31EDDAC8A371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19FF-4B69-88CD-31EDDAC8A371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19FF-4B69-88CD-31EDDAC8A371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19FF-4B69-88CD-31EDDAC8A371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19FF-4B69-88CD-31EDDAC8A371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19FF-4B69-88CD-31EDDAC8A371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19FF-4B69-88CD-31EDDAC8A371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19FF-4B69-88CD-31EDDAC8A371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19FF-4B69-88CD-31EDDAC8A371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19FF-4B69-88CD-31EDDAC8A371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19FF-4B69-88CD-31EDDAC8A371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19FF-4B69-88CD-31EDDAC8A371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19FF-4B69-88CD-31EDDAC8A371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19FF-4B69-88CD-31EDDAC8A371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19FF-4B69-88CD-31EDDAC8A371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19FF-4B69-88CD-31EDDAC8A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2048-4863-A2A9-D8BF34845118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2048-4863-A2A9-D8BF34845118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2048-4863-A2A9-D8BF34845118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048-4863-A2A9-D8BF34845118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048-4863-A2A9-D8BF34845118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048-4863-A2A9-D8BF34845118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048-4863-A2A9-D8BF34845118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048-4863-A2A9-D8BF34845118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048-4863-A2A9-D8BF34845118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048-4863-A2A9-D8BF34845118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048-4863-A2A9-D8BF34845118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048-4863-A2A9-D8BF34845118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048-4863-A2A9-D8BF34845118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048-4863-A2A9-D8BF34845118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048-4863-A2A9-D8BF34845118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048-4863-A2A9-D8BF34845118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048-4863-A2A9-D8BF34845118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048-4863-A2A9-D8BF34845118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048-4863-A2A9-D8BF34845118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048-4863-A2A9-D8BF34845118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2048-4863-A2A9-D8BF34845118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2048-4863-A2A9-D8BF34845118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2048-4863-A2A9-D8BF34845118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2048-4863-A2A9-D8BF34845118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2048-4863-A2A9-D8BF34845118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2048-4863-A2A9-D8BF34845118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2048-4863-A2A9-D8BF34845118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2048-4863-A2A9-D8BF34845118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2048-4863-A2A9-D8BF34845118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2048-4863-A2A9-D8BF34845118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2048-4863-A2A9-D8BF34845118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2048-4863-A2A9-D8BF34845118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2048-4863-A2A9-D8BF34845118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2048-4863-A2A9-D8BF34845118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2048-4863-A2A9-D8BF34845118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2048-4863-A2A9-D8BF34845118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2048-4863-A2A9-D8BF34845118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2048-4863-A2A9-D8BF34845118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2048-4863-A2A9-D8BF34845118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2048-4863-A2A9-D8BF34845118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2048-4863-A2A9-D8BF34845118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2048-4863-A2A9-D8BF34845118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2048-4863-A2A9-D8BF34845118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2048-4863-A2A9-D8BF34845118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2048-4863-A2A9-D8BF34845118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2048-4863-A2A9-D8BF34845118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2048-4863-A2A9-D8BF34845118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2048-4863-A2A9-D8BF34845118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2048-4863-A2A9-D8BF34845118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2048-4863-A2A9-D8BF34845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845-4758-8531-69516F82EBA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845-4758-8531-69516F82EBA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845-4758-8531-69516F82EBA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845-4758-8531-69516F82EBA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845-4758-8531-69516F82EBA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845-4758-8531-69516F82EBA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845-4758-8531-69516F82EBA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845-4758-8531-69516F82EBA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845-4758-8531-69516F82EBA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845-4758-8531-69516F82EBA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845-4758-8531-69516F82EBA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845-4758-8531-69516F82EBA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845-4758-8531-69516F82EBA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845-4758-8531-69516F82EBA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845-4758-8531-69516F82EBA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845-4758-8531-69516F82EBA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845-4758-8531-69516F82EBA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845-4758-8531-69516F82EBA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845-4758-8531-69516F82EBA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845-4758-8531-69516F82EBA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845-4758-8531-69516F82EBA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845-4758-8531-69516F82EBA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845-4758-8531-69516F82EBA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845-4758-8531-69516F82EBA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845-4758-8531-69516F82EBA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845-4758-8531-69516F82EBA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845-4758-8531-69516F82EBA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845-4758-8531-69516F82EBA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845-4758-8531-69516F82EBA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845-4758-8531-69516F82EBA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845-4758-8531-69516F82EBA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845-4758-8531-69516F82EBA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845-4758-8531-69516F82EBA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845-4758-8531-69516F82EBA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845-4758-8531-69516F82EBA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845-4758-8531-69516F82EBA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845-4758-8531-69516F82EBA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845-4758-8531-69516F82EBA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845-4758-8531-69516F82EBA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845-4758-8531-69516F82EBA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845-4758-8531-69516F82EBA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845-4758-8531-69516F82EBA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845-4758-8531-69516F82EBA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845-4758-8531-69516F82EBA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845-4758-8531-69516F82EBA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845-4758-8531-69516F82EBA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845-4758-8531-69516F82EBA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845-4758-8531-69516F82EBA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845-4758-8531-69516F82EBA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845-4758-8531-69516F82E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F5F6-4712-AF37-9CB4B3F86AE7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F5F6-4712-AF37-9CB4B3F86AE7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F5F6-4712-AF37-9CB4B3F86AE7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F5F6-4712-AF37-9CB4B3F86AE7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5F6-4712-AF37-9CB4B3F86AE7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5F6-4712-AF37-9CB4B3F86AE7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5F6-4712-AF37-9CB4B3F86AE7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5F6-4712-AF37-9CB4B3F86AE7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5F6-4712-AF37-9CB4B3F86AE7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5F6-4712-AF37-9CB4B3F86AE7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5F6-4712-AF37-9CB4B3F86AE7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5F6-4712-AF37-9CB4B3F86AE7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5F6-4712-AF37-9CB4B3F86AE7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5F6-4712-AF37-9CB4B3F86AE7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5F6-4712-AF37-9CB4B3F86AE7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5F6-4712-AF37-9CB4B3F86AE7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5F6-4712-AF37-9CB4B3F86AE7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5F6-4712-AF37-9CB4B3F86AE7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5F6-4712-AF37-9CB4B3F86AE7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5F6-4712-AF37-9CB4B3F86AE7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F5F6-4712-AF37-9CB4B3F86AE7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F5F6-4712-AF37-9CB4B3F86AE7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F5F6-4712-AF37-9CB4B3F86AE7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F5F6-4712-AF37-9CB4B3F86AE7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F5F6-4712-AF37-9CB4B3F86AE7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F5F6-4712-AF37-9CB4B3F86AE7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F5F6-4712-AF37-9CB4B3F86AE7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F5F6-4712-AF37-9CB4B3F86AE7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F5F6-4712-AF37-9CB4B3F86AE7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F5F6-4712-AF37-9CB4B3F86AE7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F5F6-4712-AF37-9CB4B3F86AE7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F5F6-4712-AF37-9CB4B3F86AE7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F5F6-4712-AF37-9CB4B3F86AE7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F5F6-4712-AF37-9CB4B3F86AE7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F5F6-4712-AF37-9CB4B3F86AE7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F5F6-4712-AF37-9CB4B3F86AE7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F5F6-4712-AF37-9CB4B3F86AE7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F5F6-4712-AF37-9CB4B3F86AE7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F5F6-4712-AF37-9CB4B3F86AE7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F5F6-4712-AF37-9CB4B3F86AE7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F5F6-4712-AF37-9CB4B3F86AE7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F5F6-4712-AF37-9CB4B3F86AE7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F5F6-4712-AF37-9CB4B3F86AE7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F5F6-4712-AF37-9CB4B3F86AE7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F5F6-4712-AF37-9CB4B3F86AE7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F5F6-4712-AF37-9CB4B3F86AE7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F5F6-4712-AF37-9CB4B3F86AE7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F5F6-4712-AF37-9CB4B3F86AE7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F5F6-4712-AF37-9CB4B3F86AE7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F5F6-4712-AF37-9CB4B3F86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522E-45C2-8620-7D051F93953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522E-45C2-8620-7D051F93953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22E-45C2-8620-7D051F93953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522E-45C2-8620-7D051F93953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22E-45C2-8620-7D051F93953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22E-45C2-8620-7D051F93953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22E-45C2-8620-7D051F93953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22E-45C2-8620-7D051F93953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22E-45C2-8620-7D051F93953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22E-45C2-8620-7D051F93953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22E-45C2-8620-7D051F93953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22E-45C2-8620-7D051F93953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22E-45C2-8620-7D051F93953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22E-45C2-8620-7D051F93953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22E-45C2-8620-7D051F93953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22E-45C2-8620-7D051F93953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22E-45C2-8620-7D051F93953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22E-45C2-8620-7D051F93953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22E-45C2-8620-7D051F93953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22E-45C2-8620-7D051F93953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522E-45C2-8620-7D051F93953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522E-45C2-8620-7D051F93953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522E-45C2-8620-7D051F93953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522E-45C2-8620-7D051F93953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522E-45C2-8620-7D051F93953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522E-45C2-8620-7D051F93953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522E-45C2-8620-7D051F93953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522E-45C2-8620-7D051F93953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522E-45C2-8620-7D051F93953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522E-45C2-8620-7D051F93953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522E-45C2-8620-7D051F93953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522E-45C2-8620-7D051F93953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522E-45C2-8620-7D051F93953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522E-45C2-8620-7D051F93953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522E-45C2-8620-7D051F93953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522E-45C2-8620-7D051F93953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522E-45C2-8620-7D051F93953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522E-45C2-8620-7D051F93953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522E-45C2-8620-7D051F93953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522E-45C2-8620-7D051F93953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522E-45C2-8620-7D051F93953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522E-45C2-8620-7D051F93953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522E-45C2-8620-7D051F93953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522E-45C2-8620-7D051F93953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522E-45C2-8620-7D051F93953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522E-45C2-8620-7D051F93953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522E-45C2-8620-7D051F93953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522E-45C2-8620-7D051F93953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522E-45C2-8620-7D051F93953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522E-45C2-8620-7D051F939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777-4CDC-A75C-CC0FD2464077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777-4CDC-A75C-CC0FD2464077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777-4CDC-A75C-CC0FD2464077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777-4CDC-A75C-CC0FD2464077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777-4CDC-A75C-CC0FD2464077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77-4CDC-A75C-CC0FD2464077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777-4CDC-A75C-CC0FD2464077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777-4CDC-A75C-CC0FD2464077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777-4CDC-A75C-CC0FD2464077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777-4CDC-A75C-CC0FD2464077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777-4CDC-A75C-CC0FD2464077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77-4CDC-A75C-CC0FD2464077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77-4CDC-A75C-CC0FD2464077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777-4CDC-A75C-CC0FD2464077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777-4CDC-A75C-CC0FD2464077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777-4CDC-A75C-CC0FD2464077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777-4CDC-A75C-CC0FD2464077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777-4CDC-A75C-CC0FD2464077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777-4CDC-A75C-CC0FD2464077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77-4CDC-A75C-CC0FD2464077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777-4CDC-A75C-CC0FD2464077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777-4CDC-A75C-CC0FD2464077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777-4CDC-A75C-CC0FD2464077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777-4CDC-A75C-CC0FD2464077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777-4CDC-A75C-CC0FD2464077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777-4CDC-A75C-CC0FD2464077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777-4CDC-A75C-CC0FD2464077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777-4CDC-A75C-CC0FD2464077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777-4CDC-A75C-CC0FD2464077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777-4CDC-A75C-CC0FD2464077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777-4CDC-A75C-CC0FD2464077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777-4CDC-A75C-CC0FD2464077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777-4CDC-A75C-CC0FD2464077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777-4CDC-A75C-CC0FD2464077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777-4CDC-A75C-CC0FD2464077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777-4CDC-A75C-CC0FD2464077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777-4CDC-A75C-CC0FD2464077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777-4CDC-A75C-CC0FD2464077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777-4CDC-A75C-CC0FD2464077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777-4CDC-A75C-CC0FD2464077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777-4CDC-A75C-CC0FD2464077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777-4CDC-A75C-CC0FD2464077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777-4CDC-A75C-CC0FD2464077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777-4CDC-A75C-CC0FD2464077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777-4CDC-A75C-CC0FD2464077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777-4CDC-A75C-CC0FD2464077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777-4CDC-A75C-CC0FD2464077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777-4CDC-A75C-CC0FD2464077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777-4CDC-A75C-CC0FD2464077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777-4CDC-A75C-CC0FD2464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5285-4E1A-82DE-BCC130221FE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5285-4E1A-82DE-BCC130221FE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285-4E1A-82DE-BCC130221FE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5285-4E1A-82DE-BCC130221FE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285-4E1A-82DE-BCC130221FE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285-4E1A-82DE-BCC130221FE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285-4E1A-82DE-BCC130221FE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285-4E1A-82DE-BCC130221FE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285-4E1A-82DE-BCC130221FE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285-4E1A-82DE-BCC130221FE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285-4E1A-82DE-BCC130221FE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285-4E1A-82DE-BCC130221FE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285-4E1A-82DE-BCC130221FE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285-4E1A-82DE-BCC130221FE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285-4E1A-82DE-BCC130221FE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285-4E1A-82DE-BCC130221FE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285-4E1A-82DE-BCC130221FE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285-4E1A-82DE-BCC130221FE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285-4E1A-82DE-BCC130221FE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285-4E1A-82DE-BCC130221FE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5285-4E1A-82DE-BCC130221FE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5285-4E1A-82DE-BCC130221FE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5285-4E1A-82DE-BCC130221FE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5285-4E1A-82DE-BCC130221FE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5285-4E1A-82DE-BCC130221FE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5285-4E1A-82DE-BCC130221FE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5285-4E1A-82DE-BCC130221FE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5285-4E1A-82DE-BCC130221FE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5285-4E1A-82DE-BCC130221FE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5285-4E1A-82DE-BCC130221FE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5285-4E1A-82DE-BCC130221FE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5285-4E1A-82DE-BCC130221FE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5285-4E1A-82DE-BCC130221FE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5285-4E1A-82DE-BCC130221FE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5285-4E1A-82DE-BCC130221FE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5285-4E1A-82DE-BCC130221FE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5285-4E1A-82DE-BCC130221FE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5285-4E1A-82DE-BCC130221FE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5285-4E1A-82DE-BCC130221FE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5285-4E1A-82DE-BCC130221FE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5285-4E1A-82DE-BCC130221FE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5285-4E1A-82DE-BCC130221FE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5285-4E1A-82DE-BCC130221FE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5285-4E1A-82DE-BCC130221FE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5285-4E1A-82DE-BCC130221FE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5285-4E1A-82DE-BCC130221FE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5285-4E1A-82DE-BCC130221FE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5285-4E1A-82DE-BCC130221FE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5285-4E1A-82DE-BCC130221FE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5285-4E1A-82DE-BCC130221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43A-4854-9224-A86DAB381275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43A-4854-9224-A86DAB381275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43A-4854-9224-A86DAB381275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343A-4854-9224-A86DAB381275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43A-4854-9224-A86DAB381275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43A-4854-9224-A86DAB381275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43A-4854-9224-A86DAB381275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43A-4854-9224-A86DAB381275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43A-4854-9224-A86DAB381275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43A-4854-9224-A86DAB381275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43A-4854-9224-A86DAB381275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43A-4854-9224-A86DAB381275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43A-4854-9224-A86DAB381275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43A-4854-9224-A86DAB381275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43A-4854-9224-A86DAB381275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43A-4854-9224-A86DAB381275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43A-4854-9224-A86DAB381275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43A-4854-9224-A86DAB381275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43A-4854-9224-A86DAB381275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43A-4854-9224-A86DAB381275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343A-4854-9224-A86DAB381275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343A-4854-9224-A86DAB381275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343A-4854-9224-A86DAB381275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343A-4854-9224-A86DAB381275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343A-4854-9224-A86DAB381275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343A-4854-9224-A86DAB381275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343A-4854-9224-A86DAB381275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343A-4854-9224-A86DAB381275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343A-4854-9224-A86DAB381275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343A-4854-9224-A86DAB381275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343A-4854-9224-A86DAB381275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343A-4854-9224-A86DAB381275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343A-4854-9224-A86DAB381275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343A-4854-9224-A86DAB381275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343A-4854-9224-A86DAB381275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343A-4854-9224-A86DAB381275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343A-4854-9224-A86DAB381275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343A-4854-9224-A86DAB381275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343A-4854-9224-A86DAB381275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343A-4854-9224-A86DAB381275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343A-4854-9224-A86DAB381275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343A-4854-9224-A86DAB381275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343A-4854-9224-A86DAB381275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343A-4854-9224-A86DAB381275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343A-4854-9224-A86DAB381275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343A-4854-9224-A86DAB381275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343A-4854-9224-A86DAB381275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343A-4854-9224-A86DAB381275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343A-4854-9224-A86DAB381275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343A-4854-9224-A86DAB381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9A8-41D0-BFAD-00147DFDEB2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9A8-41D0-BFAD-00147DFDEB2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9A8-41D0-BFAD-00147DFDEB2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39A8-41D0-BFAD-00147DFDEB2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9A8-41D0-BFAD-00147DFDEB2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9A8-41D0-BFAD-00147DFDEB2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9A8-41D0-BFAD-00147DFDEB2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9A8-41D0-BFAD-00147DFDEB2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9A8-41D0-BFAD-00147DFDEB2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9A8-41D0-BFAD-00147DFDEB2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9A8-41D0-BFAD-00147DFDEB2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9A8-41D0-BFAD-00147DFDEB2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9A8-41D0-BFAD-00147DFDEB2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9A8-41D0-BFAD-00147DFDEB2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9A8-41D0-BFAD-00147DFDEB2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9A8-41D0-BFAD-00147DFDEB2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9A8-41D0-BFAD-00147DFDEB2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9A8-41D0-BFAD-00147DFDEB2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9A8-41D0-BFAD-00147DFDEB2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9A8-41D0-BFAD-00147DFDEB2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39A8-41D0-BFAD-00147DFDEB2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39A8-41D0-BFAD-00147DFDEB2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39A8-41D0-BFAD-00147DFDEB2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39A8-41D0-BFAD-00147DFDEB2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39A8-41D0-BFAD-00147DFDEB2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39A8-41D0-BFAD-00147DFDEB2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39A8-41D0-BFAD-00147DFDEB2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39A8-41D0-BFAD-00147DFDEB2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39A8-41D0-BFAD-00147DFDEB2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39A8-41D0-BFAD-00147DFDEB2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39A8-41D0-BFAD-00147DFDEB2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39A8-41D0-BFAD-00147DFDEB2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39A8-41D0-BFAD-00147DFDEB2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39A8-41D0-BFAD-00147DFDEB2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39A8-41D0-BFAD-00147DFDEB2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39A8-41D0-BFAD-00147DFDEB2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39A8-41D0-BFAD-00147DFDEB2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39A8-41D0-BFAD-00147DFDEB2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39A8-41D0-BFAD-00147DFDEB2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39A8-41D0-BFAD-00147DFDEB2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39A8-41D0-BFAD-00147DFDEB2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39A8-41D0-BFAD-00147DFDEB2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39A8-41D0-BFAD-00147DFDEB2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39A8-41D0-BFAD-00147DFDEB2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39A8-41D0-BFAD-00147DFDEB2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39A8-41D0-BFAD-00147DFDEB2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39A8-41D0-BFAD-00147DFDEB2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39A8-41D0-BFAD-00147DFDEB2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39A8-41D0-BFAD-00147DFDEB2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39A8-41D0-BFAD-00147DFDE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BDB-4BB9-88DE-5CACFF39D72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BDB-4BB9-88DE-5CACFF39D72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BDB-4BB9-88DE-5CACFF39D72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BDB-4BB9-88DE-5CACFF39D72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BDB-4BB9-88DE-5CACFF39D72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BDB-4BB9-88DE-5CACFF39D72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BDB-4BB9-88DE-5CACFF39D72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BDB-4BB9-88DE-5CACFF39D72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BDB-4BB9-88DE-5CACFF39D72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BDB-4BB9-88DE-5CACFF39D72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BDB-4BB9-88DE-5CACFF39D72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BDB-4BB9-88DE-5CACFF39D72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BDB-4BB9-88DE-5CACFF39D72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BDB-4BB9-88DE-5CACFF39D72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BDB-4BB9-88DE-5CACFF39D72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BDB-4BB9-88DE-5CACFF39D72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BDB-4BB9-88DE-5CACFF39D72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BDB-4BB9-88DE-5CACFF39D72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BDB-4BB9-88DE-5CACFF39D72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BDB-4BB9-88DE-5CACFF39D72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BDB-4BB9-88DE-5CACFF39D72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BDB-4BB9-88DE-5CACFF39D72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BDB-4BB9-88DE-5CACFF39D72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BDB-4BB9-88DE-5CACFF39D72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BDB-4BB9-88DE-5CACFF39D72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BDB-4BB9-88DE-5CACFF39D72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BDB-4BB9-88DE-5CACFF39D72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BDB-4BB9-88DE-5CACFF39D72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BDB-4BB9-88DE-5CACFF39D72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BDB-4BB9-88DE-5CACFF39D72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BDB-4BB9-88DE-5CACFF39D72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BDB-4BB9-88DE-5CACFF39D72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BDB-4BB9-88DE-5CACFF39D72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BDB-4BB9-88DE-5CACFF39D72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BDB-4BB9-88DE-5CACFF39D72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BDB-4BB9-88DE-5CACFF39D72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BDB-4BB9-88DE-5CACFF39D72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BDB-4BB9-88DE-5CACFF39D72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BDB-4BB9-88DE-5CACFF39D72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BDB-4BB9-88DE-5CACFF39D72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BDB-4BB9-88DE-5CACFF39D72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BDB-4BB9-88DE-5CACFF39D72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BDB-4BB9-88DE-5CACFF39D72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BDB-4BB9-88DE-5CACFF39D72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BDB-4BB9-88DE-5CACFF39D72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BDB-4BB9-88DE-5CACFF39D72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BDB-4BB9-88DE-5CACFF39D72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BDB-4BB9-88DE-5CACFF39D72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BDB-4BB9-88DE-5CACFF39D72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BDB-4BB9-88DE-5CACFF39D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B82A-4037-B772-716140F3512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B82A-4037-B772-716140F3512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B82A-4037-B772-716140F3512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B82A-4037-B772-716140F3512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82A-4037-B772-716140F3512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82A-4037-B772-716140F3512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82A-4037-B772-716140F3512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82A-4037-B772-716140F3512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82A-4037-B772-716140F3512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82A-4037-B772-716140F3512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82A-4037-B772-716140F3512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82A-4037-B772-716140F3512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82A-4037-B772-716140F3512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82A-4037-B772-716140F3512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82A-4037-B772-716140F3512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82A-4037-B772-716140F3512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82A-4037-B772-716140F3512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82A-4037-B772-716140F3512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82A-4037-B772-716140F3512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82A-4037-B772-716140F3512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B82A-4037-B772-716140F3512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B82A-4037-B772-716140F3512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B82A-4037-B772-716140F3512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B82A-4037-B772-716140F3512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B82A-4037-B772-716140F3512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B82A-4037-B772-716140F3512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B82A-4037-B772-716140F3512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B82A-4037-B772-716140F3512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B82A-4037-B772-716140F3512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B82A-4037-B772-716140F3512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B82A-4037-B772-716140F3512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B82A-4037-B772-716140F3512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B82A-4037-B772-716140F3512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B82A-4037-B772-716140F3512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B82A-4037-B772-716140F3512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B82A-4037-B772-716140F3512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B82A-4037-B772-716140F3512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B82A-4037-B772-716140F3512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B82A-4037-B772-716140F3512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B82A-4037-B772-716140F3512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B82A-4037-B772-716140F3512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B82A-4037-B772-716140F3512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B82A-4037-B772-716140F3512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B82A-4037-B772-716140F3512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B82A-4037-B772-716140F3512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B82A-4037-B772-716140F3512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B82A-4037-B772-716140F3512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B82A-4037-B772-716140F3512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B82A-4037-B772-716140F3512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B82A-4037-B772-716140F35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8BD9-4742-A286-E5DEA6E41196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8BD9-4742-A286-E5DEA6E41196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8BD9-4742-A286-E5DEA6E41196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8BD9-4742-A286-E5DEA6E41196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BD9-4742-A286-E5DEA6E41196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BD9-4742-A286-E5DEA6E41196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BD9-4742-A286-E5DEA6E41196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BD9-4742-A286-E5DEA6E41196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BD9-4742-A286-E5DEA6E41196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BD9-4742-A286-E5DEA6E41196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BD9-4742-A286-E5DEA6E41196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BD9-4742-A286-E5DEA6E41196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BD9-4742-A286-E5DEA6E41196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BD9-4742-A286-E5DEA6E41196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BD9-4742-A286-E5DEA6E41196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BD9-4742-A286-E5DEA6E41196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BD9-4742-A286-E5DEA6E41196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BD9-4742-A286-E5DEA6E41196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BD9-4742-A286-E5DEA6E41196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BD9-4742-A286-E5DEA6E41196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8BD9-4742-A286-E5DEA6E41196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8BD9-4742-A286-E5DEA6E41196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8BD9-4742-A286-E5DEA6E41196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8BD9-4742-A286-E5DEA6E41196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8BD9-4742-A286-E5DEA6E41196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8BD9-4742-A286-E5DEA6E41196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8BD9-4742-A286-E5DEA6E41196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8BD9-4742-A286-E5DEA6E41196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8BD9-4742-A286-E5DEA6E41196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8BD9-4742-A286-E5DEA6E41196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8BD9-4742-A286-E5DEA6E41196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8BD9-4742-A286-E5DEA6E41196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8BD9-4742-A286-E5DEA6E41196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8BD9-4742-A286-E5DEA6E41196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8BD9-4742-A286-E5DEA6E41196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8BD9-4742-A286-E5DEA6E41196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8BD9-4742-A286-E5DEA6E41196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8BD9-4742-A286-E5DEA6E41196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8BD9-4742-A286-E5DEA6E41196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8BD9-4742-A286-E5DEA6E41196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8BD9-4742-A286-E5DEA6E41196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8BD9-4742-A286-E5DEA6E41196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8BD9-4742-A286-E5DEA6E41196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8BD9-4742-A286-E5DEA6E41196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8BD9-4742-A286-E5DEA6E41196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8BD9-4742-A286-E5DEA6E41196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8BD9-4742-A286-E5DEA6E41196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8BD9-4742-A286-E5DEA6E41196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8BD9-4742-A286-E5DEA6E41196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8BD9-4742-A286-E5DEA6E41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E013-4C30-B55E-4A2D98BF0BE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E013-4C30-B55E-4A2D98BF0BE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E013-4C30-B55E-4A2D98BF0BE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E013-4C30-B55E-4A2D98BF0BE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013-4C30-B55E-4A2D98BF0BE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013-4C30-B55E-4A2D98BF0BE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013-4C30-B55E-4A2D98BF0BE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013-4C30-B55E-4A2D98BF0BE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013-4C30-B55E-4A2D98BF0BE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013-4C30-B55E-4A2D98BF0BE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013-4C30-B55E-4A2D98BF0BE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013-4C30-B55E-4A2D98BF0BE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013-4C30-B55E-4A2D98BF0BE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013-4C30-B55E-4A2D98BF0BE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013-4C30-B55E-4A2D98BF0BE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013-4C30-B55E-4A2D98BF0BE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013-4C30-B55E-4A2D98BF0BE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013-4C30-B55E-4A2D98BF0BE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013-4C30-B55E-4A2D98BF0BE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013-4C30-B55E-4A2D98BF0BE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E013-4C30-B55E-4A2D98BF0BE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E013-4C30-B55E-4A2D98BF0BE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E013-4C30-B55E-4A2D98BF0BE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E013-4C30-B55E-4A2D98BF0BE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E013-4C30-B55E-4A2D98BF0BE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E013-4C30-B55E-4A2D98BF0BE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E013-4C30-B55E-4A2D98BF0BE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E013-4C30-B55E-4A2D98BF0BE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E013-4C30-B55E-4A2D98BF0BE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E013-4C30-B55E-4A2D98BF0BE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E013-4C30-B55E-4A2D98BF0BE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E013-4C30-B55E-4A2D98BF0BE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E013-4C30-B55E-4A2D98BF0BE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E013-4C30-B55E-4A2D98BF0BE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E013-4C30-B55E-4A2D98BF0BE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E013-4C30-B55E-4A2D98BF0BE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E013-4C30-B55E-4A2D98BF0BE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E013-4C30-B55E-4A2D98BF0BE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E013-4C30-B55E-4A2D98BF0BE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E013-4C30-B55E-4A2D98BF0BE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E013-4C30-B55E-4A2D98BF0BE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E013-4C30-B55E-4A2D98BF0BE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E013-4C30-B55E-4A2D98BF0BE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E013-4C30-B55E-4A2D98BF0BE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E013-4C30-B55E-4A2D98BF0BE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E013-4C30-B55E-4A2D98BF0BE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E013-4C30-B55E-4A2D98BF0BE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E013-4C30-B55E-4A2D98BF0BE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E013-4C30-B55E-4A2D98BF0BE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E013-4C30-B55E-4A2D98BF0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83B-4D8E-BB52-DBB6EC5E9A6A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83B-4D8E-BB52-DBB6EC5E9A6A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83B-4D8E-BB52-DBB6EC5E9A6A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83B-4D8E-BB52-DBB6EC5E9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683B-4D8E-BB52-DBB6EC5E9A6A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83B-4D8E-BB52-DBB6EC5E9A6A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83B-4D8E-BB52-DBB6EC5E9A6A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83B-4D8E-BB52-DBB6EC5E9A6A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83B-4D8E-BB52-DBB6EC5E9A6A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83B-4D8E-BB52-DBB6EC5E9A6A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83B-4D8E-BB52-DBB6EC5E9A6A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83B-4D8E-BB52-DBB6EC5E9A6A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83B-4D8E-BB52-DBB6EC5E9A6A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83B-4D8E-BB52-DBB6EC5E9A6A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83B-4D8E-BB52-DBB6EC5E9A6A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83B-4D8E-BB52-DBB6EC5E9A6A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83B-4D8E-BB52-DBB6EC5E9A6A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83B-4D8E-BB52-DBB6EC5E9A6A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83B-4D8E-BB52-DBB6EC5E9A6A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83B-4D8E-BB52-DBB6EC5E9A6A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8A8-4D15-8248-A72B1BB64DD2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8A8-4D15-8248-A72B1BB64DD2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8A8-4D15-8248-A72B1BB64DD2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8A8-4D15-8248-A72B1BB64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08A8-4D15-8248-A72B1BB64DD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8A8-4D15-8248-A72B1BB64DD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8A8-4D15-8248-A72B1BB64DD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8A8-4D15-8248-A72B1BB64DD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8A8-4D15-8248-A72B1BB64DD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8A8-4D15-8248-A72B1BB64DD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8A8-4D15-8248-A72B1BB64DD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8A8-4D15-8248-A72B1BB64DD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8A8-4D15-8248-A72B1BB64DD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8A8-4D15-8248-A72B1BB64DD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8A8-4D15-8248-A72B1BB64DD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8A8-4D15-8248-A72B1BB64DD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8A8-4D15-8248-A72B1BB64DD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8A8-4D15-8248-A72B1BB64DD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8A8-4D15-8248-A72B1BB64DD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8A8-4D15-8248-A72B1BB64DD2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396825396826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7AE-4312-9F13-DAE35CCC7BAE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7AE-4312-9F13-DAE35CCC7BAE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7AE-4312-9F13-DAE35CCC7BAE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7AE-4312-9F13-DAE35CCC7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37AE-4312-9F13-DAE35CCC7BA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7AE-4312-9F13-DAE35CCC7BA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AE-4312-9F13-DAE35CCC7BA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7AE-4312-9F13-DAE35CCC7BA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7AE-4312-9F13-DAE35CCC7BA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7AE-4312-9F13-DAE35CCC7BA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7AE-4312-9F13-DAE35CCC7BA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7AE-4312-9F13-DAE35CCC7BA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7AE-4312-9F13-DAE35CCC7BA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7AE-4312-9F13-DAE35CCC7BA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7AE-4312-9F13-DAE35CCC7BA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7AE-4312-9F13-DAE35CCC7BA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7AE-4312-9F13-DAE35CCC7BA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7AE-4312-9F13-DAE35CCC7BA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7AE-4312-9F13-DAE35CCC7BA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7AE-4312-9F13-DAE35CCC7BAE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06D-4991-91CC-B91185C76C1B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06D-4991-91CC-B91185C76C1B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06D-4991-91CC-B91185C76C1B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06D-4991-91CC-B91185C76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606D-4991-91CC-B91185C76C1B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06D-4991-91CC-B91185C76C1B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06D-4991-91CC-B91185C76C1B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06D-4991-91CC-B91185C76C1B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06D-4991-91CC-B91185C76C1B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06D-4991-91CC-B91185C76C1B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06D-4991-91CC-B91185C76C1B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06D-4991-91CC-B91185C76C1B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06D-4991-91CC-B91185C76C1B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06D-4991-91CC-B91185C76C1B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06D-4991-91CC-B91185C76C1B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06D-4991-91CC-B91185C76C1B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06D-4991-91CC-B91185C76C1B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06D-4991-91CC-B91185C76C1B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06D-4991-91CC-B91185C76C1B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06D-4991-91CC-B91185C76C1B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EC2A-4B3F-B559-8905C107C997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EC2A-4B3F-B559-8905C107C997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C2A-4B3F-B559-8905C107C997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C2A-4B3F-B559-8905C107C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EC2A-4B3F-B559-8905C107C997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C2A-4B3F-B559-8905C107C997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C2A-4B3F-B559-8905C107C997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C2A-4B3F-B559-8905C107C997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C2A-4B3F-B559-8905C107C997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C2A-4B3F-B559-8905C107C997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C2A-4B3F-B559-8905C107C99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C2A-4B3F-B559-8905C107C997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C2A-4B3F-B559-8905C107C99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C2A-4B3F-B559-8905C107C997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C2A-4B3F-B559-8905C107C997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C2A-4B3F-B559-8905C107C997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C2A-4B3F-B559-8905C107C997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C2A-4B3F-B559-8905C107C997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C2A-4B3F-B559-8905C107C997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C2A-4B3F-B559-8905C107C997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A402-4037-872A-2502B67CF63D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A402-4037-872A-2502B67CF63D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402-4037-872A-2502B67CF63D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402-4037-872A-2502B67CF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A402-4037-872A-2502B67CF63D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402-4037-872A-2502B67CF63D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402-4037-872A-2502B67CF63D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402-4037-872A-2502B67CF63D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402-4037-872A-2502B67CF63D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402-4037-872A-2502B67CF63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402-4037-872A-2502B67CF63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402-4037-872A-2502B67CF63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402-4037-872A-2502B67CF63D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402-4037-872A-2502B67CF63D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402-4037-872A-2502B67CF63D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402-4037-872A-2502B67CF63D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402-4037-872A-2502B67CF63D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402-4037-872A-2502B67CF63D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402-4037-872A-2502B67CF63D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402-4037-872A-2502B67CF63D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0-DC80-4AD5-8B51-22DEDEE81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354319"/>
        <c:axId val="1022371407"/>
      </c:scatterChart>
      <c:valAx>
        <c:axId val="1105354319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1022371407"/>
        <c:crosses val="autoZero"/>
        <c:crossBetween val="midCat"/>
      </c:valAx>
      <c:valAx>
        <c:axId val="102237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110535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2.9872685185185189E-3"/>
          <c:w val="1"/>
          <c:h val="8.26828703703703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r>
              <a:rPr lang="ja-JP" altLang="en-US" sz="1000" b="0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擬似速度応答スペクトル</a:t>
            </a:r>
            <a:r>
              <a:rPr lang="en-US" altLang="ja-JP" sz="1000" b="0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(pSv)</a:t>
            </a:r>
          </a:p>
        </c:rich>
      </c:tx>
      <c:layout>
        <c:manualLayout>
          <c:xMode val="edge"/>
          <c:yMode val="edge"/>
          <c:x val="0.36245536398467432"/>
          <c:y val="0"/>
        </c:manualLayout>
      </c:layout>
      <c:overlay val="0"/>
      <c:spPr>
        <a:noFill/>
        <a:ln>
          <a:noFill/>
        </a:ln>
      </c:spPr>
    </c:title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Spectrum!$B$2:$C$2</c:f>
              <c:numCache>
                <c:formatCode>General</c:formatCode>
                <c:ptCount val="2"/>
                <c:pt idx="0">
                  <c:v>6.2831853071795871</c:v>
                </c:pt>
                <c:pt idx="1">
                  <c:v>10</c:v>
                </c:pt>
              </c:numCache>
            </c:numRef>
          </c:xVal>
          <c:yVal>
            <c:numRef>
              <c:f>Spectrum!$D$2:$E$2</c:f>
              <c:numCache>
                <c:formatCode>General</c:formatCode>
                <c:ptCount val="2"/>
                <c:pt idx="0">
                  <c:v>0.1</c:v>
                </c:pt>
                <c:pt idx="1">
                  <c:v>0.15915494309189537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9-4F81-9260-2DACCB60631A}"/>
            </c:ext>
          </c:extLst>
        </c:ser>
        <c:ser>
          <c:idx val="1"/>
          <c:order val="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Spectrum!$B$3:$C$3</c:f>
              <c:numCache>
                <c:formatCode>General</c:formatCode>
                <c:ptCount val="2"/>
                <c:pt idx="0">
                  <c:v>3.1415926535897931</c:v>
                </c:pt>
                <c:pt idx="1">
                  <c:v>10</c:v>
                </c:pt>
              </c:numCache>
            </c:numRef>
          </c:xVal>
          <c:yVal>
            <c:numRef>
              <c:f>Spectrum!$D$3:$E$3</c:f>
              <c:numCache>
                <c:formatCode>General</c:formatCode>
                <c:ptCount val="2"/>
                <c:pt idx="0">
                  <c:v>0.1</c:v>
                </c:pt>
                <c:pt idx="1">
                  <c:v>0.31830988618379075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F9-4F81-9260-2DACCB60631A}"/>
            </c:ext>
          </c:extLst>
        </c:ser>
        <c:ser>
          <c:idx val="2"/>
          <c:order val="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Spectrum!$B$4:$C$4</c:f>
              <c:numCache>
                <c:formatCode>General</c:formatCode>
                <c:ptCount val="2"/>
                <c:pt idx="0">
                  <c:v>2.0943951023931953</c:v>
                </c:pt>
                <c:pt idx="1">
                  <c:v>10</c:v>
                </c:pt>
              </c:numCache>
            </c:numRef>
          </c:xVal>
          <c:yVal>
            <c:numRef>
              <c:f>Spectrum!$D$4:$E$4</c:f>
              <c:numCache>
                <c:formatCode>General</c:formatCode>
                <c:ptCount val="2"/>
                <c:pt idx="0">
                  <c:v>0.1</c:v>
                </c:pt>
                <c:pt idx="1">
                  <c:v>0.47746482927568606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F9-4F81-9260-2DACCB60631A}"/>
            </c:ext>
          </c:extLst>
        </c:ser>
        <c:ser>
          <c:idx val="3"/>
          <c:order val="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Spectrum!$B$5:$C$5</c:f>
              <c:numCache>
                <c:formatCode>General</c:formatCode>
                <c:ptCount val="2"/>
                <c:pt idx="0">
                  <c:v>1.5707963267948966</c:v>
                </c:pt>
                <c:pt idx="1">
                  <c:v>10</c:v>
                </c:pt>
              </c:numCache>
            </c:numRef>
          </c:xVal>
          <c:yVal>
            <c:numRef>
              <c:f>Spectrum!$D$5:$E$5</c:f>
              <c:numCache>
                <c:formatCode>General</c:formatCode>
                <c:ptCount val="2"/>
                <c:pt idx="0">
                  <c:v>0.1</c:v>
                </c:pt>
                <c:pt idx="1">
                  <c:v>0.63661977236758138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F9-4F81-9260-2DACCB60631A}"/>
            </c:ext>
          </c:extLst>
        </c:ser>
        <c:ser>
          <c:idx val="4"/>
          <c:order val="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Spectrum!$B$6:$C$6</c:f>
              <c:numCache>
                <c:formatCode>General</c:formatCode>
                <c:ptCount val="2"/>
                <c:pt idx="0">
                  <c:v>1.2566370614359172</c:v>
                </c:pt>
                <c:pt idx="1">
                  <c:v>10</c:v>
                </c:pt>
              </c:numCache>
            </c:numRef>
          </c:xVal>
          <c:yVal>
            <c:numRef>
              <c:f>Spectrum!$D$6:$E$6</c:f>
              <c:numCache>
                <c:formatCode>General</c:formatCode>
                <c:ptCount val="2"/>
                <c:pt idx="0">
                  <c:v>0.1</c:v>
                </c:pt>
                <c:pt idx="1">
                  <c:v>0.79577471545947676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F9-4F81-9260-2DACCB60631A}"/>
            </c:ext>
          </c:extLst>
        </c:ser>
        <c:ser>
          <c:idx val="5"/>
          <c:order val="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Spectrum!$B$7:$C$7</c:f>
              <c:numCache>
                <c:formatCode>General</c:formatCode>
                <c:ptCount val="2"/>
                <c:pt idx="0">
                  <c:v>1.0471975511965979</c:v>
                </c:pt>
                <c:pt idx="1">
                  <c:v>10</c:v>
                </c:pt>
              </c:numCache>
            </c:numRef>
          </c:xVal>
          <c:yVal>
            <c:numRef>
              <c:f>Spectrum!$D$7:$E$7</c:f>
              <c:numCache>
                <c:formatCode>General</c:formatCode>
                <c:ptCount val="2"/>
                <c:pt idx="0">
                  <c:v>0.1</c:v>
                </c:pt>
                <c:pt idx="1">
                  <c:v>0.95492965855137169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F9-4F81-9260-2DACCB60631A}"/>
            </c:ext>
          </c:extLst>
        </c:ser>
        <c:ser>
          <c:idx val="6"/>
          <c:order val="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Spectrum!$B$8:$C$8</c:f>
              <c:numCache>
                <c:formatCode>General</c:formatCode>
                <c:ptCount val="2"/>
                <c:pt idx="0">
                  <c:v>0.89759790102565529</c:v>
                </c:pt>
                <c:pt idx="1">
                  <c:v>10</c:v>
                </c:pt>
              </c:numCache>
            </c:numRef>
          </c:xVal>
          <c:yVal>
            <c:numRef>
              <c:f>Spectrum!$D$8:$E$8</c:f>
              <c:numCache>
                <c:formatCode>General</c:formatCode>
                <c:ptCount val="2"/>
                <c:pt idx="0">
                  <c:v>0.1</c:v>
                </c:pt>
                <c:pt idx="1">
                  <c:v>1.1140846016432673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F9-4F81-9260-2DACCB60631A}"/>
            </c:ext>
          </c:extLst>
        </c:ser>
        <c:ser>
          <c:idx val="7"/>
          <c:order val="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Spectrum!$B$9:$C$9</c:f>
              <c:numCache>
                <c:formatCode>General</c:formatCode>
                <c:ptCount val="2"/>
                <c:pt idx="0">
                  <c:v>0.78539816339744839</c:v>
                </c:pt>
                <c:pt idx="1">
                  <c:v>10</c:v>
                </c:pt>
              </c:numCache>
            </c:numRef>
          </c:xVal>
          <c:yVal>
            <c:numRef>
              <c:f>Spectrum!$D$9:$E$9</c:f>
              <c:numCache>
                <c:formatCode>General</c:formatCode>
                <c:ptCount val="2"/>
                <c:pt idx="0">
                  <c:v>0.1</c:v>
                </c:pt>
                <c:pt idx="1">
                  <c:v>1.2732395447351625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3F9-4F81-9260-2DACCB60631A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Spectrum!$B$10:$C$10</c:f>
              <c:numCache>
                <c:formatCode>General</c:formatCode>
                <c:ptCount val="2"/>
                <c:pt idx="0">
                  <c:v>0.6981317007977319</c:v>
                </c:pt>
                <c:pt idx="1">
                  <c:v>10</c:v>
                </c:pt>
              </c:numCache>
            </c:numRef>
          </c:xVal>
          <c:yVal>
            <c:numRef>
              <c:f>Spectrum!$D$10:$E$10</c:f>
              <c:numCache>
                <c:formatCode>General</c:formatCode>
                <c:ptCount val="2"/>
                <c:pt idx="0">
                  <c:v>0.1</c:v>
                </c:pt>
                <c:pt idx="1">
                  <c:v>1.432394487827058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3F9-4F81-9260-2DACCB60631A}"/>
            </c:ext>
          </c:extLst>
        </c:ser>
        <c:ser>
          <c:idx val="9"/>
          <c:order val="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Spectrum!$B$11:$C$11</c:f>
              <c:numCache>
                <c:formatCode>General</c:formatCode>
                <c:ptCount val="2"/>
                <c:pt idx="0">
                  <c:v>0.62831853071795862</c:v>
                </c:pt>
                <c:pt idx="1">
                  <c:v>10</c:v>
                </c:pt>
              </c:numCache>
            </c:numRef>
          </c:xVal>
          <c:yVal>
            <c:numRef>
              <c:f>Spectrum!$D$11:$E$11</c:f>
              <c:numCache>
                <c:formatCode>General</c:formatCode>
                <c:ptCount val="2"/>
                <c:pt idx="0">
                  <c:v>0.1</c:v>
                </c:pt>
                <c:pt idx="1">
                  <c:v>1.5915494309189535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3F9-4F81-9260-2DACCB60631A}"/>
            </c:ext>
          </c:extLst>
        </c:ser>
        <c:ser>
          <c:idx val="10"/>
          <c:order val="1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Spectrum!$B$12:$C$12</c:f>
              <c:numCache>
                <c:formatCode>General</c:formatCode>
                <c:ptCount val="2"/>
                <c:pt idx="0">
                  <c:v>0.31415926535897931</c:v>
                </c:pt>
                <c:pt idx="1">
                  <c:v>10</c:v>
                </c:pt>
              </c:numCache>
            </c:numRef>
          </c:xVal>
          <c:yVal>
            <c:numRef>
              <c:f>Spectrum!$D$12:$E$12</c:f>
              <c:numCache>
                <c:formatCode>General</c:formatCode>
                <c:ptCount val="2"/>
                <c:pt idx="0">
                  <c:v>0.1</c:v>
                </c:pt>
                <c:pt idx="1">
                  <c:v>3.1830988618379066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3F9-4F81-9260-2DACCB60631A}"/>
            </c:ext>
          </c:extLst>
        </c:ser>
        <c:ser>
          <c:idx val="11"/>
          <c:order val="1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Spectrum!$B$13:$C$13</c:f>
              <c:numCache>
                <c:formatCode>General</c:formatCode>
                <c:ptCount val="2"/>
                <c:pt idx="0">
                  <c:v>0.20943951023931948</c:v>
                </c:pt>
                <c:pt idx="1">
                  <c:v>10</c:v>
                </c:pt>
              </c:numCache>
            </c:numRef>
          </c:xVal>
          <c:yVal>
            <c:numRef>
              <c:f>Spectrum!$D$13:$E$13</c:f>
              <c:numCache>
                <c:formatCode>General</c:formatCode>
                <c:ptCount val="2"/>
                <c:pt idx="0">
                  <c:v>0.1</c:v>
                </c:pt>
                <c:pt idx="1">
                  <c:v>4.7746482927568614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3F9-4F81-9260-2DACCB60631A}"/>
            </c:ext>
          </c:extLst>
        </c:ser>
        <c:ser>
          <c:idx val="12"/>
          <c:order val="1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Spectrum!$B$14:$C$14</c:f>
              <c:numCache>
                <c:formatCode>General</c:formatCode>
                <c:ptCount val="2"/>
                <c:pt idx="0">
                  <c:v>0.15707963267948966</c:v>
                </c:pt>
                <c:pt idx="1">
                  <c:v>10</c:v>
                </c:pt>
              </c:numCache>
            </c:numRef>
          </c:xVal>
          <c:yVal>
            <c:numRef>
              <c:f>Spectrum!$D$14:$E$14</c:f>
              <c:numCache>
                <c:formatCode>General</c:formatCode>
                <c:ptCount val="2"/>
                <c:pt idx="0">
                  <c:v>0.1</c:v>
                </c:pt>
                <c:pt idx="1">
                  <c:v>6.366197723675814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3F9-4F81-9260-2DACCB60631A}"/>
            </c:ext>
          </c:extLst>
        </c:ser>
        <c:ser>
          <c:idx val="13"/>
          <c:order val="1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Spectrum!$B$15:$C$15</c:f>
              <c:numCache>
                <c:formatCode>General</c:formatCode>
                <c:ptCount val="2"/>
                <c:pt idx="0">
                  <c:v>0.12566370614359165</c:v>
                </c:pt>
                <c:pt idx="1">
                  <c:v>10</c:v>
                </c:pt>
              </c:numCache>
            </c:numRef>
          </c:xVal>
          <c:yVal>
            <c:numRef>
              <c:f>Spectrum!$D$15:$E$15</c:f>
              <c:numCache>
                <c:formatCode>General</c:formatCode>
                <c:ptCount val="2"/>
                <c:pt idx="0">
                  <c:v>0.1</c:v>
                </c:pt>
                <c:pt idx="1">
                  <c:v>7.9577471545947711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3F9-4F81-9260-2DACCB60631A}"/>
            </c:ext>
          </c:extLst>
        </c:ser>
        <c:ser>
          <c:idx val="14"/>
          <c:order val="1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Spectrum!$B$16:$C$16</c:f>
              <c:numCache>
                <c:formatCode>General</c:formatCode>
                <c:ptCount val="2"/>
                <c:pt idx="0">
                  <c:v>0.10471975511965974</c:v>
                </c:pt>
                <c:pt idx="1">
                  <c:v>10</c:v>
                </c:pt>
              </c:numCache>
            </c:numRef>
          </c:xVal>
          <c:yVal>
            <c:numRef>
              <c:f>Spectrum!$D$16:$E$16</c:f>
              <c:numCache>
                <c:formatCode>General</c:formatCode>
                <c:ptCount val="2"/>
                <c:pt idx="0">
                  <c:v>0.1</c:v>
                </c:pt>
                <c:pt idx="1">
                  <c:v>9.5492965855137228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3F9-4F81-9260-2DACCB60631A}"/>
            </c:ext>
          </c:extLst>
        </c:ser>
        <c:ser>
          <c:idx val="15"/>
          <c:order val="1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Spectrum!$B$17:$C$17</c:f>
              <c:numCache>
                <c:formatCode>General</c:formatCode>
                <c:ptCount val="2"/>
                <c:pt idx="0">
                  <c:v>8.9759790102565518E-2</c:v>
                </c:pt>
                <c:pt idx="1">
                  <c:v>10</c:v>
                </c:pt>
              </c:numCache>
            </c:numRef>
          </c:xVal>
          <c:yVal>
            <c:numRef>
              <c:f>Spectrum!$D$17:$E$17</c:f>
              <c:numCache>
                <c:formatCode>General</c:formatCode>
                <c:ptCount val="2"/>
                <c:pt idx="0">
                  <c:v>0.1</c:v>
                </c:pt>
                <c:pt idx="1">
                  <c:v>11.140846016432674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3F9-4F81-9260-2DACCB60631A}"/>
            </c:ext>
          </c:extLst>
        </c:ser>
        <c:ser>
          <c:idx val="16"/>
          <c:order val="1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Spectrum!$B$18:$C$18</c:f>
              <c:numCache>
                <c:formatCode>General</c:formatCode>
                <c:ptCount val="2"/>
                <c:pt idx="0">
                  <c:v>7.8539816339744856E-2</c:v>
                </c:pt>
                <c:pt idx="1">
                  <c:v>10</c:v>
                </c:pt>
              </c:numCache>
            </c:numRef>
          </c:xVal>
          <c:yVal>
            <c:numRef>
              <c:f>Spectrum!$D$18:$E$18</c:f>
              <c:numCache>
                <c:formatCode>General</c:formatCode>
                <c:ptCount val="2"/>
                <c:pt idx="0">
                  <c:v>0.1</c:v>
                </c:pt>
                <c:pt idx="1">
                  <c:v>12.732395447351623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3F9-4F81-9260-2DACCB60631A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Spectrum!$B$19:$C$19</c:f>
              <c:numCache>
                <c:formatCode>General</c:formatCode>
                <c:ptCount val="2"/>
                <c:pt idx="0">
                  <c:v>6.9813170079773168E-2</c:v>
                </c:pt>
                <c:pt idx="1">
                  <c:v>10</c:v>
                </c:pt>
              </c:numCache>
            </c:numRef>
          </c:xVal>
          <c:yVal>
            <c:numRef>
              <c:f>Spectrum!$D$19:$E$19</c:f>
              <c:numCache>
                <c:formatCode>General</c:formatCode>
                <c:ptCount val="2"/>
                <c:pt idx="0">
                  <c:v>0.1</c:v>
                </c:pt>
                <c:pt idx="1">
                  <c:v>14.323944878270582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3F9-4F81-9260-2DACCB60631A}"/>
            </c:ext>
          </c:extLst>
        </c:ser>
        <c:ser>
          <c:idx val="18"/>
          <c:order val="1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Spectrum!$B$20:$C$20</c:f>
              <c:numCache>
                <c:formatCode>General</c:formatCode>
                <c:ptCount val="2"/>
                <c:pt idx="0">
                  <c:v>6.2831853071795826E-2</c:v>
                </c:pt>
                <c:pt idx="1">
                  <c:v>10</c:v>
                </c:pt>
              </c:numCache>
            </c:numRef>
          </c:xVal>
          <c:yVal>
            <c:numRef>
              <c:f>Spectrum!$D$20:$E$20</c:f>
              <c:numCache>
                <c:formatCode>General</c:formatCode>
                <c:ptCount val="2"/>
                <c:pt idx="0">
                  <c:v>0.1</c:v>
                </c:pt>
                <c:pt idx="1">
                  <c:v>15.915494309189542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3F9-4F81-9260-2DACCB60631A}"/>
            </c:ext>
          </c:extLst>
        </c:ser>
        <c:ser>
          <c:idx val="19"/>
          <c:order val="1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Spectrum!$B$21:$C$21</c:f>
              <c:numCache>
                <c:formatCode>General</c:formatCode>
                <c:ptCount val="2"/>
                <c:pt idx="0">
                  <c:v>3.1415926535897913E-2</c:v>
                </c:pt>
                <c:pt idx="1">
                  <c:v>10</c:v>
                </c:pt>
              </c:numCache>
            </c:numRef>
          </c:xVal>
          <c:yVal>
            <c:numRef>
              <c:f>Spectrum!$D$21:$E$21</c:f>
              <c:numCache>
                <c:formatCode>General</c:formatCode>
                <c:ptCount val="2"/>
                <c:pt idx="0">
                  <c:v>0.1</c:v>
                </c:pt>
                <c:pt idx="1">
                  <c:v>31.830988618379088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3F9-4F81-9260-2DACCB60631A}"/>
            </c:ext>
          </c:extLst>
        </c:ser>
        <c:ser>
          <c:idx val="20"/>
          <c:order val="2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Spectrum!$B$22:$C$22</c:f>
              <c:numCache>
                <c:formatCode>General</c:formatCode>
                <c:ptCount val="2"/>
                <c:pt idx="0">
                  <c:v>2.0943951023931956E-2</c:v>
                </c:pt>
                <c:pt idx="1">
                  <c:v>10</c:v>
                </c:pt>
              </c:numCache>
            </c:numRef>
          </c:xVal>
          <c:yVal>
            <c:numRef>
              <c:f>Spectrum!$D$22:$E$22</c:f>
              <c:numCache>
                <c:formatCode>General</c:formatCode>
                <c:ptCount val="2"/>
                <c:pt idx="0">
                  <c:v>0.1</c:v>
                </c:pt>
                <c:pt idx="1">
                  <c:v>47.7464829275686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3F9-4F81-9260-2DACCB60631A}"/>
            </c:ext>
          </c:extLst>
        </c:ser>
        <c:ser>
          <c:idx val="21"/>
          <c:order val="2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Spectrum!$B$23:$C$23</c:f>
              <c:numCache>
                <c:formatCode>General</c:formatCode>
                <c:ptCount val="2"/>
                <c:pt idx="0">
                  <c:v>1.5707963267948967E-2</c:v>
                </c:pt>
                <c:pt idx="1">
                  <c:v>10</c:v>
                </c:pt>
              </c:numCache>
            </c:numRef>
          </c:xVal>
          <c:yVal>
            <c:numRef>
              <c:f>Spectrum!$D$23:$E$23</c:f>
              <c:numCache>
                <c:formatCode>General</c:formatCode>
                <c:ptCount val="2"/>
                <c:pt idx="0">
                  <c:v>0.1</c:v>
                </c:pt>
                <c:pt idx="1">
                  <c:v>63.661977236758126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3F9-4F81-9260-2DACCB60631A}"/>
            </c:ext>
          </c:extLst>
        </c:ser>
        <c:ser>
          <c:idx val="22"/>
          <c:order val="2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Spectrum!$B$24:$C$24</c:f>
              <c:numCache>
                <c:formatCode>General</c:formatCode>
                <c:ptCount val="2"/>
                <c:pt idx="0">
                  <c:v>1.2566370614359163E-2</c:v>
                </c:pt>
                <c:pt idx="1">
                  <c:v>10</c:v>
                </c:pt>
              </c:numCache>
            </c:numRef>
          </c:xVal>
          <c:yVal>
            <c:numRef>
              <c:f>Spectrum!$D$24:$E$24</c:f>
              <c:numCache>
                <c:formatCode>General</c:formatCode>
                <c:ptCount val="2"/>
                <c:pt idx="0">
                  <c:v>0.1</c:v>
                </c:pt>
                <c:pt idx="1">
                  <c:v>79.577471545947731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3F9-4F81-9260-2DACCB60631A}"/>
            </c:ext>
          </c:extLst>
        </c:ser>
        <c:ser>
          <c:idx val="23"/>
          <c:order val="2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Spectrum!$B$25:$C$25</c:f>
              <c:numCache>
                <c:formatCode>General</c:formatCode>
                <c:ptCount val="2"/>
                <c:pt idx="0">
                  <c:v>1.0471975511965976E-2</c:v>
                </c:pt>
                <c:pt idx="1">
                  <c:v>10</c:v>
                </c:pt>
              </c:numCache>
            </c:numRef>
          </c:xVal>
          <c:yVal>
            <c:numRef>
              <c:f>Spectrum!$D$25:$E$25</c:f>
              <c:numCache>
                <c:formatCode>General</c:formatCode>
                <c:ptCount val="2"/>
                <c:pt idx="0">
                  <c:v>0.1</c:v>
                </c:pt>
                <c:pt idx="1">
                  <c:v>95.492965855137214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3F9-4F81-9260-2DACCB60631A}"/>
            </c:ext>
          </c:extLst>
        </c:ser>
        <c:ser>
          <c:idx val="24"/>
          <c:order val="2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Spectrum!$B$26:$C$26</c:f>
              <c:numCache>
                <c:formatCode>General</c:formatCode>
                <c:ptCount val="2"/>
                <c:pt idx="0">
                  <c:v>8.9759790102565459E-3</c:v>
                </c:pt>
                <c:pt idx="1">
                  <c:v>10</c:v>
                </c:pt>
              </c:numCache>
            </c:numRef>
          </c:xVal>
          <c:yVal>
            <c:numRef>
              <c:f>Spectrum!$D$26:$E$26</c:f>
              <c:numCache>
                <c:formatCode>General</c:formatCode>
                <c:ptCount val="2"/>
                <c:pt idx="0">
                  <c:v>0.1</c:v>
                </c:pt>
                <c:pt idx="1">
                  <c:v>111.40846016432681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3F9-4F81-9260-2DACCB60631A}"/>
            </c:ext>
          </c:extLst>
        </c:ser>
        <c:ser>
          <c:idx val="25"/>
          <c:order val="2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Spectrum!$B$27:$C$27</c:f>
              <c:numCache>
                <c:formatCode>General</c:formatCode>
                <c:ptCount val="2"/>
                <c:pt idx="0">
                  <c:v>7.8539816339744835E-3</c:v>
                </c:pt>
                <c:pt idx="1">
                  <c:v>10</c:v>
                </c:pt>
              </c:numCache>
            </c:numRef>
          </c:xVal>
          <c:yVal>
            <c:numRef>
              <c:f>Spectrum!$D$27:$E$27</c:f>
              <c:numCache>
                <c:formatCode>General</c:formatCode>
                <c:ptCount val="2"/>
                <c:pt idx="0">
                  <c:v>0.1</c:v>
                </c:pt>
                <c:pt idx="1">
                  <c:v>127.32395447351627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3F9-4F81-9260-2DACCB60631A}"/>
            </c:ext>
          </c:extLst>
        </c:ser>
        <c:ser>
          <c:idx val="26"/>
          <c:order val="2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Spectrum!$B$28:$C$28</c:f>
              <c:numCache>
                <c:formatCode>General</c:formatCode>
                <c:ptCount val="2"/>
                <c:pt idx="0">
                  <c:v>6.9813170079773166E-3</c:v>
                </c:pt>
                <c:pt idx="1">
                  <c:v>10</c:v>
                </c:pt>
              </c:numCache>
            </c:numRef>
          </c:xVal>
          <c:yVal>
            <c:numRef>
              <c:f>Spectrum!$D$28:$E$28</c:f>
              <c:numCache>
                <c:formatCode>General</c:formatCode>
                <c:ptCount val="2"/>
                <c:pt idx="0">
                  <c:v>0.1</c:v>
                </c:pt>
                <c:pt idx="1">
                  <c:v>143.23944878270584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3F9-4F81-9260-2DACCB60631A}"/>
            </c:ext>
          </c:extLst>
        </c:ser>
        <c:ser>
          <c:idx val="27"/>
          <c:order val="2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Spectrum!$B$29:$C$29</c:f>
              <c:numCache>
                <c:formatCode>General</c:formatCode>
                <c:ptCount val="2"/>
                <c:pt idx="0">
                  <c:v>6.2831853071795814E-3</c:v>
                </c:pt>
                <c:pt idx="1">
                  <c:v>10</c:v>
                </c:pt>
              </c:numCache>
            </c:numRef>
          </c:xVal>
          <c:yVal>
            <c:numRef>
              <c:f>Spectrum!$D$29:$E$29</c:f>
              <c:numCache>
                <c:formatCode>General</c:formatCode>
                <c:ptCount val="2"/>
                <c:pt idx="0">
                  <c:v>0.1</c:v>
                </c:pt>
                <c:pt idx="1">
                  <c:v>159.15494309189546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3F9-4F81-9260-2DACCB60631A}"/>
            </c:ext>
          </c:extLst>
        </c:ser>
        <c:ser>
          <c:idx val="28"/>
          <c:order val="2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Spectrum!$B$30:$C$30</c:f>
              <c:numCache>
                <c:formatCode>General</c:formatCode>
                <c:ptCount val="2"/>
                <c:pt idx="0">
                  <c:v>3.1415926535897903E-3</c:v>
                </c:pt>
                <c:pt idx="1">
                  <c:v>10</c:v>
                </c:pt>
              </c:numCache>
            </c:numRef>
          </c:xVal>
          <c:yVal>
            <c:numRef>
              <c:f>Spectrum!$D$30:$E$30</c:f>
              <c:numCache>
                <c:formatCode>General</c:formatCode>
                <c:ptCount val="2"/>
                <c:pt idx="0">
                  <c:v>0.1</c:v>
                </c:pt>
                <c:pt idx="1">
                  <c:v>318.30988618379098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3F9-4F81-9260-2DACCB60631A}"/>
            </c:ext>
          </c:extLst>
        </c:ser>
        <c:ser>
          <c:idx val="29"/>
          <c:order val="2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Spectrum!$B$31:$C$31</c:f>
              <c:numCache>
                <c:formatCode>General</c:formatCode>
                <c:ptCount val="2"/>
                <c:pt idx="0">
                  <c:v>2.0943951023931931E-3</c:v>
                </c:pt>
                <c:pt idx="1">
                  <c:v>10</c:v>
                </c:pt>
              </c:numCache>
            </c:numRef>
          </c:xVal>
          <c:yVal>
            <c:numRef>
              <c:f>Spectrum!$D$31:$E$31</c:f>
              <c:numCache>
                <c:formatCode>General</c:formatCode>
                <c:ptCount val="2"/>
                <c:pt idx="0">
                  <c:v>0.1</c:v>
                </c:pt>
                <c:pt idx="1">
                  <c:v>477.46482927568655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3F9-4F81-9260-2DACCB60631A}"/>
            </c:ext>
          </c:extLst>
        </c:ser>
        <c:ser>
          <c:idx val="30"/>
          <c:order val="3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Spectrum!$B$32:$C$32</c:f>
              <c:numCache>
                <c:formatCode>General</c:formatCode>
                <c:ptCount val="2"/>
                <c:pt idx="0">
                  <c:v>1.5707963267948951E-3</c:v>
                </c:pt>
                <c:pt idx="1">
                  <c:v>10</c:v>
                </c:pt>
              </c:numCache>
            </c:numRef>
          </c:xVal>
          <c:yVal>
            <c:numRef>
              <c:f>Spectrum!$D$32:$E$32</c:f>
              <c:numCache>
                <c:formatCode>General</c:formatCode>
                <c:ptCount val="2"/>
                <c:pt idx="0">
                  <c:v>0.1</c:v>
                </c:pt>
                <c:pt idx="1">
                  <c:v>636.61977236758196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3F9-4F81-9260-2DACCB60631A}"/>
            </c:ext>
          </c:extLst>
        </c:ser>
        <c:ser>
          <c:idx val="31"/>
          <c:order val="3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Spectrum!$B$33:$C$33</c:f>
              <c:numCache>
                <c:formatCode>General</c:formatCode>
                <c:ptCount val="2"/>
                <c:pt idx="0">
                  <c:v>1.2566370614359162E-3</c:v>
                </c:pt>
                <c:pt idx="1">
                  <c:v>10</c:v>
                </c:pt>
              </c:numCache>
            </c:numRef>
          </c:xVal>
          <c:yVal>
            <c:numRef>
              <c:f>Spectrum!$D$33:$E$33</c:f>
              <c:numCache>
                <c:formatCode>General</c:formatCode>
                <c:ptCount val="2"/>
                <c:pt idx="0">
                  <c:v>0.1</c:v>
                </c:pt>
                <c:pt idx="1">
                  <c:v>795.77471545947742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3F9-4F81-9260-2DACCB60631A}"/>
            </c:ext>
          </c:extLst>
        </c:ser>
        <c:ser>
          <c:idx val="32"/>
          <c:order val="3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Spectrum!$B$34:$C$34</c:f>
              <c:numCache>
                <c:formatCode>General</c:formatCode>
                <c:ptCount val="2"/>
                <c:pt idx="0">
                  <c:v>1.0471975511965974E-3</c:v>
                </c:pt>
                <c:pt idx="1">
                  <c:v>10</c:v>
                </c:pt>
              </c:numCache>
            </c:numRef>
          </c:xVal>
          <c:yVal>
            <c:numRef>
              <c:f>Spectrum!$D$34:$E$34</c:f>
              <c:numCache>
                <c:formatCode>General</c:formatCode>
                <c:ptCount val="2"/>
                <c:pt idx="0">
                  <c:v>0.1</c:v>
                </c:pt>
                <c:pt idx="1">
                  <c:v>954.92965855137231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3F9-4F81-9260-2DACCB60631A}"/>
            </c:ext>
          </c:extLst>
        </c:ser>
        <c:ser>
          <c:idx val="33"/>
          <c:order val="3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Spectrum!$B$35:$C$35</c:f>
              <c:numCache>
                <c:formatCode>General</c:formatCode>
                <c:ptCount val="2"/>
                <c:pt idx="0">
                  <c:v>8.9759790102565446E-4</c:v>
                </c:pt>
                <c:pt idx="1">
                  <c:v>10</c:v>
                </c:pt>
              </c:numCache>
            </c:numRef>
          </c:xVal>
          <c:yVal>
            <c:numRef>
              <c:f>Spectrum!$D$35:$E$35</c:f>
              <c:numCache>
                <c:formatCode>General</c:formatCode>
                <c:ptCount val="2"/>
                <c:pt idx="0">
                  <c:v>0.1</c:v>
                </c:pt>
                <c:pt idx="1">
                  <c:v>1114.0846016432683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3F9-4F81-9260-2DACCB60631A}"/>
            </c:ext>
          </c:extLst>
        </c:ser>
        <c:ser>
          <c:idx val="34"/>
          <c:order val="3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Spectrum!$B$36:$C$36</c:f>
              <c:numCache>
                <c:formatCode>General</c:formatCode>
                <c:ptCount val="2"/>
                <c:pt idx="0">
                  <c:v>7.8539816339744746E-4</c:v>
                </c:pt>
                <c:pt idx="1">
                  <c:v>10</c:v>
                </c:pt>
              </c:numCache>
            </c:numRef>
          </c:xVal>
          <c:yVal>
            <c:numRef>
              <c:f>Spectrum!$D$36:$E$36</c:f>
              <c:numCache>
                <c:formatCode>General</c:formatCode>
                <c:ptCount val="2"/>
                <c:pt idx="0">
                  <c:v>0.1</c:v>
                </c:pt>
                <c:pt idx="1">
                  <c:v>1273.2395447351641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3F9-4F81-9260-2DACCB60631A}"/>
            </c:ext>
          </c:extLst>
        </c:ser>
        <c:ser>
          <c:idx val="35"/>
          <c:order val="3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Spectrum!$B$37:$C$37</c:f>
              <c:numCache>
                <c:formatCode>General</c:formatCode>
                <c:ptCount val="2"/>
                <c:pt idx="0">
                  <c:v>6.9813170079773142E-4</c:v>
                </c:pt>
                <c:pt idx="1">
                  <c:v>10</c:v>
                </c:pt>
              </c:numCache>
            </c:numRef>
          </c:xVal>
          <c:yVal>
            <c:numRef>
              <c:f>Spectrum!$D$37:$E$37</c:f>
              <c:numCache>
                <c:formatCode>General</c:formatCode>
                <c:ptCount val="2"/>
                <c:pt idx="0">
                  <c:v>0.1</c:v>
                </c:pt>
                <c:pt idx="1">
                  <c:v>1432.3944878270588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93F9-4F81-9260-2DACCB60631A}"/>
            </c:ext>
          </c:extLst>
        </c:ser>
        <c:ser>
          <c:idx val="36"/>
          <c:order val="3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Spectrum!$B$38:$C$38</c:f>
              <c:numCache>
                <c:formatCode>General</c:formatCode>
                <c:ptCount val="2"/>
                <c:pt idx="0">
                  <c:v>6.2831853071795797E-4</c:v>
                </c:pt>
                <c:pt idx="1">
                  <c:v>10</c:v>
                </c:pt>
              </c:numCache>
            </c:numRef>
          </c:xVal>
          <c:yVal>
            <c:numRef>
              <c:f>Spectrum!$D$38:$E$38</c:f>
              <c:numCache>
                <c:formatCode>General</c:formatCode>
                <c:ptCount val="2"/>
                <c:pt idx="0">
                  <c:v>0.1</c:v>
                </c:pt>
                <c:pt idx="1">
                  <c:v>1591.5494309189551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3F9-4F81-9260-2DACCB60631A}"/>
            </c:ext>
          </c:extLst>
        </c:ser>
        <c:ser>
          <c:idx val="37"/>
          <c:order val="3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Spectrum!$B$39:$C$39</c:f>
              <c:numCache>
                <c:formatCode>General</c:formatCode>
                <c:ptCount val="2"/>
                <c:pt idx="0">
                  <c:v>3.1415926535897871E-4</c:v>
                </c:pt>
                <c:pt idx="1">
                  <c:v>10</c:v>
                </c:pt>
              </c:numCache>
            </c:numRef>
          </c:xVal>
          <c:yVal>
            <c:numRef>
              <c:f>Spectrum!$D$39:$E$39</c:f>
              <c:numCache>
                <c:formatCode>General</c:formatCode>
                <c:ptCount val="2"/>
                <c:pt idx="0">
                  <c:v>0.1</c:v>
                </c:pt>
                <c:pt idx="1">
                  <c:v>3183.0988618379129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3F9-4F81-9260-2DACCB60631A}"/>
            </c:ext>
          </c:extLst>
        </c:ser>
        <c:ser>
          <c:idx val="38"/>
          <c:order val="3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Spectrum!$B$40:$C$40</c:f>
              <c:numCache>
                <c:formatCode>General</c:formatCode>
                <c:ptCount val="2"/>
                <c:pt idx="0">
                  <c:v>2.0943951023931926E-4</c:v>
                </c:pt>
                <c:pt idx="1">
                  <c:v>10</c:v>
                </c:pt>
              </c:numCache>
            </c:numRef>
          </c:xVal>
          <c:yVal>
            <c:numRef>
              <c:f>Spectrum!$D$40:$E$40</c:f>
              <c:numCache>
                <c:formatCode>General</c:formatCode>
                <c:ptCount val="2"/>
                <c:pt idx="0">
                  <c:v>0.1</c:v>
                </c:pt>
                <c:pt idx="1">
                  <c:v>4774.6482927568668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3F9-4F81-9260-2DACCB60631A}"/>
            </c:ext>
          </c:extLst>
        </c:ser>
        <c:ser>
          <c:idx val="39"/>
          <c:order val="3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Spectrum!$B$41:$C$41</c:f>
              <c:numCache>
                <c:formatCode>General</c:formatCode>
                <c:ptCount val="2"/>
                <c:pt idx="0">
                  <c:v>1.5707963267948933E-4</c:v>
                </c:pt>
                <c:pt idx="1">
                  <c:v>10</c:v>
                </c:pt>
              </c:numCache>
            </c:numRef>
          </c:xVal>
          <c:yVal>
            <c:numRef>
              <c:f>Spectrum!$D$41:$E$41</c:f>
              <c:numCache>
                <c:formatCode>General</c:formatCode>
                <c:ptCount val="2"/>
                <c:pt idx="0">
                  <c:v>0.1</c:v>
                </c:pt>
                <c:pt idx="1">
                  <c:v>6366.1977236758266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3F9-4F81-9260-2DACCB60631A}"/>
            </c:ext>
          </c:extLst>
        </c:ser>
        <c:ser>
          <c:idx val="40"/>
          <c:order val="4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Spectrum!$B$42:$C$42</c:f>
              <c:numCache>
                <c:formatCode>General</c:formatCode>
                <c:ptCount val="2"/>
                <c:pt idx="0">
                  <c:v>1.256637061435916E-4</c:v>
                </c:pt>
                <c:pt idx="1">
                  <c:v>10</c:v>
                </c:pt>
              </c:numCache>
            </c:numRef>
          </c:xVal>
          <c:yVal>
            <c:numRef>
              <c:f>Spectrum!$D$42:$E$42</c:f>
              <c:numCache>
                <c:formatCode>General</c:formatCode>
                <c:ptCount val="2"/>
                <c:pt idx="0">
                  <c:v>0.1</c:v>
                </c:pt>
                <c:pt idx="1">
                  <c:v>7957.7471545947756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3F9-4F81-9260-2DACCB60631A}"/>
            </c:ext>
          </c:extLst>
        </c:ser>
        <c:ser>
          <c:idx val="41"/>
          <c:order val="4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Spectrum!$B$43:$C$43</c:f>
              <c:numCache>
                <c:formatCode>General</c:formatCode>
                <c:ptCount val="2"/>
                <c:pt idx="0">
                  <c:v>1.0471975511965963E-4</c:v>
                </c:pt>
                <c:pt idx="1">
                  <c:v>10</c:v>
                </c:pt>
              </c:numCache>
            </c:numRef>
          </c:xVal>
          <c:yVal>
            <c:numRef>
              <c:f>Spectrum!$D$43:$E$43</c:f>
              <c:numCache>
                <c:formatCode>General</c:formatCode>
                <c:ptCount val="2"/>
                <c:pt idx="0">
                  <c:v>0.1</c:v>
                </c:pt>
                <c:pt idx="1">
                  <c:v>9549.2965855137336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3F9-4F81-9260-2DACCB60631A}"/>
            </c:ext>
          </c:extLst>
        </c:ser>
        <c:ser>
          <c:idx val="42"/>
          <c:order val="4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Spectrum!$B$44:$C$44</c:f>
              <c:numCache>
                <c:formatCode>General</c:formatCode>
                <c:ptCount val="2"/>
                <c:pt idx="0">
                  <c:v>8.9759790102565492E-5</c:v>
                </c:pt>
                <c:pt idx="1">
                  <c:v>10</c:v>
                </c:pt>
              </c:numCache>
            </c:numRef>
          </c:xVal>
          <c:yVal>
            <c:numRef>
              <c:f>Spectrum!$D$44:$E$44</c:f>
              <c:numCache>
                <c:formatCode>General</c:formatCode>
                <c:ptCount val="2"/>
                <c:pt idx="0">
                  <c:v>0.1</c:v>
                </c:pt>
                <c:pt idx="1">
                  <c:v>11140.846016432677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93F9-4F81-9260-2DACCB60631A}"/>
            </c:ext>
          </c:extLst>
        </c:ser>
        <c:ser>
          <c:idx val="43"/>
          <c:order val="4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Spectrum!$B$45:$C$45</c:f>
              <c:numCache>
                <c:formatCode>General</c:formatCode>
                <c:ptCount val="2"/>
                <c:pt idx="0">
                  <c:v>7.85398163397448E-5</c:v>
                </c:pt>
                <c:pt idx="1">
                  <c:v>10</c:v>
                </c:pt>
              </c:numCache>
            </c:numRef>
          </c:xVal>
          <c:yVal>
            <c:numRef>
              <c:f>Spectrum!$D$45:$E$45</c:f>
              <c:numCache>
                <c:formatCode>General</c:formatCode>
                <c:ptCount val="2"/>
                <c:pt idx="0">
                  <c:v>0.1</c:v>
                </c:pt>
                <c:pt idx="1">
                  <c:v>12732.395447351631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93F9-4F81-9260-2DACCB60631A}"/>
            </c:ext>
          </c:extLst>
        </c:ser>
        <c:ser>
          <c:idx val="44"/>
          <c:order val="4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Spectrum!$B$46:$C$46</c:f>
              <c:numCache>
                <c:formatCode>General</c:formatCode>
                <c:ptCount val="2"/>
                <c:pt idx="0">
                  <c:v>6.9813170079773132E-5</c:v>
                </c:pt>
                <c:pt idx="1">
                  <c:v>10</c:v>
                </c:pt>
              </c:numCache>
            </c:numRef>
          </c:xVal>
          <c:yVal>
            <c:numRef>
              <c:f>Spectrum!$D$46:$E$46</c:f>
              <c:numCache>
                <c:formatCode>General</c:formatCode>
                <c:ptCount val="2"/>
                <c:pt idx="0">
                  <c:v>0.1</c:v>
                </c:pt>
                <c:pt idx="1">
                  <c:v>14323.944878270591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93F9-4F81-9260-2DACCB60631A}"/>
            </c:ext>
          </c:extLst>
        </c:ser>
        <c:ser>
          <c:idx val="45"/>
          <c:order val="4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Spectrum!$B$47:$C$47</c:f>
              <c:numCache>
                <c:formatCode>General</c:formatCode>
                <c:ptCount val="2"/>
                <c:pt idx="0">
                  <c:v>6.2831853071795897E-5</c:v>
                </c:pt>
                <c:pt idx="1">
                  <c:v>10</c:v>
                </c:pt>
              </c:numCache>
            </c:numRef>
          </c:xVal>
          <c:yVal>
            <c:numRef>
              <c:f>Spectrum!$D$47:$E$47</c:f>
              <c:numCache>
                <c:formatCode>General</c:formatCode>
                <c:ptCount val="2"/>
                <c:pt idx="0">
                  <c:v>0.1</c:v>
                </c:pt>
                <c:pt idx="1">
                  <c:v>15915.494309189526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93F9-4F81-9260-2DACCB60631A}"/>
            </c:ext>
          </c:extLst>
        </c:ser>
        <c:ser>
          <c:idx val="46"/>
          <c:order val="4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Spectrum!$B$48:$C$48</c:f>
              <c:numCache>
                <c:formatCode>General</c:formatCode>
                <c:ptCount val="2"/>
                <c:pt idx="0">
                  <c:v>3.1415926535897949E-5</c:v>
                </c:pt>
                <c:pt idx="1">
                  <c:v>10</c:v>
                </c:pt>
              </c:numCache>
            </c:numRef>
          </c:xVal>
          <c:yVal>
            <c:numRef>
              <c:f>Spectrum!$D$48:$E$48</c:f>
              <c:numCache>
                <c:formatCode>General</c:formatCode>
                <c:ptCount val="2"/>
                <c:pt idx="0">
                  <c:v>0.1</c:v>
                </c:pt>
                <c:pt idx="1">
                  <c:v>31830.988618379051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93F9-4F81-9260-2DACCB60631A}"/>
            </c:ext>
          </c:extLst>
        </c:ser>
        <c:ser>
          <c:idx val="47"/>
          <c:order val="4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Spectrum!$B$49:$C$49</c:f>
              <c:numCache>
                <c:formatCode>General</c:formatCode>
                <c:ptCount val="2"/>
                <c:pt idx="0">
                  <c:v>2.0943951023931941E-5</c:v>
                </c:pt>
                <c:pt idx="1">
                  <c:v>10</c:v>
                </c:pt>
              </c:numCache>
            </c:numRef>
          </c:xVal>
          <c:yVal>
            <c:numRef>
              <c:f>Spectrum!$D$49:$E$49</c:f>
              <c:numCache>
                <c:formatCode>General</c:formatCode>
                <c:ptCount val="2"/>
                <c:pt idx="0">
                  <c:v>0.1</c:v>
                </c:pt>
                <c:pt idx="1">
                  <c:v>47746.482927568635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93F9-4F81-9260-2DACCB60631A}"/>
            </c:ext>
          </c:extLst>
        </c:ser>
        <c:ser>
          <c:idx val="48"/>
          <c:order val="4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Spectrum!$B$50:$C$50</c:f>
              <c:numCache>
                <c:formatCode>General</c:formatCode>
                <c:ptCount val="2"/>
                <c:pt idx="0">
                  <c:v>1.5707963267948944E-5</c:v>
                </c:pt>
                <c:pt idx="1">
                  <c:v>10</c:v>
                </c:pt>
              </c:numCache>
            </c:numRef>
          </c:xVal>
          <c:yVal>
            <c:numRef>
              <c:f>Spectrum!$D$50:$E$50</c:f>
              <c:numCache>
                <c:formatCode>General</c:formatCode>
                <c:ptCount val="2"/>
                <c:pt idx="0">
                  <c:v>0.1</c:v>
                </c:pt>
                <c:pt idx="1">
                  <c:v>63661.977236758226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93F9-4F81-9260-2DACCB60631A}"/>
            </c:ext>
          </c:extLst>
        </c:ser>
        <c:ser>
          <c:idx val="49"/>
          <c:order val="4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Spectrum!$B$51:$C$51</c:f>
              <c:numCache>
                <c:formatCode>General</c:formatCode>
                <c:ptCount val="2"/>
                <c:pt idx="0">
                  <c:v>1.2566370614359168E-5</c:v>
                </c:pt>
                <c:pt idx="1">
                  <c:v>10</c:v>
                </c:pt>
              </c:numCache>
            </c:numRef>
          </c:xVal>
          <c:yVal>
            <c:numRef>
              <c:f>Spectrum!$D$51:$E$51</c:f>
              <c:numCache>
                <c:formatCode>General</c:formatCode>
                <c:ptCount val="2"/>
                <c:pt idx="0">
                  <c:v>0.1</c:v>
                </c:pt>
                <c:pt idx="1">
                  <c:v>79577.471545947701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3F9-4F81-9260-2DACCB60631A}"/>
            </c:ext>
          </c:extLst>
        </c:ser>
        <c:ser>
          <c:idx val="50"/>
          <c:order val="5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Spectrum!$B$52:$C$52</c:f>
              <c:numCache>
                <c:formatCode>General</c:formatCode>
                <c:ptCount val="2"/>
                <c:pt idx="0">
                  <c:v>1.047197551196597E-5</c:v>
                </c:pt>
                <c:pt idx="1">
                  <c:v>10</c:v>
                </c:pt>
              </c:numCache>
            </c:numRef>
          </c:xVal>
          <c:yVal>
            <c:numRef>
              <c:f>Spectrum!$D$52:$E$52</c:f>
              <c:numCache>
                <c:formatCode>General</c:formatCode>
                <c:ptCount val="2"/>
                <c:pt idx="0">
                  <c:v>0.1</c:v>
                </c:pt>
                <c:pt idx="1">
                  <c:v>95492.96585513727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93F9-4F81-9260-2DACCB60631A}"/>
            </c:ext>
          </c:extLst>
        </c:ser>
        <c:ser>
          <c:idx val="51"/>
          <c:order val="5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Spectrum!$B$53:$C$53</c:f>
              <c:numCache>
                <c:formatCode>General</c:formatCode>
                <c:ptCount val="2"/>
                <c:pt idx="0">
                  <c:v>8.97597901025654E-6</c:v>
                </c:pt>
                <c:pt idx="1">
                  <c:v>10</c:v>
                </c:pt>
              </c:numCache>
            </c:numRef>
          </c:xVal>
          <c:yVal>
            <c:numRef>
              <c:f>Spectrum!$D$53:$E$53</c:f>
              <c:numCache>
                <c:formatCode>General</c:formatCode>
                <c:ptCount val="2"/>
                <c:pt idx="0">
                  <c:v>0.1</c:v>
                </c:pt>
                <c:pt idx="1">
                  <c:v>111408.46016432688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93F9-4F81-9260-2DACCB60631A}"/>
            </c:ext>
          </c:extLst>
        </c:ser>
        <c:ser>
          <c:idx val="52"/>
          <c:order val="5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Spectrum!$B$54:$C$54</c:f>
              <c:numCache>
                <c:formatCode>General</c:formatCode>
                <c:ptCount val="2"/>
                <c:pt idx="0">
                  <c:v>7.8539816339744719E-6</c:v>
                </c:pt>
                <c:pt idx="1">
                  <c:v>10</c:v>
                </c:pt>
              </c:numCache>
            </c:numRef>
          </c:xVal>
          <c:yVal>
            <c:numRef>
              <c:f>Spectrum!$D$54:$E$54</c:f>
              <c:numCache>
                <c:formatCode>General</c:formatCode>
                <c:ptCount val="2"/>
                <c:pt idx="0">
                  <c:v>0.1</c:v>
                </c:pt>
                <c:pt idx="1">
                  <c:v>127323.95447351645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93F9-4F81-9260-2DACCB60631A}"/>
            </c:ext>
          </c:extLst>
        </c:ser>
        <c:ser>
          <c:idx val="53"/>
          <c:order val="5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Spectrum!$B$55:$C$55</c:f>
              <c:numCache>
                <c:formatCode>General</c:formatCode>
                <c:ptCount val="2"/>
                <c:pt idx="0">
                  <c:v>6.9813170079773049E-6</c:v>
                </c:pt>
                <c:pt idx="1">
                  <c:v>10</c:v>
                </c:pt>
              </c:numCache>
            </c:numRef>
          </c:xVal>
          <c:yVal>
            <c:numRef>
              <c:f>Spectrum!$D$55:$E$55</c:f>
              <c:numCache>
                <c:formatCode>General</c:formatCode>
                <c:ptCount val="2"/>
                <c:pt idx="0">
                  <c:v>0.1</c:v>
                </c:pt>
                <c:pt idx="1">
                  <c:v>143239.44878270608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93F9-4F81-9260-2DACCB60631A}"/>
            </c:ext>
          </c:extLst>
        </c:ser>
        <c:ser>
          <c:idx val="54"/>
          <c:order val="5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Spectrum!$B$56:$C$56</c:f>
              <c:numCache>
                <c:formatCode>General</c:formatCode>
                <c:ptCount val="2"/>
                <c:pt idx="0">
                  <c:v>6.2831853071795824E-6</c:v>
                </c:pt>
                <c:pt idx="1">
                  <c:v>10</c:v>
                </c:pt>
              </c:numCache>
            </c:numRef>
          </c:xVal>
          <c:yVal>
            <c:numRef>
              <c:f>Spectrum!$D$56:$E$56</c:f>
              <c:numCache>
                <c:formatCode>General</c:formatCode>
                <c:ptCount val="2"/>
                <c:pt idx="0">
                  <c:v>0.1</c:v>
                </c:pt>
                <c:pt idx="1">
                  <c:v>159154.94309189543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93F9-4F81-9260-2DACCB60631A}"/>
            </c:ext>
          </c:extLst>
        </c:ser>
        <c:ser>
          <c:idx val="55"/>
          <c:order val="5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Spectrum!$B$57:$C$57</c:f>
              <c:numCache>
                <c:formatCode>General</c:formatCode>
                <c:ptCount val="2"/>
                <c:pt idx="0">
                  <c:v>3.1415926535897912E-6</c:v>
                </c:pt>
                <c:pt idx="1">
                  <c:v>10</c:v>
                </c:pt>
              </c:numCache>
            </c:numRef>
          </c:xVal>
          <c:yVal>
            <c:numRef>
              <c:f>Spectrum!$D$57:$E$57</c:f>
              <c:numCache>
                <c:formatCode>General</c:formatCode>
                <c:ptCount val="2"/>
                <c:pt idx="0">
                  <c:v>0.1</c:v>
                </c:pt>
                <c:pt idx="1">
                  <c:v>318309.88618379086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93F9-4F81-9260-2DACCB60631A}"/>
            </c:ext>
          </c:extLst>
        </c:ser>
        <c:ser>
          <c:idx val="56"/>
          <c:order val="5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Spectrum!$B$58:$C$58</c:f>
              <c:numCache>
                <c:formatCode>General</c:formatCode>
                <c:ptCount val="2"/>
                <c:pt idx="0">
                  <c:v>2.0943951023931957E-6</c:v>
                </c:pt>
                <c:pt idx="1">
                  <c:v>10</c:v>
                </c:pt>
              </c:numCache>
            </c:numRef>
          </c:xVal>
          <c:yVal>
            <c:numRef>
              <c:f>Spectrum!$D$58:$E$58</c:f>
              <c:numCache>
                <c:formatCode>General</c:formatCode>
                <c:ptCount val="2"/>
                <c:pt idx="0">
                  <c:v>0.1</c:v>
                </c:pt>
                <c:pt idx="1">
                  <c:v>477464.829275686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93F9-4F81-9260-2DACCB60631A}"/>
            </c:ext>
          </c:extLst>
        </c:ser>
        <c:ser>
          <c:idx val="57"/>
          <c:order val="5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Spectrum!$B$59:$C$59</c:f>
              <c:numCache>
                <c:formatCode>General</c:formatCode>
                <c:ptCount val="2"/>
                <c:pt idx="0">
                  <c:v>1.5707963267948954E-6</c:v>
                </c:pt>
                <c:pt idx="1">
                  <c:v>10</c:v>
                </c:pt>
              </c:numCache>
            </c:numRef>
          </c:xVal>
          <c:yVal>
            <c:numRef>
              <c:f>Spectrum!$D$59:$E$59</c:f>
              <c:numCache>
                <c:formatCode>General</c:formatCode>
                <c:ptCount val="2"/>
                <c:pt idx="0">
                  <c:v>0.1</c:v>
                </c:pt>
                <c:pt idx="1">
                  <c:v>636619.77236758184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93F9-4F81-9260-2DACCB60631A}"/>
            </c:ext>
          </c:extLst>
        </c:ser>
        <c:ser>
          <c:idx val="58"/>
          <c:order val="5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Spectrum!$B$60:$C$60</c:f>
              <c:numCache>
                <c:formatCode>General</c:formatCode>
                <c:ptCount val="2"/>
                <c:pt idx="0">
                  <c:v>1.2566370614359175E-6</c:v>
                </c:pt>
                <c:pt idx="1">
                  <c:v>10</c:v>
                </c:pt>
              </c:numCache>
            </c:numRef>
          </c:xVal>
          <c:yVal>
            <c:numRef>
              <c:f>Spectrum!$D$60:$E$60</c:f>
              <c:numCache>
                <c:formatCode>General</c:formatCode>
                <c:ptCount val="2"/>
                <c:pt idx="0">
                  <c:v>0.1</c:v>
                </c:pt>
                <c:pt idx="1">
                  <c:v>795774.71545947657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93F9-4F81-9260-2DACCB60631A}"/>
            </c:ext>
          </c:extLst>
        </c:ser>
        <c:ser>
          <c:idx val="59"/>
          <c:order val="5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Spectrum!$G$2:$H$2</c:f>
              <c:numCache>
                <c:formatCode>General</c:formatCode>
                <c:ptCount val="2"/>
                <c:pt idx="0">
                  <c:v>0.01</c:v>
                </c:pt>
                <c:pt idx="1">
                  <c:v>1.2566370614359163E-2</c:v>
                </c:pt>
              </c:numCache>
            </c:numRef>
          </c:xVal>
          <c:yVal>
            <c:numRef>
              <c:f>Spectrum!$I$2:$J$2</c:f>
              <c:numCache>
                <c:formatCode>General</c:formatCode>
                <c:ptCount val="2"/>
                <c:pt idx="0">
                  <c:v>0.12566370614359165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93F9-4F81-9260-2DACCB60631A}"/>
            </c:ext>
          </c:extLst>
        </c:ser>
        <c:ser>
          <c:idx val="60"/>
          <c:order val="6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Spectrum!$G$3:$H$3</c:f>
              <c:numCache>
                <c:formatCode>General</c:formatCode>
                <c:ptCount val="2"/>
                <c:pt idx="0">
                  <c:v>0.01</c:v>
                </c:pt>
                <c:pt idx="1">
                  <c:v>1.8849555921538759E-2</c:v>
                </c:pt>
              </c:numCache>
            </c:numRef>
          </c:xVal>
          <c:yVal>
            <c:numRef>
              <c:f>Spectrum!$I$3:$J$3</c:f>
              <c:numCache>
                <c:formatCode>General</c:formatCode>
                <c:ptCount val="2"/>
                <c:pt idx="0">
                  <c:v>0.18849555921538758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93F9-4F81-9260-2DACCB60631A}"/>
            </c:ext>
          </c:extLst>
        </c:ser>
        <c:ser>
          <c:idx val="61"/>
          <c:order val="6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Spectrum!$G$4:$H$4</c:f>
              <c:numCache>
                <c:formatCode>General</c:formatCode>
                <c:ptCount val="2"/>
                <c:pt idx="0">
                  <c:v>0.01</c:v>
                </c:pt>
                <c:pt idx="1">
                  <c:v>2.513274122871834E-2</c:v>
                </c:pt>
              </c:numCache>
            </c:numRef>
          </c:xVal>
          <c:yVal>
            <c:numRef>
              <c:f>Spectrum!$I$4:$J$4</c:f>
              <c:numCache>
                <c:formatCode>General</c:formatCode>
                <c:ptCount val="2"/>
                <c:pt idx="0">
                  <c:v>0.25132741228718342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93F9-4F81-9260-2DACCB60631A}"/>
            </c:ext>
          </c:extLst>
        </c:ser>
        <c:ser>
          <c:idx val="62"/>
          <c:order val="6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Spectrum!$G$5:$H$5</c:f>
              <c:numCache>
                <c:formatCode>General</c:formatCode>
                <c:ptCount val="2"/>
                <c:pt idx="0">
                  <c:v>0.01</c:v>
                </c:pt>
                <c:pt idx="1">
                  <c:v>3.1415926535897913E-2</c:v>
                </c:pt>
              </c:numCache>
            </c:numRef>
          </c:xVal>
          <c:yVal>
            <c:numRef>
              <c:f>Spectrum!$I$5:$J$5</c:f>
              <c:numCache>
                <c:formatCode>General</c:formatCode>
                <c:ptCount val="2"/>
                <c:pt idx="0">
                  <c:v>0.31415926535897915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93F9-4F81-9260-2DACCB60631A}"/>
            </c:ext>
          </c:extLst>
        </c:ser>
        <c:ser>
          <c:idx val="63"/>
          <c:order val="6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Spectrum!$G$6:$H$6</c:f>
              <c:numCache>
                <c:formatCode>General</c:formatCode>
                <c:ptCount val="2"/>
                <c:pt idx="0">
                  <c:v>0.01</c:v>
                </c:pt>
                <c:pt idx="1">
                  <c:v>3.7699111843077518E-2</c:v>
                </c:pt>
              </c:numCache>
            </c:numRef>
          </c:xVal>
          <c:yVal>
            <c:numRef>
              <c:f>Spectrum!$I$6:$J$6</c:f>
              <c:numCache>
                <c:formatCode>General</c:formatCode>
                <c:ptCount val="2"/>
                <c:pt idx="0">
                  <c:v>0.37699111843077526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93F9-4F81-9260-2DACCB60631A}"/>
            </c:ext>
          </c:extLst>
        </c:ser>
        <c:ser>
          <c:idx val="64"/>
          <c:order val="6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Spectrum!$G$7:$H$7</c:f>
              <c:numCache>
                <c:formatCode>General</c:formatCode>
                <c:ptCount val="2"/>
                <c:pt idx="0">
                  <c:v>0.01</c:v>
                </c:pt>
                <c:pt idx="1">
                  <c:v>4.3982297150257095E-2</c:v>
                </c:pt>
              </c:numCache>
            </c:numRef>
          </c:xVal>
          <c:yVal>
            <c:numRef>
              <c:f>Spectrum!$I$7:$J$7</c:f>
              <c:numCache>
                <c:formatCode>General</c:formatCode>
                <c:ptCount val="2"/>
                <c:pt idx="0">
                  <c:v>0.43982297150257099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93F9-4F81-9260-2DACCB60631A}"/>
            </c:ext>
          </c:extLst>
        </c:ser>
        <c:ser>
          <c:idx val="65"/>
          <c:order val="6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Spectrum!$G$8:$H$8</c:f>
              <c:numCache>
                <c:formatCode>General</c:formatCode>
                <c:ptCount val="2"/>
                <c:pt idx="0">
                  <c:v>0.01</c:v>
                </c:pt>
                <c:pt idx="1">
                  <c:v>5.0265482457436686E-2</c:v>
                </c:pt>
              </c:numCache>
            </c:numRef>
          </c:xVal>
          <c:yVal>
            <c:numRef>
              <c:f>Spectrum!$I$8:$J$8</c:f>
              <c:numCache>
                <c:formatCode>General</c:formatCode>
                <c:ptCount val="2"/>
                <c:pt idx="0">
                  <c:v>0.50265482457436694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93F9-4F81-9260-2DACCB60631A}"/>
            </c:ext>
          </c:extLst>
        </c:ser>
        <c:ser>
          <c:idx val="66"/>
          <c:order val="6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Spectrum!$G$9:$H$9</c:f>
              <c:numCache>
                <c:formatCode>General</c:formatCode>
                <c:ptCount val="2"/>
                <c:pt idx="0">
                  <c:v>0.01</c:v>
                </c:pt>
                <c:pt idx="1">
                  <c:v>5.6548667764616249E-2</c:v>
                </c:pt>
              </c:numCache>
            </c:numRef>
          </c:xVal>
          <c:yVal>
            <c:numRef>
              <c:f>Spectrum!$I$9:$J$9</c:f>
              <c:numCache>
                <c:formatCode>General</c:formatCode>
                <c:ptCount val="2"/>
                <c:pt idx="0">
                  <c:v>0.56548667764616245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93F9-4F81-9260-2DACCB60631A}"/>
            </c:ext>
          </c:extLst>
        </c:ser>
        <c:ser>
          <c:idx val="67"/>
          <c:order val="6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Spectrum!$G$10:$H$10</c:f>
              <c:numCache>
                <c:formatCode>General</c:formatCode>
                <c:ptCount val="2"/>
                <c:pt idx="0">
                  <c:v>0.01</c:v>
                </c:pt>
                <c:pt idx="1">
                  <c:v>6.2831853071795826E-2</c:v>
                </c:pt>
              </c:numCache>
            </c:numRef>
          </c:xVal>
          <c:yVal>
            <c:numRef>
              <c:f>Spectrum!$I$10:$J$10</c:f>
              <c:numCache>
                <c:formatCode>General</c:formatCode>
                <c:ptCount val="2"/>
                <c:pt idx="0">
                  <c:v>0.6283185307179584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93F9-4F81-9260-2DACCB60631A}"/>
            </c:ext>
          </c:extLst>
        </c:ser>
        <c:ser>
          <c:idx val="68"/>
          <c:order val="6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Spectrum!$G$11:$H$11</c:f>
              <c:numCache>
                <c:formatCode>General</c:formatCode>
                <c:ptCount val="2"/>
                <c:pt idx="0">
                  <c:v>0.01</c:v>
                </c:pt>
                <c:pt idx="1">
                  <c:v>0.12566370614359171</c:v>
                </c:pt>
              </c:numCache>
            </c:numRef>
          </c:xVal>
          <c:yVal>
            <c:numRef>
              <c:f>Spectrum!$I$11:$J$11</c:f>
              <c:numCache>
                <c:formatCode>General</c:formatCode>
                <c:ptCount val="2"/>
                <c:pt idx="0">
                  <c:v>1.2566370614359172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93F9-4F81-9260-2DACCB60631A}"/>
            </c:ext>
          </c:extLst>
        </c:ser>
        <c:ser>
          <c:idx val="69"/>
          <c:order val="6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Spectrum!$G$12:$H$12</c:f>
              <c:numCache>
                <c:formatCode>General</c:formatCode>
                <c:ptCount val="2"/>
                <c:pt idx="0">
                  <c:v>0.01</c:v>
                </c:pt>
                <c:pt idx="1">
                  <c:v>0.18849555921538763</c:v>
                </c:pt>
              </c:numCache>
            </c:numRef>
          </c:xVal>
          <c:yVal>
            <c:numRef>
              <c:f>Spectrum!$I$12:$J$12</c:f>
              <c:numCache>
                <c:formatCode>General</c:formatCode>
                <c:ptCount val="2"/>
                <c:pt idx="0">
                  <c:v>1.8849555921538763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3F9-4F81-9260-2DACCB60631A}"/>
            </c:ext>
          </c:extLst>
        </c:ser>
        <c:ser>
          <c:idx val="70"/>
          <c:order val="7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Spectrum!$G$13:$H$13</c:f>
              <c:numCache>
                <c:formatCode>General</c:formatCode>
                <c:ptCount val="2"/>
                <c:pt idx="0">
                  <c:v>0.01</c:v>
                </c:pt>
                <c:pt idx="1">
                  <c:v>0.25132741228718347</c:v>
                </c:pt>
              </c:numCache>
            </c:numRef>
          </c:xVal>
          <c:yVal>
            <c:numRef>
              <c:f>Spectrum!$I$13:$J$13</c:f>
              <c:numCache>
                <c:formatCode>General</c:formatCode>
                <c:ptCount val="2"/>
                <c:pt idx="0">
                  <c:v>2.5132741228718349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93F9-4F81-9260-2DACCB60631A}"/>
            </c:ext>
          </c:extLst>
        </c:ser>
        <c:ser>
          <c:idx val="71"/>
          <c:order val="7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Spectrum!$G$14:$H$14</c:f>
              <c:numCache>
                <c:formatCode>General</c:formatCode>
                <c:ptCount val="2"/>
                <c:pt idx="0">
                  <c:v>0.01</c:v>
                </c:pt>
                <c:pt idx="1">
                  <c:v>0.31415926535897926</c:v>
                </c:pt>
              </c:numCache>
            </c:numRef>
          </c:xVal>
          <c:yVal>
            <c:numRef>
              <c:f>Spectrum!$I$14:$J$14</c:f>
              <c:numCache>
                <c:formatCode>General</c:formatCode>
                <c:ptCount val="2"/>
                <c:pt idx="0">
                  <c:v>3.1415926535897927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93F9-4F81-9260-2DACCB60631A}"/>
            </c:ext>
          </c:extLst>
        </c:ser>
        <c:ser>
          <c:idx val="72"/>
          <c:order val="7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Spectrum!$G$15:$H$15</c:f>
              <c:numCache>
                <c:formatCode>General</c:formatCode>
                <c:ptCount val="2"/>
                <c:pt idx="0">
                  <c:v>0.01</c:v>
                </c:pt>
                <c:pt idx="1">
                  <c:v>0.37699111843077532</c:v>
                </c:pt>
              </c:numCache>
            </c:numRef>
          </c:xVal>
          <c:yVal>
            <c:numRef>
              <c:f>Spectrum!$I$15:$J$15</c:f>
              <c:numCache>
                <c:formatCode>General</c:formatCode>
                <c:ptCount val="2"/>
                <c:pt idx="0">
                  <c:v>3.7699111843077535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93F9-4F81-9260-2DACCB60631A}"/>
            </c:ext>
          </c:extLst>
        </c:ser>
        <c:ser>
          <c:idx val="73"/>
          <c:order val="7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Spectrum!$G$16:$H$16</c:f>
              <c:numCache>
                <c:formatCode>General</c:formatCode>
                <c:ptCount val="2"/>
                <c:pt idx="0">
                  <c:v>0.01</c:v>
                </c:pt>
                <c:pt idx="1">
                  <c:v>0.4398229715025711</c:v>
                </c:pt>
              </c:numCache>
            </c:numRef>
          </c:xVal>
          <c:yVal>
            <c:numRef>
              <c:f>Spectrum!$I$16:$J$16</c:f>
              <c:numCache>
                <c:formatCode>General</c:formatCode>
                <c:ptCount val="2"/>
                <c:pt idx="0">
                  <c:v>4.3982297150257104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93F9-4F81-9260-2DACCB60631A}"/>
            </c:ext>
          </c:extLst>
        </c:ser>
        <c:ser>
          <c:idx val="74"/>
          <c:order val="7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Spectrum!$G$17:$H$17</c:f>
              <c:numCache>
                <c:formatCode>General</c:formatCode>
                <c:ptCount val="2"/>
                <c:pt idx="0">
                  <c:v>0.01</c:v>
                </c:pt>
                <c:pt idx="1">
                  <c:v>0.50265482457436705</c:v>
                </c:pt>
              </c:numCache>
            </c:numRef>
          </c:xVal>
          <c:yVal>
            <c:numRef>
              <c:f>Spectrum!$I$17:$J$17</c:f>
              <c:numCache>
                <c:formatCode>General</c:formatCode>
                <c:ptCount val="2"/>
                <c:pt idx="0">
                  <c:v>5.0265482457436708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93F9-4F81-9260-2DACCB60631A}"/>
            </c:ext>
          </c:extLst>
        </c:ser>
        <c:ser>
          <c:idx val="75"/>
          <c:order val="7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Spectrum!$G$18:$H$18</c:f>
              <c:numCache>
                <c:formatCode>General</c:formatCode>
                <c:ptCount val="2"/>
                <c:pt idx="0">
                  <c:v>0.01</c:v>
                </c:pt>
                <c:pt idx="1">
                  <c:v>0.56548667764616267</c:v>
                </c:pt>
              </c:numCache>
            </c:numRef>
          </c:xVal>
          <c:yVal>
            <c:numRef>
              <c:f>Spectrum!$I$18:$J$18</c:f>
              <c:numCache>
                <c:formatCode>General</c:formatCode>
                <c:ptCount val="2"/>
                <c:pt idx="0">
                  <c:v>5.6548667764616258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93F9-4F81-9260-2DACCB60631A}"/>
            </c:ext>
          </c:extLst>
        </c:ser>
        <c:ser>
          <c:idx val="76"/>
          <c:order val="7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Spectrum!$G$19:$H$19</c:f>
              <c:numCache>
                <c:formatCode>General</c:formatCode>
                <c:ptCount val="2"/>
                <c:pt idx="0">
                  <c:v>0.01</c:v>
                </c:pt>
                <c:pt idx="1">
                  <c:v>0.62831853071795862</c:v>
                </c:pt>
              </c:numCache>
            </c:numRef>
          </c:xVal>
          <c:yVal>
            <c:numRef>
              <c:f>Spectrum!$I$19:$J$19</c:f>
              <c:numCache>
                <c:formatCode>General</c:formatCode>
                <c:ptCount val="2"/>
                <c:pt idx="0">
                  <c:v>6.2831853071795853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93F9-4F81-9260-2DACCB60631A}"/>
            </c:ext>
          </c:extLst>
        </c:ser>
        <c:ser>
          <c:idx val="77"/>
          <c:order val="7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Spectrum!$G$20:$H$20</c:f>
              <c:numCache>
                <c:formatCode>General</c:formatCode>
                <c:ptCount val="2"/>
                <c:pt idx="0">
                  <c:v>0.01</c:v>
                </c:pt>
                <c:pt idx="1">
                  <c:v>1.2566370614359175</c:v>
                </c:pt>
              </c:numCache>
            </c:numRef>
          </c:xVal>
          <c:yVal>
            <c:numRef>
              <c:f>Spectrum!$I$20:$J$20</c:f>
              <c:numCache>
                <c:formatCode>General</c:formatCode>
                <c:ptCount val="2"/>
                <c:pt idx="0">
                  <c:v>12.566370614359172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93F9-4F81-9260-2DACCB60631A}"/>
            </c:ext>
          </c:extLst>
        </c:ser>
        <c:ser>
          <c:idx val="78"/>
          <c:order val="7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Spectrum!$G$21:$H$21</c:f>
              <c:numCache>
                <c:formatCode>General</c:formatCode>
                <c:ptCount val="2"/>
                <c:pt idx="0">
                  <c:v>0.01</c:v>
                </c:pt>
                <c:pt idx="1">
                  <c:v>1.8849555921538768</c:v>
                </c:pt>
              </c:numCache>
            </c:numRef>
          </c:xVal>
          <c:yVal>
            <c:numRef>
              <c:f>Spectrum!$I$21:$J$21</c:f>
              <c:numCache>
                <c:formatCode>General</c:formatCode>
                <c:ptCount val="2"/>
                <c:pt idx="0">
                  <c:v>18.849555921538769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93F9-4F81-9260-2DACCB60631A}"/>
            </c:ext>
          </c:extLst>
        </c:ser>
        <c:ser>
          <c:idx val="79"/>
          <c:order val="7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Spectrum!$G$22:$H$22</c:f>
              <c:numCache>
                <c:formatCode>General</c:formatCode>
                <c:ptCount val="2"/>
                <c:pt idx="0">
                  <c:v>0.01</c:v>
                </c:pt>
                <c:pt idx="1">
                  <c:v>2.5132741228718354</c:v>
                </c:pt>
              </c:numCache>
            </c:numRef>
          </c:xVal>
          <c:yVal>
            <c:numRef>
              <c:f>Spectrum!$I$22:$J$22</c:f>
              <c:numCache>
                <c:formatCode>General</c:formatCode>
                <c:ptCount val="2"/>
                <c:pt idx="0">
                  <c:v>25.132741228718359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93F9-4F81-9260-2DACCB60631A}"/>
            </c:ext>
          </c:extLst>
        </c:ser>
        <c:ser>
          <c:idx val="80"/>
          <c:order val="8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Spectrum!$G$23:$H$23</c:f>
              <c:numCache>
                <c:formatCode>General</c:formatCode>
                <c:ptCount val="2"/>
                <c:pt idx="0">
                  <c:v>0.01</c:v>
                </c:pt>
                <c:pt idx="1">
                  <c:v>3.1415926535897944</c:v>
                </c:pt>
              </c:numCache>
            </c:numRef>
          </c:xVal>
          <c:yVal>
            <c:numRef>
              <c:f>Spectrum!$I$23:$J$23</c:f>
              <c:numCache>
                <c:formatCode>General</c:formatCode>
                <c:ptCount val="2"/>
                <c:pt idx="0">
                  <c:v>31.41592653589796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93F9-4F81-9260-2DACCB60631A}"/>
            </c:ext>
          </c:extLst>
        </c:ser>
        <c:ser>
          <c:idx val="81"/>
          <c:order val="8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Spectrum!$G$24:$H$24</c:f>
              <c:numCache>
                <c:formatCode>General</c:formatCode>
                <c:ptCount val="2"/>
                <c:pt idx="0">
                  <c:v>0.01</c:v>
                </c:pt>
                <c:pt idx="1">
                  <c:v>3.7699111843077522</c:v>
                </c:pt>
              </c:numCache>
            </c:numRef>
          </c:xVal>
          <c:yVal>
            <c:numRef>
              <c:f>Spectrum!$I$24:$J$24</c:f>
              <c:numCache>
                <c:formatCode>General</c:formatCode>
                <c:ptCount val="2"/>
                <c:pt idx="0">
                  <c:v>37.699111843077546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93F9-4F81-9260-2DACCB60631A}"/>
            </c:ext>
          </c:extLst>
        </c:ser>
        <c:ser>
          <c:idx val="82"/>
          <c:order val="8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Spectrum!$G$25:$H$25</c:f>
              <c:numCache>
                <c:formatCode>General</c:formatCode>
                <c:ptCount val="2"/>
                <c:pt idx="0">
                  <c:v>0.01</c:v>
                </c:pt>
                <c:pt idx="1">
                  <c:v>4.3982297150257121</c:v>
                </c:pt>
              </c:numCache>
            </c:numRef>
          </c:xVal>
          <c:yVal>
            <c:numRef>
              <c:f>Spectrum!$I$25:$J$25</c:f>
              <c:numCache>
                <c:formatCode>General</c:formatCode>
                <c:ptCount val="2"/>
                <c:pt idx="0">
                  <c:v>43.982297150257125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93F9-4F81-9260-2DACCB60631A}"/>
            </c:ext>
          </c:extLst>
        </c:ser>
        <c:ser>
          <c:idx val="83"/>
          <c:order val="8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Spectrum!$G$26:$H$26</c:f>
              <c:numCache>
                <c:formatCode>General</c:formatCode>
                <c:ptCount val="2"/>
                <c:pt idx="0">
                  <c:v>0.01</c:v>
                </c:pt>
                <c:pt idx="1">
                  <c:v>5.0265482457436699</c:v>
                </c:pt>
              </c:numCache>
            </c:numRef>
          </c:xVal>
          <c:yVal>
            <c:numRef>
              <c:f>Spectrum!$I$26:$J$26</c:f>
              <c:numCache>
                <c:formatCode>General</c:formatCode>
                <c:ptCount val="2"/>
                <c:pt idx="0">
                  <c:v>50.265482457436718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93F9-4F81-9260-2DACCB60631A}"/>
            </c:ext>
          </c:extLst>
        </c:ser>
        <c:ser>
          <c:idx val="84"/>
          <c:order val="8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Spectrum!$G$27:$H$27</c:f>
              <c:numCache>
                <c:formatCode>General</c:formatCode>
                <c:ptCount val="2"/>
                <c:pt idx="0">
                  <c:v>0.01</c:v>
                </c:pt>
                <c:pt idx="1">
                  <c:v>5.6548667764616267</c:v>
                </c:pt>
              </c:numCache>
            </c:numRef>
          </c:xVal>
          <c:yVal>
            <c:numRef>
              <c:f>Spectrum!$I$27:$J$27</c:f>
              <c:numCache>
                <c:formatCode>General</c:formatCode>
                <c:ptCount val="2"/>
                <c:pt idx="0">
                  <c:v>56.548667764616255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93F9-4F81-9260-2DACCB60631A}"/>
            </c:ext>
          </c:extLst>
        </c:ser>
        <c:ser>
          <c:idx val="85"/>
          <c:order val="8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Spectrum!$G$28:$H$28</c:f>
              <c:numCache>
                <c:formatCode>General</c:formatCode>
                <c:ptCount val="2"/>
                <c:pt idx="0">
                  <c:v>0.01</c:v>
                </c:pt>
                <c:pt idx="1">
                  <c:v>6.2831853071795871</c:v>
                </c:pt>
              </c:numCache>
            </c:numRef>
          </c:xVal>
          <c:yVal>
            <c:numRef>
              <c:f>Spectrum!$I$28:$J$28</c:f>
              <c:numCache>
                <c:formatCode>General</c:formatCode>
                <c:ptCount val="2"/>
                <c:pt idx="0">
                  <c:v>62.831853071795869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93F9-4F81-9260-2DACCB60631A}"/>
            </c:ext>
          </c:extLst>
        </c:ser>
        <c:ser>
          <c:idx val="86"/>
          <c:order val="8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Spectrum!$G$29:$H$29</c:f>
              <c:numCache>
                <c:formatCode>General</c:formatCode>
                <c:ptCount val="2"/>
                <c:pt idx="0">
                  <c:v>0.01</c:v>
                </c:pt>
                <c:pt idx="1">
                  <c:v>12.566370614359172</c:v>
                </c:pt>
              </c:numCache>
            </c:numRef>
          </c:xVal>
          <c:yVal>
            <c:numRef>
              <c:f>Spectrum!$I$29:$J$29</c:f>
              <c:numCache>
                <c:formatCode>General</c:formatCode>
                <c:ptCount val="2"/>
                <c:pt idx="0">
                  <c:v>125.66370614359175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93F9-4F81-9260-2DACCB60631A}"/>
            </c:ext>
          </c:extLst>
        </c:ser>
        <c:ser>
          <c:idx val="87"/>
          <c:order val="8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Spectrum!$G$30:$H$30</c:f>
              <c:numCache>
                <c:formatCode>General</c:formatCode>
                <c:ptCount val="2"/>
                <c:pt idx="0">
                  <c:v>0.01</c:v>
                </c:pt>
                <c:pt idx="1">
                  <c:v>18.849555921538769</c:v>
                </c:pt>
              </c:numCache>
            </c:numRef>
          </c:xVal>
          <c:yVal>
            <c:numRef>
              <c:f>Spectrum!$I$30:$J$30</c:f>
              <c:numCache>
                <c:formatCode>General</c:formatCode>
                <c:ptCount val="2"/>
                <c:pt idx="0">
                  <c:v>188.49555921538766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93F9-4F81-9260-2DACCB60631A}"/>
            </c:ext>
          </c:extLst>
        </c:ser>
        <c:ser>
          <c:idx val="88"/>
          <c:order val="8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Spectrum!$G$31:$H$31</c:f>
              <c:numCache>
                <c:formatCode>General</c:formatCode>
                <c:ptCount val="2"/>
                <c:pt idx="0">
                  <c:v>0.01</c:v>
                </c:pt>
                <c:pt idx="1">
                  <c:v>25.132741228718359</c:v>
                </c:pt>
              </c:numCache>
            </c:numRef>
          </c:xVal>
          <c:yVal>
            <c:numRef>
              <c:f>Spectrum!$I$31:$J$31</c:f>
              <c:numCache>
                <c:formatCode>General</c:formatCode>
                <c:ptCount val="2"/>
                <c:pt idx="0">
                  <c:v>251.32741228718353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93F9-4F81-9260-2DACCB60631A}"/>
            </c:ext>
          </c:extLst>
        </c:ser>
        <c:ser>
          <c:idx val="89"/>
          <c:order val="8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Spectrum!$G$32:$H$32</c:f>
              <c:numCache>
                <c:formatCode>General</c:formatCode>
                <c:ptCount val="2"/>
                <c:pt idx="0">
                  <c:v>0.01</c:v>
                </c:pt>
                <c:pt idx="1">
                  <c:v>31.415926535897931</c:v>
                </c:pt>
              </c:numCache>
            </c:numRef>
          </c:xVal>
          <c:yVal>
            <c:numRef>
              <c:f>Spectrum!$I$32:$J$32</c:f>
              <c:numCache>
                <c:formatCode>General</c:formatCode>
                <c:ptCount val="2"/>
                <c:pt idx="0">
                  <c:v>314.15926535897938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93F9-4F81-9260-2DACCB60631A}"/>
            </c:ext>
          </c:extLst>
        </c:ser>
        <c:ser>
          <c:idx val="90"/>
          <c:order val="9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Spectrum!$G$33:$H$33</c:f>
              <c:numCache>
                <c:formatCode>General</c:formatCode>
                <c:ptCount val="2"/>
                <c:pt idx="0">
                  <c:v>0.01</c:v>
                </c:pt>
                <c:pt idx="1">
                  <c:v>37.699111843077546</c:v>
                </c:pt>
              </c:numCache>
            </c:numRef>
          </c:xVal>
          <c:yVal>
            <c:numRef>
              <c:f>Spectrum!$I$33:$J$33</c:f>
              <c:numCache>
                <c:formatCode>General</c:formatCode>
                <c:ptCount val="2"/>
                <c:pt idx="0">
                  <c:v>376.99111843077537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93F9-4F81-9260-2DACCB60631A}"/>
            </c:ext>
          </c:extLst>
        </c:ser>
        <c:ser>
          <c:idx val="91"/>
          <c:order val="9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Spectrum!$G$34:$H$34</c:f>
              <c:numCache>
                <c:formatCode>General</c:formatCode>
                <c:ptCount val="2"/>
                <c:pt idx="0">
                  <c:v>0.01</c:v>
                </c:pt>
                <c:pt idx="1">
                  <c:v>43.982297150257125</c:v>
                </c:pt>
              </c:numCache>
            </c:numRef>
          </c:xVal>
          <c:yVal>
            <c:numRef>
              <c:f>Spectrum!$I$34:$J$34</c:f>
              <c:numCache>
                <c:formatCode>General</c:formatCode>
                <c:ptCount val="2"/>
                <c:pt idx="0">
                  <c:v>439.82297150257114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93F9-4F81-9260-2DACCB60631A}"/>
            </c:ext>
          </c:extLst>
        </c:ser>
        <c:ser>
          <c:idx val="92"/>
          <c:order val="9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Spectrum!$G$35:$H$35</c:f>
              <c:numCache>
                <c:formatCode>General</c:formatCode>
                <c:ptCount val="2"/>
                <c:pt idx="0">
                  <c:v>0.01</c:v>
                </c:pt>
                <c:pt idx="1">
                  <c:v>50.265482457436718</c:v>
                </c:pt>
              </c:numCache>
            </c:numRef>
          </c:xVal>
          <c:yVal>
            <c:numRef>
              <c:f>Spectrum!$I$35:$J$35</c:f>
              <c:numCache>
                <c:formatCode>General</c:formatCode>
                <c:ptCount val="2"/>
                <c:pt idx="0">
                  <c:v>502.65482457436707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93F9-4F81-9260-2DACCB60631A}"/>
            </c:ext>
          </c:extLst>
        </c:ser>
        <c:ser>
          <c:idx val="93"/>
          <c:order val="9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Spectrum!$G$36:$H$36</c:f>
              <c:numCache>
                <c:formatCode>General</c:formatCode>
                <c:ptCount val="2"/>
                <c:pt idx="0">
                  <c:v>0.01</c:v>
                </c:pt>
                <c:pt idx="1">
                  <c:v>56.548667764616305</c:v>
                </c:pt>
              </c:numCache>
            </c:numRef>
          </c:xVal>
          <c:yVal>
            <c:numRef>
              <c:f>Spectrum!$I$36:$J$36</c:f>
              <c:numCache>
                <c:formatCode>General</c:formatCode>
                <c:ptCount val="2"/>
                <c:pt idx="0">
                  <c:v>565.48667764616266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93F9-4F81-9260-2DACCB60631A}"/>
            </c:ext>
          </c:extLst>
        </c:ser>
        <c:ser>
          <c:idx val="94"/>
          <c:order val="9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Spectrum!$G$37:$H$37</c:f>
              <c:numCache>
                <c:formatCode>General</c:formatCode>
                <c:ptCount val="2"/>
                <c:pt idx="0">
                  <c:v>0.01</c:v>
                </c:pt>
                <c:pt idx="1">
                  <c:v>62.831853071795869</c:v>
                </c:pt>
              </c:numCache>
            </c:numRef>
          </c:xVal>
          <c:yVal>
            <c:numRef>
              <c:f>Spectrum!$I$37:$J$37</c:f>
              <c:numCache>
                <c:formatCode>General</c:formatCode>
                <c:ptCount val="2"/>
                <c:pt idx="0">
                  <c:v>628.31853071795888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93F9-4F81-9260-2DACCB60631A}"/>
            </c:ext>
          </c:extLst>
        </c:ser>
        <c:ser>
          <c:idx val="95"/>
          <c:order val="9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Spectrum!$G$38:$H$38</c:f>
              <c:numCache>
                <c:formatCode>General</c:formatCode>
                <c:ptCount val="2"/>
                <c:pt idx="0">
                  <c:v>0.01</c:v>
                </c:pt>
                <c:pt idx="1">
                  <c:v>125.66370614359175</c:v>
                </c:pt>
              </c:numCache>
            </c:numRef>
          </c:xVal>
          <c:yVal>
            <c:numRef>
              <c:f>Spectrum!$I$38:$J$38</c:f>
              <c:numCache>
                <c:formatCode>General</c:formatCode>
                <c:ptCount val="2"/>
                <c:pt idx="0">
                  <c:v>1256.6370614359178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93F9-4F81-9260-2DACCB60631A}"/>
            </c:ext>
          </c:extLst>
        </c:ser>
        <c:ser>
          <c:idx val="96"/>
          <c:order val="9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Spectrum!$G$39:$H$39</c:f>
              <c:numCache>
                <c:formatCode>General</c:formatCode>
                <c:ptCount val="2"/>
                <c:pt idx="0">
                  <c:v>0.01</c:v>
                </c:pt>
                <c:pt idx="1">
                  <c:v>188.49555921538766</c:v>
                </c:pt>
              </c:numCache>
            </c:numRef>
          </c:xVal>
          <c:yVal>
            <c:numRef>
              <c:f>Spectrum!$I$39:$J$39</c:f>
              <c:numCache>
                <c:formatCode>General</c:formatCode>
                <c:ptCount val="2"/>
                <c:pt idx="0">
                  <c:v>1884.955592153877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93F9-4F81-9260-2DACCB60631A}"/>
            </c:ext>
          </c:extLst>
        </c:ser>
        <c:ser>
          <c:idx val="97"/>
          <c:order val="9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Spectrum!$G$40:$H$40</c:f>
              <c:numCache>
                <c:formatCode>General</c:formatCode>
                <c:ptCount val="2"/>
                <c:pt idx="0">
                  <c:v>0.01</c:v>
                </c:pt>
                <c:pt idx="1">
                  <c:v>251.32741228718353</c:v>
                </c:pt>
              </c:numCache>
            </c:numRef>
          </c:xVal>
          <c:yVal>
            <c:numRef>
              <c:f>Spectrum!$I$40:$J$40</c:f>
              <c:numCache>
                <c:formatCode>General</c:formatCode>
                <c:ptCount val="2"/>
                <c:pt idx="0">
                  <c:v>2513.274122871836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93F9-4F81-9260-2DACCB60631A}"/>
            </c:ext>
          </c:extLst>
        </c:ser>
        <c:ser>
          <c:idx val="98"/>
          <c:order val="9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Spectrum!$G$41:$H$41</c:f>
              <c:numCache>
                <c:formatCode>General</c:formatCode>
                <c:ptCount val="2"/>
                <c:pt idx="0">
                  <c:v>0.01</c:v>
                </c:pt>
                <c:pt idx="1">
                  <c:v>314.15926535897938</c:v>
                </c:pt>
              </c:numCache>
            </c:numRef>
          </c:xVal>
          <c:yVal>
            <c:numRef>
              <c:f>Spectrum!$I$41:$J$41</c:f>
              <c:numCache>
                <c:formatCode>General</c:formatCode>
                <c:ptCount val="2"/>
                <c:pt idx="0">
                  <c:v>3141.5926535898002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93F9-4F81-9260-2DACCB60631A}"/>
            </c:ext>
          </c:extLst>
        </c:ser>
        <c:ser>
          <c:idx val="99"/>
          <c:order val="9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Spectrum!$G$42:$H$42</c:f>
              <c:numCache>
                <c:formatCode>General</c:formatCode>
                <c:ptCount val="2"/>
                <c:pt idx="0">
                  <c:v>0.01</c:v>
                </c:pt>
                <c:pt idx="1">
                  <c:v>376.99111843077537</c:v>
                </c:pt>
              </c:numCache>
            </c:numRef>
          </c:xVal>
          <c:yVal>
            <c:numRef>
              <c:f>Spectrum!$I$42:$J$42</c:f>
              <c:numCache>
                <c:formatCode>General</c:formatCode>
                <c:ptCount val="2"/>
                <c:pt idx="0">
                  <c:v>3769.9111843077544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93F9-4F81-9260-2DACCB60631A}"/>
            </c:ext>
          </c:extLst>
        </c:ser>
        <c:ser>
          <c:idx val="100"/>
          <c:order val="10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Spectrum!$G$43:$H$43</c:f>
              <c:numCache>
                <c:formatCode>General</c:formatCode>
                <c:ptCount val="2"/>
                <c:pt idx="0">
                  <c:v>0.01</c:v>
                </c:pt>
                <c:pt idx="1">
                  <c:v>439.82297150257114</c:v>
                </c:pt>
              </c:numCache>
            </c:numRef>
          </c:xVal>
          <c:yVal>
            <c:numRef>
              <c:f>Spectrum!$I$43:$J$43</c:f>
              <c:numCache>
                <c:formatCode>General</c:formatCode>
                <c:ptCount val="2"/>
                <c:pt idx="0">
                  <c:v>4398.2297150257164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93F9-4F81-9260-2DACCB60631A}"/>
            </c:ext>
          </c:extLst>
        </c:ser>
        <c:ser>
          <c:idx val="101"/>
          <c:order val="10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Spectrum!$G$44:$H$44</c:f>
              <c:numCache>
                <c:formatCode>General</c:formatCode>
                <c:ptCount val="2"/>
                <c:pt idx="0">
                  <c:v>0.01</c:v>
                </c:pt>
                <c:pt idx="1">
                  <c:v>502.65482457436707</c:v>
                </c:pt>
              </c:numCache>
            </c:numRef>
          </c:xVal>
          <c:yVal>
            <c:numRef>
              <c:f>Spectrum!$I$44:$J$44</c:f>
              <c:numCache>
                <c:formatCode>General</c:formatCode>
                <c:ptCount val="2"/>
                <c:pt idx="0">
                  <c:v>5026.5482457436765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93F9-4F81-9260-2DACCB60631A}"/>
            </c:ext>
          </c:extLst>
        </c:ser>
        <c:ser>
          <c:idx val="102"/>
          <c:order val="10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Spectrum!$G$45:$H$45</c:f>
              <c:numCache>
                <c:formatCode>General</c:formatCode>
                <c:ptCount val="2"/>
                <c:pt idx="0">
                  <c:v>0.01</c:v>
                </c:pt>
                <c:pt idx="1">
                  <c:v>565.48667764616266</c:v>
                </c:pt>
              </c:numCache>
            </c:numRef>
          </c:xVal>
          <c:yVal>
            <c:numRef>
              <c:f>Spectrum!$I$45:$J$45</c:f>
              <c:numCache>
                <c:formatCode>General</c:formatCode>
                <c:ptCount val="2"/>
                <c:pt idx="0">
                  <c:v>5654.8667764616284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93F9-4F81-9260-2DACCB60631A}"/>
            </c:ext>
          </c:extLst>
        </c:ser>
        <c:ser>
          <c:idx val="103"/>
          <c:order val="10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Spectrum!$G$46:$H$46</c:f>
              <c:numCache>
                <c:formatCode>General</c:formatCode>
                <c:ptCount val="2"/>
                <c:pt idx="0">
                  <c:v>0.01</c:v>
                </c:pt>
                <c:pt idx="1">
                  <c:v>628.31853071795888</c:v>
                </c:pt>
              </c:numCache>
            </c:numRef>
          </c:xVal>
          <c:yVal>
            <c:numRef>
              <c:f>Spectrum!$I$46:$J$46</c:f>
              <c:numCache>
                <c:formatCode>General</c:formatCode>
                <c:ptCount val="2"/>
                <c:pt idx="0">
                  <c:v>6283.1853071795895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93F9-4F81-9260-2DACCB60631A}"/>
            </c:ext>
          </c:extLst>
        </c:ser>
        <c:ser>
          <c:idx val="104"/>
          <c:order val="10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Spectrum!$G$47:$H$47</c:f>
              <c:numCache>
                <c:formatCode>General</c:formatCode>
                <c:ptCount val="2"/>
                <c:pt idx="0">
                  <c:v>0.01</c:v>
                </c:pt>
                <c:pt idx="1">
                  <c:v>1256.6370614359178</c:v>
                </c:pt>
              </c:numCache>
            </c:numRef>
          </c:xVal>
          <c:yVal>
            <c:numRef>
              <c:f>Spectrum!$I$47:$J$47</c:f>
              <c:numCache>
                <c:formatCode>General</c:formatCode>
                <c:ptCount val="2"/>
                <c:pt idx="0">
                  <c:v>12566.370614359203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93F9-4F81-9260-2DACCB60631A}"/>
            </c:ext>
          </c:extLst>
        </c:ser>
        <c:ser>
          <c:idx val="105"/>
          <c:order val="10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Spectrum!$G$48:$H$48</c:f>
              <c:numCache>
                <c:formatCode>General</c:formatCode>
                <c:ptCount val="2"/>
                <c:pt idx="0">
                  <c:v>0.01</c:v>
                </c:pt>
                <c:pt idx="1">
                  <c:v>1884.955592153877</c:v>
                </c:pt>
              </c:numCache>
            </c:numRef>
          </c:xVal>
          <c:yVal>
            <c:numRef>
              <c:f>Spectrum!$I$48:$J$48</c:f>
              <c:numCache>
                <c:formatCode>General</c:formatCode>
                <c:ptCount val="2"/>
                <c:pt idx="0">
                  <c:v>18849.555921538791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93F9-4F81-9260-2DACCB60631A}"/>
            </c:ext>
          </c:extLst>
        </c:ser>
        <c:ser>
          <c:idx val="106"/>
          <c:order val="10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Spectrum!$G$49:$H$49</c:f>
              <c:numCache>
                <c:formatCode>General</c:formatCode>
                <c:ptCount val="2"/>
                <c:pt idx="0">
                  <c:v>0.01</c:v>
                </c:pt>
                <c:pt idx="1">
                  <c:v>2513.274122871836</c:v>
                </c:pt>
              </c:numCache>
            </c:numRef>
          </c:xVal>
          <c:yVal>
            <c:numRef>
              <c:f>Spectrum!$I$49:$J$49</c:f>
              <c:numCache>
                <c:formatCode>General</c:formatCode>
                <c:ptCount val="2"/>
                <c:pt idx="0">
                  <c:v>25132.741228718409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93F9-4F81-9260-2DACCB60631A}"/>
            </c:ext>
          </c:extLst>
        </c:ser>
        <c:ser>
          <c:idx val="107"/>
          <c:order val="10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Spectrum!$G$50:$H$50</c:f>
              <c:numCache>
                <c:formatCode>General</c:formatCode>
                <c:ptCount val="2"/>
                <c:pt idx="0">
                  <c:v>0.01</c:v>
                </c:pt>
                <c:pt idx="1">
                  <c:v>3141.5926535897947</c:v>
                </c:pt>
              </c:numCache>
            </c:numRef>
          </c:xVal>
          <c:yVal>
            <c:numRef>
              <c:f>Spectrum!$I$50:$J$50</c:f>
              <c:numCache>
                <c:formatCode>General</c:formatCode>
                <c:ptCount val="2"/>
                <c:pt idx="0">
                  <c:v>31415.926535897979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93F9-4F81-9260-2DACCB60631A}"/>
            </c:ext>
          </c:extLst>
        </c:ser>
        <c:ser>
          <c:idx val="108"/>
          <c:order val="10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Spectrum!$G$51:$H$51</c:f>
              <c:numCache>
                <c:formatCode>General</c:formatCode>
                <c:ptCount val="2"/>
                <c:pt idx="0">
                  <c:v>0.01</c:v>
                </c:pt>
                <c:pt idx="1">
                  <c:v>3769.9111843077544</c:v>
                </c:pt>
              </c:numCache>
            </c:numRef>
          </c:xVal>
          <c:yVal>
            <c:numRef>
              <c:f>Spectrum!$I$51:$J$51</c:f>
              <c:numCache>
                <c:formatCode>General</c:formatCode>
                <c:ptCount val="2"/>
                <c:pt idx="0">
                  <c:v>37699.11184307759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93F9-4F81-9260-2DACCB60631A}"/>
            </c:ext>
          </c:extLst>
        </c:ser>
        <c:ser>
          <c:idx val="109"/>
          <c:order val="10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Spectrum!$G$52:$H$52</c:f>
              <c:numCache>
                <c:formatCode>General</c:formatCode>
                <c:ptCount val="2"/>
                <c:pt idx="0">
                  <c:v>0.01</c:v>
                </c:pt>
                <c:pt idx="1">
                  <c:v>4398.2297150257164</c:v>
                </c:pt>
              </c:numCache>
            </c:numRef>
          </c:xVal>
          <c:yVal>
            <c:numRef>
              <c:f>Spectrum!$I$52:$J$52</c:f>
              <c:numCache>
                <c:formatCode>General</c:formatCode>
                <c:ptCount val="2"/>
                <c:pt idx="0">
                  <c:v>43982.297150257211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93F9-4F81-9260-2DACCB60631A}"/>
            </c:ext>
          </c:extLst>
        </c:ser>
        <c:ser>
          <c:idx val="110"/>
          <c:order val="11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Spectrum!$G$53:$H$53</c:f>
              <c:numCache>
                <c:formatCode>General</c:formatCode>
                <c:ptCount val="2"/>
                <c:pt idx="0">
                  <c:v>0.01</c:v>
                </c:pt>
                <c:pt idx="1">
                  <c:v>5026.5482457436765</c:v>
                </c:pt>
              </c:numCache>
            </c:numRef>
          </c:xVal>
          <c:yVal>
            <c:numRef>
              <c:f>Spectrum!$I$53:$J$53</c:f>
              <c:numCache>
                <c:formatCode>General</c:formatCode>
                <c:ptCount val="2"/>
                <c:pt idx="0">
                  <c:v>50265.482457436818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93F9-4F81-9260-2DACCB60631A}"/>
            </c:ext>
          </c:extLst>
        </c:ser>
        <c:ser>
          <c:idx val="111"/>
          <c:order val="11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Spectrum!$G$54:$H$54</c:f>
              <c:numCache>
                <c:formatCode>General</c:formatCode>
                <c:ptCount val="2"/>
                <c:pt idx="0">
                  <c:v>0.01</c:v>
                </c:pt>
                <c:pt idx="1">
                  <c:v>5654.8667764616384</c:v>
                </c:pt>
              </c:numCache>
            </c:numRef>
          </c:xVal>
          <c:yVal>
            <c:numRef>
              <c:f>Spectrum!$I$54:$J$54</c:f>
              <c:numCache>
                <c:formatCode>General</c:formatCode>
                <c:ptCount val="2"/>
                <c:pt idx="0">
                  <c:v>56548.667764616446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93F9-4F81-9260-2DACCB60631A}"/>
            </c:ext>
          </c:extLst>
        </c:ser>
        <c:ser>
          <c:idx val="112"/>
          <c:order val="11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Spectrum!$G$55:$H$55</c:f>
              <c:numCache>
                <c:formatCode>General</c:formatCode>
                <c:ptCount val="2"/>
                <c:pt idx="0">
                  <c:v>0.01</c:v>
                </c:pt>
                <c:pt idx="1">
                  <c:v>6283.1853071795895</c:v>
                </c:pt>
              </c:numCache>
            </c:numRef>
          </c:xVal>
          <c:yVal>
            <c:numRef>
              <c:f>Spectrum!$I$55:$J$55</c:f>
              <c:numCache>
                <c:formatCode>General</c:formatCode>
                <c:ptCount val="2"/>
                <c:pt idx="0">
                  <c:v>62831.853071795966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93F9-4F81-9260-2DACCB60631A}"/>
            </c:ext>
          </c:extLst>
        </c:ser>
        <c:ser>
          <c:idx val="113"/>
          <c:order val="11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Spectrum!$G$56:$H$56</c:f>
              <c:numCache>
                <c:formatCode>General</c:formatCode>
                <c:ptCount val="2"/>
                <c:pt idx="0">
                  <c:v>0.01</c:v>
                </c:pt>
                <c:pt idx="1">
                  <c:v>12566.370614359203</c:v>
                </c:pt>
              </c:numCache>
            </c:numRef>
          </c:xVal>
          <c:yVal>
            <c:numRef>
              <c:f>Spectrum!$I$56:$J$56</c:f>
              <c:numCache>
                <c:formatCode>General</c:formatCode>
                <c:ptCount val="2"/>
                <c:pt idx="0">
                  <c:v>125663.70614359195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93F9-4F81-9260-2DACCB60631A}"/>
            </c:ext>
          </c:extLst>
        </c:ser>
        <c:ser>
          <c:idx val="114"/>
          <c:order val="11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Spectrum!$G$57:$H$57</c:f>
              <c:numCache>
                <c:formatCode>General</c:formatCode>
                <c:ptCount val="2"/>
                <c:pt idx="0">
                  <c:v>0.01</c:v>
                </c:pt>
                <c:pt idx="1">
                  <c:v>18849.555921538791</c:v>
                </c:pt>
              </c:numCache>
            </c:numRef>
          </c:xVal>
          <c:yVal>
            <c:numRef>
              <c:f>Spectrum!$I$57:$J$57</c:f>
              <c:numCache>
                <c:formatCode>General</c:formatCode>
                <c:ptCount val="2"/>
                <c:pt idx="0">
                  <c:v>188495.55921538812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93F9-4F81-9260-2DACCB60631A}"/>
            </c:ext>
          </c:extLst>
        </c:ser>
        <c:ser>
          <c:idx val="115"/>
          <c:order val="11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Spectrum!$G$58:$H$58</c:f>
              <c:numCache>
                <c:formatCode>General</c:formatCode>
                <c:ptCount val="2"/>
                <c:pt idx="0">
                  <c:v>0.01</c:v>
                </c:pt>
                <c:pt idx="1">
                  <c:v>25132.741228718409</c:v>
                </c:pt>
              </c:numCache>
            </c:numRef>
          </c:xVal>
          <c:yVal>
            <c:numRef>
              <c:f>Spectrum!$I$58:$J$58</c:f>
              <c:numCache>
                <c:formatCode>General</c:formatCode>
                <c:ptCount val="2"/>
                <c:pt idx="0">
                  <c:v>251327.41228718392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93F9-4F81-9260-2DACCB60631A}"/>
            </c:ext>
          </c:extLst>
        </c:ser>
        <c:ser>
          <c:idx val="116"/>
          <c:order val="11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Spectrum!$G$59:$H$59</c:f>
              <c:numCache>
                <c:formatCode>General</c:formatCode>
                <c:ptCount val="2"/>
                <c:pt idx="0">
                  <c:v>0.01</c:v>
                </c:pt>
                <c:pt idx="1">
                  <c:v>31415.926535897979</c:v>
                </c:pt>
              </c:numCache>
            </c:numRef>
          </c:xVal>
          <c:yVal>
            <c:numRef>
              <c:f>Spectrum!$I$59:$J$59</c:f>
              <c:numCache>
                <c:formatCode>General</c:formatCode>
                <c:ptCount val="2"/>
                <c:pt idx="0">
                  <c:v>314159.26535898016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93F9-4F81-9260-2DACCB60631A}"/>
            </c:ext>
          </c:extLst>
        </c:ser>
        <c:ser>
          <c:idx val="117"/>
          <c:order val="11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Spectrum!$G$60:$H$60</c:f>
              <c:numCache>
                <c:formatCode>General</c:formatCode>
                <c:ptCount val="2"/>
                <c:pt idx="0">
                  <c:v>0.01</c:v>
                </c:pt>
                <c:pt idx="1">
                  <c:v>37699.111843077517</c:v>
                </c:pt>
              </c:numCache>
            </c:numRef>
          </c:xVal>
          <c:yVal>
            <c:numRef>
              <c:f>Spectrum!$I$60:$J$60</c:f>
              <c:numCache>
                <c:formatCode>General</c:formatCode>
                <c:ptCount val="2"/>
                <c:pt idx="0">
                  <c:v>376991.11843077559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93F9-4F81-9260-2DACCB60631A}"/>
            </c:ext>
          </c:extLst>
        </c:ser>
        <c:ser>
          <c:idx val="118"/>
          <c:order val="11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Spectrum!$G$61:$H$61</c:f>
              <c:numCache>
                <c:formatCode>General</c:formatCode>
                <c:ptCount val="2"/>
                <c:pt idx="0">
                  <c:v>0.01</c:v>
                </c:pt>
                <c:pt idx="1">
                  <c:v>43982.297150257211</c:v>
                </c:pt>
              </c:numCache>
            </c:numRef>
          </c:xVal>
          <c:yVal>
            <c:numRef>
              <c:f>Spectrum!$I$61:$J$61</c:f>
              <c:numCache>
                <c:formatCode>General</c:formatCode>
                <c:ptCount val="2"/>
                <c:pt idx="0">
                  <c:v>439822.97150257183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93F9-4F81-9260-2DACCB60631A}"/>
            </c:ext>
          </c:extLst>
        </c:ser>
        <c:ser>
          <c:idx val="119"/>
          <c:order val="11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Spectrum!$G$62:$H$62</c:f>
              <c:numCache>
                <c:formatCode>General</c:formatCode>
                <c:ptCount val="2"/>
                <c:pt idx="0">
                  <c:v>0.01</c:v>
                </c:pt>
                <c:pt idx="1">
                  <c:v>50265.482457436818</c:v>
                </c:pt>
              </c:numCache>
            </c:numRef>
          </c:xVal>
          <c:yVal>
            <c:numRef>
              <c:f>Spectrum!$I$62:$J$62</c:f>
              <c:numCache>
                <c:formatCode>General</c:formatCode>
                <c:ptCount val="2"/>
                <c:pt idx="0">
                  <c:v>502654.82457436784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93F9-4F81-9260-2DACCB60631A}"/>
            </c:ext>
          </c:extLst>
        </c:ser>
        <c:ser>
          <c:idx val="120"/>
          <c:order val="12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Spectrum!$G$63:$H$63</c:f>
              <c:numCache>
                <c:formatCode>General</c:formatCode>
                <c:ptCount val="2"/>
                <c:pt idx="0">
                  <c:v>0.01</c:v>
                </c:pt>
                <c:pt idx="1">
                  <c:v>56548.667764616344</c:v>
                </c:pt>
              </c:numCache>
            </c:numRef>
          </c:xVal>
          <c:yVal>
            <c:numRef>
              <c:f>Spectrum!$I$63:$J$63</c:f>
              <c:numCache>
                <c:formatCode>General</c:formatCode>
                <c:ptCount val="2"/>
                <c:pt idx="0">
                  <c:v>565486.67764616304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93F9-4F81-9260-2DACCB60631A}"/>
            </c:ext>
          </c:extLst>
        </c:ser>
        <c:ser>
          <c:idx val="121"/>
          <c:order val="12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Spectrum!$G$64:$H$64</c:f>
              <c:numCache>
                <c:formatCode>General</c:formatCode>
                <c:ptCount val="2"/>
                <c:pt idx="0">
                  <c:v>0.01</c:v>
                </c:pt>
                <c:pt idx="1">
                  <c:v>62831.853071795966</c:v>
                </c:pt>
              </c:numCache>
            </c:numRef>
          </c:xVal>
          <c:yVal>
            <c:numRef>
              <c:f>Spectrum!$I$64:$J$64</c:f>
              <c:numCache>
                <c:formatCode>General</c:formatCode>
                <c:ptCount val="2"/>
                <c:pt idx="0">
                  <c:v>628318.53071796033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93F9-4F81-9260-2DACCB60631A}"/>
            </c:ext>
          </c:extLst>
        </c:ser>
        <c:ser>
          <c:idx val="122"/>
          <c:order val="122"/>
          <c:spPr>
            <a:ln w="635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Spectrum!$K$2:$K$19</c:f>
              <c:numCache>
                <c:formatCode>General</c:formatCod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0.64</c:v>
                </c:pt>
                <c:pt idx="17">
                  <c:v>10</c:v>
                </c:pt>
              </c:numCache>
            </c:numRef>
          </c:xVal>
          <c:yVal>
            <c:numRef>
              <c:f>Spectrum!$L$2:$L$19</c:f>
              <c:numCache>
                <c:formatCode>General</c:formatCode>
                <c:ptCount val="18"/>
                <c:pt idx="0">
                  <c:v>0.11140846016432673</c:v>
                </c:pt>
                <c:pt idx="1">
                  <c:v>0.24191551349968093</c:v>
                </c:pt>
                <c:pt idx="2">
                  <c:v>0.39152116000606252</c:v>
                </c:pt>
                <c:pt idx="3">
                  <c:v>0.56022539968347163</c:v>
                </c:pt>
                <c:pt idx="4">
                  <c:v>0.7480282325319082</c:v>
                </c:pt>
                <c:pt idx="5">
                  <c:v>0.95492965855137213</c:v>
                </c:pt>
                <c:pt idx="6">
                  <c:v>1.1809296777418636</c:v>
                </c:pt>
                <c:pt idx="7">
                  <c:v>1.4260282901033825</c:v>
                </c:pt>
                <c:pt idx="8">
                  <c:v>1.6902254956359288</c:v>
                </c:pt>
                <c:pt idx="9">
                  <c:v>1.973521294339502</c:v>
                </c:pt>
                <c:pt idx="10">
                  <c:v>2.2759156862141028</c:v>
                </c:pt>
                <c:pt idx="11">
                  <c:v>2.5974086712597311</c:v>
                </c:pt>
                <c:pt idx="12">
                  <c:v>2.9380002494763873</c:v>
                </c:pt>
                <c:pt idx="13">
                  <c:v>3.2976904208640709</c:v>
                </c:pt>
                <c:pt idx="14">
                  <c:v>3.6764791854227816</c:v>
                </c:pt>
                <c:pt idx="15">
                  <c:v>4.0743665431525207</c:v>
                </c:pt>
                <c:pt idx="16">
                  <c:v>16.297466172610083</c:v>
                </c:pt>
                <c:pt idx="17">
                  <c:v>16.297466172610083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93F9-4F81-9260-2DACCB60631A}"/>
            </c:ext>
          </c:extLst>
        </c:ser>
        <c:ser>
          <c:idx val="123"/>
          <c:order val="123"/>
          <c:spPr>
            <a:ln w="635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Spectrum!$K$2:$K$19</c:f>
              <c:numCache>
                <c:formatCode>General</c:formatCod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0.64</c:v>
                </c:pt>
                <c:pt idx="17">
                  <c:v>10</c:v>
                </c:pt>
              </c:numCache>
            </c:numRef>
          </c:xVal>
          <c:yVal>
            <c:numRef>
              <c:f>Spectrum!$M$2:$M$19</c:f>
              <c:numCache>
                <c:formatCode>General</c:formatCode>
                <c:ptCount val="18"/>
                <c:pt idx="0">
                  <c:v>0.55704230082163364</c:v>
                </c:pt>
                <c:pt idx="1">
                  <c:v>1.2095775674984046</c:v>
                </c:pt>
                <c:pt idx="2">
                  <c:v>1.9576058000303127</c:v>
                </c:pt>
                <c:pt idx="3">
                  <c:v>2.8011269984173581</c:v>
                </c:pt>
                <c:pt idx="4">
                  <c:v>3.7401411626595409</c:v>
                </c:pt>
                <c:pt idx="5">
                  <c:v>4.7746482927568605</c:v>
                </c:pt>
                <c:pt idx="6">
                  <c:v>5.904648388709318</c:v>
                </c:pt>
                <c:pt idx="7">
                  <c:v>7.1301414505169127</c:v>
                </c:pt>
                <c:pt idx="8">
                  <c:v>8.4511274781796448</c:v>
                </c:pt>
                <c:pt idx="9">
                  <c:v>9.8676064716975098</c:v>
                </c:pt>
                <c:pt idx="10">
                  <c:v>11.379578431070513</c:v>
                </c:pt>
                <c:pt idx="11">
                  <c:v>12.987043356298656</c:v>
                </c:pt>
                <c:pt idx="12">
                  <c:v>14.690001247381936</c:v>
                </c:pt>
                <c:pt idx="13">
                  <c:v>16.488452104320356</c:v>
                </c:pt>
                <c:pt idx="14">
                  <c:v>18.382395927113908</c:v>
                </c:pt>
                <c:pt idx="15">
                  <c:v>20.371832715762604</c:v>
                </c:pt>
                <c:pt idx="16">
                  <c:v>81.487330863050417</c:v>
                </c:pt>
                <c:pt idx="17">
                  <c:v>81.487330863050417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93F9-4F81-9260-2DACCB60631A}"/>
            </c:ext>
          </c:extLst>
        </c:ser>
        <c:ser>
          <c:idx val="124"/>
          <c:order val="124"/>
          <c:tx>
            <c:v>Wave1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C-93F9-4F81-9260-2DACCB60631A}"/>
            </c:ext>
          </c:extLst>
        </c:ser>
        <c:ser>
          <c:idx val="125"/>
          <c:order val="125"/>
          <c:tx>
            <c:v>Wave2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D-93F9-4F81-9260-2DACCB60631A}"/>
            </c:ext>
          </c:extLst>
        </c:ser>
        <c:ser>
          <c:idx val="126"/>
          <c:order val="126"/>
          <c:tx>
            <c:v>Wave3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E-93F9-4F81-9260-2DACCB60631A}"/>
            </c:ext>
          </c:extLst>
        </c:ser>
        <c:ser>
          <c:idx val="127"/>
          <c:order val="127"/>
          <c:tx>
            <c:v>Wave4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F-93F9-4F81-9260-2DACCB60631A}"/>
            </c:ext>
          </c:extLst>
        </c:ser>
        <c:ser>
          <c:idx val="128"/>
          <c:order val="128"/>
          <c:tx>
            <c:v>Wave5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0-93F9-4F81-9260-2DACCB60631A}"/>
            </c:ext>
          </c:extLst>
        </c:ser>
        <c:ser>
          <c:idx val="129"/>
          <c:order val="129"/>
          <c:tx>
            <c:v>Wave6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1-93F9-4F81-9260-2DACCB60631A}"/>
            </c:ext>
          </c:extLst>
        </c:ser>
        <c:ser>
          <c:idx val="130"/>
          <c:order val="130"/>
          <c:tx>
            <c:v>Wave7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2-93F9-4F81-9260-2DACCB60631A}"/>
            </c:ext>
          </c:extLst>
        </c:ser>
        <c:ser>
          <c:idx val="131"/>
          <c:order val="131"/>
          <c:tx>
            <c:v>Wave8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3-93F9-4F81-9260-2DACCB60631A}"/>
            </c:ext>
          </c:extLst>
        </c:ser>
        <c:ser>
          <c:idx val="132"/>
          <c:order val="132"/>
          <c:tx>
            <c:v>Wave9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4-93F9-4F81-9260-2DACCB60631A}"/>
            </c:ext>
          </c:extLst>
        </c:ser>
        <c:ser>
          <c:idx val="133"/>
          <c:order val="133"/>
          <c:tx>
            <c:v>Wave10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5-93F9-4F81-9260-2DACCB60631A}"/>
            </c:ext>
          </c:extLst>
        </c:ser>
        <c:ser>
          <c:idx val="134"/>
          <c:order val="134"/>
          <c:tx>
            <c:v>Wave11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6-93F9-4F81-9260-2DACCB60631A}"/>
            </c:ext>
          </c:extLst>
        </c:ser>
        <c:ser>
          <c:idx val="135"/>
          <c:order val="135"/>
          <c:tx>
            <c:v>Wave12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7-93F9-4F81-9260-2DACCB60631A}"/>
            </c:ext>
          </c:extLst>
        </c:ser>
        <c:ser>
          <c:idx val="136"/>
          <c:order val="136"/>
          <c:tx>
            <c:v>Wave13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8-93F9-4F81-9260-2DACCB60631A}"/>
            </c:ext>
          </c:extLst>
        </c:ser>
        <c:ser>
          <c:idx val="137"/>
          <c:order val="137"/>
          <c:tx>
            <c:v>Wave14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9-93F9-4F81-9260-2DACCB60631A}"/>
            </c:ext>
          </c:extLst>
        </c:ser>
        <c:ser>
          <c:idx val="138"/>
          <c:order val="138"/>
          <c:tx>
            <c:v>Wave15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A-93F9-4F81-9260-2DACCB60631A}"/>
            </c:ext>
          </c:extLst>
        </c:ser>
        <c:ser>
          <c:idx val="139"/>
          <c:order val="139"/>
          <c:tx>
            <c:v>Wave16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B-93F9-4F81-9260-2DACCB60631A}"/>
            </c:ext>
          </c:extLst>
        </c:ser>
        <c:ser>
          <c:idx val="140"/>
          <c:order val="140"/>
          <c:tx>
            <c:v>Wave17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C-93F9-4F81-9260-2DACCB60631A}"/>
            </c:ext>
          </c:extLst>
        </c:ser>
        <c:ser>
          <c:idx val="141"/>
          <c:order val="141"/>
          <c:tx>
            <c:v>Wave18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D-93F9-4F81-9260-2DACCB60631A}"/>
            </c:ext>
          </c:extLst>
        </c:ser>
        <c:ser>
          <c:idx val="142"/>
          <c:order val="142"/>
          <c:tx>
            <c:v>Wave19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E-93F9-4F81-9260-2DACCB606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82752"/>
        <c:axId val="124284288"/>
        <c:extLst>
          <c:ext xmlns:c15="http://schemas.microsoft.com/office/drawing/2012/chart" uri="{02D57815-91ED-43cb-92C2-25804820EDAC}">
            <c15:filteredScatterSeries>
              <c15:ser>
                <c:idx val="143"/>
                <c:order val="143"/>
                <c:tx>
                  <c:v>Wave20</c:v>
                </c:tx>
                <c:spPr>
                  <a:ln w="9525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8F-93F9-4F81-9260-2DACCB60631A}"/>
                  </c:ext>
                </c:extLst>
              </c15:ser>
            </c15:filteredScatterSeries>
            <c15:filteredScatterSeries>
              <c15:ser>
                <c:idx val="144"/>
                <c:order val="144"/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0-93F9-4F81-9260-2DACCB60631A}"/>
                  </c:ext>
                </c:extLst>
              </c15:ser>
            </c15:filteredScatterSeries>
            <c15:filteredScatterSeries>
              <c15:ser>
                <c:idx val="145"/>
                <c:order val="145"/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1-93F9-4F81-9260-2DACCB60631A}"/>
                  </c:ext>
                </c:extLst>
              </c15:ser>
            </c15:filteredScatterSeries>
          </c:ext>
        </c:extLst>
      </c:scatterChart>
      <c:valAx>
        <c:axId val="124282752"/>
        <c:scaling>
          <c:logBase val="10"/>
          <c:orientation val="minMax"/>
          <c:max val="10"/>
          <c:min val="1.0000000000000002E-2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</c:spPr>
        <c:txPr>
          <a:bodyPr/>
          <a:lstStyle/>
          <a:p>
            <a:pPr>
              <a:defRPr sz="9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endParaRPr lang="ja-JP"/>
          </a:p>
        </c:txPr>
        <c:crossAx val="124284288"/>
        <c:crosses val="autoZero"/>
        <c:crossBetween val="midCat"/>
      </c:valAx>
      <c:valAx>
        <c:axId val="124284288"/>
        <c:scaling>
          <c:logBase val="10"/>
          <c:orientation val="minMax"/>
          <c:max val="1000"/>
          <c:min val="0.1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</c:spPr>
        <c:txPr>
          <a:bodyPr/>
          <a:lstStyle/>
          <a:p>
            <a:pPr>
              <a:defRPr sz="9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endParaRPr lang="ja-JP"/>
          </a:p>
        </c:txPr>
        <c:crossAx val="124282752"/>
        <c:crosses val="autoZero"/>
        <c:crossBetween val="midCat"/>
      </c:valAx>
      <c:spPr>
        <a:solidFill>
          <a:schemeClr val="bg1"/>
        </a:solidFill>
        <a:ln w="6350">
          <a:solidFill>
            <a:schemeClr val="bg1">
              <a:lumMod val="85000"/>
            </a:schemeClr>
          </a:solidFill>
        </a:ln>
      </c:spPr>
    </c:plotArea>
    <c:plotVisOnly val="1"/>
    <c:dispBlanksAs val="gap"/>
    <c:showDLblsOverMax val="0"/>
  </c:chart>
  <c:spPr>
    <a:solidFill>
      <a:schemeClr val="bg1"/>
    </a:solidFill>
    <a:ln w="9525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1E7-4934-899E-DEAEE1EFC90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1E7-4934-899E-DEAEE1EFC90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1E7-4934-899E-DEAEE1EFC90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1E7-4934-899E-DEAEE1EFC90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1E7-4934-899E-DEAEE1EFC90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1E7-4934-899E-DEAEE1EFC90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1E7-4934-899E-DEAEE1EFC90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1E7-4934-899E-DEAEE1EFC90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1E7-4934-899E-DEAEE1EFC90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1E7-4934-899E-DEAEE1EFC90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1E7-4934-899E-DEAEE1EFC90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1E7-4934-899E-DEAEE1EFC90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1E7-4934-899E-DEAEE1EFC90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1E7-4934-899E-DEAEE1EFC90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1E7-4934-899E-DEAEE1EFC90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1E7-4934-899E-DEAEE1EFC90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1E7-4934-899E-DEAEE1EFC90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1E7-4934-899E-DEAEE1EFC90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1E7-4934-899E-DEAEE1EFC90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1E7-4934-899E-DEAEE1EFC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01E7-4934-899E-DEAEE1EFC900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C48-4E3C-9E8F-6AB86FDD74CC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C48-4E3C-9E8F-6AB86FDD74CC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C48-4E3C-9E8F-6AB86FDD74CC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C48-4E3C-9E8F-6AB86FDD74CC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C48-4E3C-9E8F-6AB86FDD74CC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C48-4E3C-9E8F-6AB86FDD74CC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C48-4E3C-9E8F-6AB86FDD74CC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C48-4E3C-9E8F-6AB86FDD74CC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C48-4E3C-9E8F-6AB86FDD74CC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C48-4E3C-9E8F-6AB86FDD74CC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C48-4E3C-9E8F-6AB86FDD74CC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C48-4E3C-9E8F-6AB86FDD74CC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C48-4E3C-9E8F-6AB86FDD74CC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C48-4E3C-9E8F-6AB86FDD74CC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C48-4E3C-9E8F-6AB86FDD74CC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C48-4E3C-9E8F-6AB86FDD74CC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C48-4E3C-9E8F-6AB86FDD74CC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C48-4E3C-9E8F-6AB86FDD74CC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C48-4E3C-9E8F-6AB86FDD74CC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C48-4E3C-9E8F-6AB86FDD7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8BA-4A6B-B55F-DE8A3601B03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8BA-4A6B-B55F-DE8A3601B03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8BA-4A6B-B55F-DE8A3601B03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8BA-4A6B-B55F-DE8A3601B03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8BA-4A6B-B55F-DE8A3601B03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8BA-4A6B-B55F-DE8A3601B03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8BA-4A6B-B55F-DE8A3601B03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8BA-4A6B-B55F-DE8A3601B03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8BA-4A6B-B55F-DE8A3601B03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8BA-4A6B-B55F-DE8A3601B03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8BA-4A6B-B55F-DE8A3601B03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8BA-4A6B-B55F-DE8A3601B03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8BA-4A6B-B55F-DE8A3601B03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8BA-4A6B-B55F-DE8A3601B03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8BA-4A6B-B55F-DE8A3601B03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8BA-4A6B-B55F-DE8A3601B03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8BA-4A6B-B55F-DE8A3601B03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8BA-4A6B-B55F-DE8A3601B03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8BA-4A6B-B55F-DE8A3601B03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8BA-4A6B-B55F-DE8A3601B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162-4546-98E7-10435969597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162-4546-98E7-10435969597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162-4546-98E7-10435969597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162-4546-98E7-10435969597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162-4546-98E7-10435969597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162-4546-98E7-10435969597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162-4546-98E7-10435969597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162-4546-98E7-10435969597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162-4546-98E7-10435969597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162-4546-98E7-10435969597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162-4546-98E7-10435969597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162-4546-98E7-10435969597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162-4546-98E7-10435969597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162-4546-98E7-10435969597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162-4546-98E7-10435969597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162-4546-98E7-10435969597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162-4546-98E7-10435969597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162-4546-98E7-10435969597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162-4546-98E7-10435969597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162-4546-98E7-104359695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216-45FF-9528-60F5B7D69B8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216-45FF-9528-60F5B7D69B8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216-45FF-9528-60F5B7D69B8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216-45FF-9528-60F5B7D69B8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216-45FF-9528-60F5B7D69B8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216-45FF-9528-60F5B7D69B8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216-45FF-9528-60F5B7D69B8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216-45FF-9528-60F5B7D69B8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216-45FF-9528-60F5B7D69B8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216-45FF-9528-60F5B7D69B8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216-45FF-9528-60F5B7D69B8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216-45FF-9528-60F5B7D69B8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216-45FF-9528-60F5B7D69B8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216-45FF-9528-60F5B7D69B8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216-45FF-9528-60F5B7D69B8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216-45FF-9528-60F5B7D69B8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216-45FF-9528-60F5B7D69B8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216-45FF-9528-60F5B7D69B8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216-45FF-9528-60F5B7D69B8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216-45FF-9528-60F5B7D69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FEB-48C4-ADEC-167C670FD4C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FEB-48C4-ADEC-167C670FD4C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FEB-48C4-ADEC-167C670FD4C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FEB-48C4-ADEC-167C670FD4C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FEB-48C4-ADEC-167C670FD4C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FEB-48C4-ADEC-167C670FD4C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FEB-48C4-ADEC-167C670FD4C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FEB-48C4-ADEC-167C670FD4C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FEB-48C4-ADEC-167C670FD4C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FEB-48C4-ADEC-167C670FD4C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FEB-48C4-ADEC-167C670FD4C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FEB-48C4-ADEC-167C670FD4C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FEB-48C4-ADEC-167C670FD4C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FEB-48C4-ADEC-167C670FD4C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FEB-48C4-ADEC-167C670FD4C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FEB-48C4-ADEC-167C670FD4C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FEB-48C4-ADEC-167C670FD4C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FEB-48C4-ADEC-167C670FD4C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FEB-48C4-ADEC-167C670FD4C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FEB-48C4-ADEC-167C670FD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EFEB-48C4-ADEC-167C670FD4C3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C42-4347-BFAF-94BBFFCC793E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C42-4347-BFAF-94BBFFCC793E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42-4347-BFAF-94BBFFCC793E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42-4347-BFAF-94BBFFCC793E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C42-4347-BFAF-94BBFFCC793E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C42-4347-BFAF-94BBFFCC793E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C42-4347-BFAF-94BBFFCC793E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C42-4347-BFAF-94BBFFCC793E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C42-4347-BFAF-94BBFFCC793E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C42-4347-BFAF-94BBFFCC793E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C42-4347-BFAF-94BBFFCC793E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C42-4347-BFAF-94BBFFCC793E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C42-4347-BFAF-94BBFFCC793E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C42-4347-BFAF-94BBFFCC793E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C42-4347-BFAF-94BBFFCC793E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C42-4347-BFAF-94BBFFCC793E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C42-4347-BFAF-94BBFFCC793E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C42-4347-BFAF-94BBFFCC793E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C42-4347-BFAF-94BBFFCC793E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C42-4347-BFAF-94BBFFCC7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DC42-4347-BFAF-94BBFFCC793E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AE4-44FF-8BEE-77EEEAA6CFA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AE4-44FF-8BEE-77EEEAA6CFA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AE4-44FF-8BEE-77EEEAA6CFA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AE4-44FF-8BEE-77EEEAA6CFA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AE4-44FF-8BEE-77EEEAA6CFA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AE4-44FF-8BEE-77EEEAA6CFA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AE4-44FF-8BEE-77EEEAA6CFA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AE4-44FF-8BEE-77EEEAA6CFA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AE4-44FF-8BEE-77EEEAA6CFA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AE4-44FF-8BEE-77EEEAA6CFA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AE4-44FF-8BEE-77EEEAA6CFA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AE4-44FF-8BEE-77EEEAA6CFA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AE4-44FF-8BEE-77EEEAA6CFA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AE4-44FF-8BEE-77EEEAA6CFA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AE4-44FF-8BEE-77EEEAA6CFA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AE4-44FF-8BEE-77EEEAA6CFA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AE4-44FF-8BEE-77EEEAA6CFA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AE4-44FF-8BEE-77EEEAA6CFA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AE4-44FF-8BEE-77EEEAA6CFA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AE4-44FF-8BEE-77EEEAA6C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2AE4-44FF-8BEE-77EEEAA6CFA2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37F-4BB6-858A-D0EB3A3C96EF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37F-4BB6-858A-D0EB3A3C96EF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37F-4BB6-858A-D0EB3A3C96EF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37F-4BB6-858A-D0EB3A3C96EF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37F-4BB6-858A-D0EB3A3C96EF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37F-4BB6-858A-D0EB3A3C96EF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37F-4BB6-858A-D0EB3A3C96EF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37F-4BB6-858A-D0EB3A3C96EF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37F-4BB6-858A-D0EB3A3C96EF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37F-4BB6-858A-D0EB3A3C96EF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37F-4BB6-858A-D0EB3A3C96EF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37F-4BB6-858A-D0EB3A3C96EF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37F-4BB6-858A-D0EB3A3C96EF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37F-4BB6-858A-D0EB3A3C96EF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37F-4BB6-858A-D0EB3A3C96EF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37F-4BB6-858A-D0EB3A3C96EF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37F-4BB6-858A-D0EB3A3C96EF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37F-4BB6-858A-D0EB3A3C96EF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37F-4BB6-858A-D0EB3A3C96EF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37F-4BB6-858A-D0EB3A3C9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37F-4BB6-858A-D0EB3A3C96EF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FEA-4446-8D0B-DBDA90A8C92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FEA-4446-8D0B-DBDA90A8C92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FEA-4446-8D0B-DBDA90A8C92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FEA-4446-8D0B-DBDA90A8C92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FEA-4446-8D0B-DBDA90A8C92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FEA-4446-8D0B-DBDA90A8C92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FEA-4446-8D0B-DBDA90A8C92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FEA-4446-8D0B-DBDA90A8C92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FEA-4446-8D0B-DBDA90A8C92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FEA-4446-8D0B-DBDA90A8C92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FEA-4446-8D0B-DBDA90A8C92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FEA-4446-8D0B-DBDA90A8C92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FEA-4446-8D0B-DBDA90A8C92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FEA-4446-8D0B-DBDA90A8C92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FEA-4446-8D0B-DBDA90A8C92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FEA-4446-8D0B-DBDA90A8C92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FEA-4446-8D0B-DBDA90A8C92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FEA-4446-8D0B-DBDA90A8C92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FEA-4446-8D0B-DBDA90A8C92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FEA-4446-8D0B-DBDA90A8C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F80-49C3-959D-633451281B6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F80-49C3-959D-633451281B6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F80-49C3-959D-633451281B6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F80-49C3-959D-633451281B6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F80-49C3-959D-633451281B6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F80-49C3-959D-633451281B6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F80-49C3-959D-633451281B6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F80-49C3-959D-633451281B6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F80-49C3-959D-633451281B6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F80-49C3-959D-633451281B6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F80-49C3-959D-633451281B6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F80-49C3-959D-633451281B6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F80-49C3-959D-633451281B6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F80-49C3-959D-633451281B6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F80-49C3-959D-633451281B6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F80-49C3-959D-633451281B6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F80-49C3-959D-633451281B6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F80-49C3-959D-633451281B6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F80-49C3-959D-633451281B6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F80-49C3-959D-633451281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F80-49C3-959D-633451281B60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6ED-4429-821A-0242096984E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6ED-4429-821A-0242096984E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6ED-4429-821A-0242096984E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6ED-4429-821A-0242096984E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6ED-4429-821A-0242096984E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6ED-4429-821A-0242096984E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6ED-4429-821A-0242096984E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6ED-4429-821A-0242096984E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6ED-4429-821A-0242096984E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6ED-4429-821A-0242096984E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6ED-4429-821A-0242096984E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6ED-4429-821A-0242096984E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6ED-4429-821A-0242096984E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6ED-4429-821A-0242096984E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6ED-4429-821A-0242096984E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6ED-4429-821A-0242096984E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6ED-4429-821A-0242096984E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6ED-4429-821A-0242096984E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6ED-4429-821A-0242096984E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6ED-4429-821A-024209698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46A-4FB6-8002-A5629194589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46A-4FB6-8002-A5629194589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46A-4FB6-8002-A5629194589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46A-4FB6-8002-A5629194589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46A-4FB6-8002-A5629194589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46A-4FB6-8002-A5629194589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46A-4FB6-8002-A5629194589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46A-4FB6-8002-A5629194589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46A-4FB6-8002-A5629194589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46A-4FB6-8002-A5629194589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46A-4FB6-8002-A5629194589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46A-4FB6-8002-A5629194589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46A-4FB6-8002-A5629194589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46A-4FB6-8002-A5629194589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46A-4FB6-8002-A5629194589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46A-4FB6-8002-A5629194589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46A-4FB6-8002-A5629194589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46A-4FB6-8002-A5629194589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46A-4FB6-8002-A5629194589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46A-4FB6-8002-A56291945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A28-46F7-A4E6-7B8A75AE9B4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A28-46F7-A4E6-7B8A75AE9B4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A28-46F7-A4E6-7B8A75AE9B4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A28-46F7-A4E6-7B8A75AE9B4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A28-46F7-A4E6-7B8A75AE9B4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A28-46F7-A4E6-7B8A75AE9B4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A28-46F7-A4E6-7B8A75AE9B4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A28-46F7-A4E6-7B8A75AE9B4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A28-46F7-A4E6-7B8A75AE9B4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A28-46F7-A4E6-7B8A75AE9B4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A28-46F7-A4E6-7B8A75AE9B4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A28-46F7-A4E6-7B8A75AE9B4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A28-46F7-A4E6-7B8A75AE9B4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A28-46F7-A4E6-7B8A75AE9B4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A28-46F7-A4E6-7B8A75AE9B4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A28-46F7-A4E6-7B8A75AE9B4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A28-46F7-A4E6-7B8A75AE9B4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A28-46F7-A4E6-7B8A75AE9B4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A28-46F7-A4E6-7B8A75AE9B4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A28-46F7-A4E6-7B8A75AE9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49B-4D93-AF65-84D88C52147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49B-4D93-AF65-84D88C52147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49B-4D93-AF65-84D88C52147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49B-4D93-AF65-84D88C52147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49B-4D93-AF65-84D88C52147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49B-4D93-AF65-84D88C52147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49B-4D93-AF65-84D88C52147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49B-4D93-AF65-84D88C52147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49B-4D93-AF65-84D88C52147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49B-4D93-AF65-84D88C52147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49B-4D93-AF65-84D88C52147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49B-4D93-AF65-84D88C52147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49B-4D93-AF65-84D88C52147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49B-4D93-AF65-84D88C52147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49B-4D93-AF65-84D88C52147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49B-4D93-AF65-84D88C52147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49B-4D93-AF65-84D88C52147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49B-4D93-AF65-84D88C52147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49B-4D93-AF65-84D88C52147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49B-4D93-AF65-84D88C521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E9B-4F6B-885F-D56E9CE707C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E9B-4F6B-885F-D56E9CE707C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E9B-4F6B-885F-D56E9CE707C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E9B-4F6B-885F-D56E9CE707C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E9B-4F6B-885F-D56E9CE707C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E9B-4F6B-885F-D56E9CE707C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E9B-4F6B-885F-D56E9CE707C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E9B-4F6B-885F-D56E9CE707C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E9B-4F6B-885F-D56E9CE707C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E9B-4F6B-885F-D56E9CE707C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E9B-4F6B-885F-D56E9CE707C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E9B-4F6B-885F-D56E9CE707C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E9B-4F6B-885F-D56E9CE707C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E9B-4F6B-885F-D56E9CE707C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E9B-4F6B-885F-D56E9CE707C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E9B-4F6B-885F-D56E9CE707C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E9B-4F6B-885F-D56E9CE707C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E9B-4F6B-885F-D56E9CE707C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E9B-4F6B-885F-D56E9CE707C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E9B-4F6B-885F-D56E9CE70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E9B-4F6B-885F-D56E9CE707C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4FA-4A88-AD1A-3C9F609654ED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4FA-4A88-AD1A-3C9F609654ED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4FA-4A88-AD1A-3C9F609654ED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4FA-4A88-AD1A-3C9F609654ED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4FA-4A88-AD1A-3C9F609654ED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4FA-4A88-AD1A-3C9F609654ED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4FA-4A88-AD1A-3C9F609654ED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4FA-4A88-AD1A-3C9F609654ED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4FA-4A88-AD1A-3C9F609654ED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4FA-4A88-AD1A-3C9F609654ED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4FA-4A88-AD1A-3C9F609654ED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4FA-4A88-AD1A-3C9F609654ED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4FA-4A88-AD1A-3C9F609654ED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4FA-4A88-AD1A-3C9F609654ED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4FA-4A88-AD1A-3C9F609654ED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4FA-4A88-AD1A-3C9F609654ED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4FA-4A88-AD1A-3C9F609654ED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4FA-4A88-AD1A-3C9F609654ED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4FA-4A88-AD1A-3C9F609654ED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4FA-4A88-AD1A-3C9F60965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44FA-4A88-AD1A-3C9F609654ED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437-4471-A934-8371584F719E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437-4471-A934-8371584F719E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437-4471-A934-8371584F719E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437-4471-A934-8371584F719E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437-4471-A934-8371584F719E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437-4471-A934-8371584F719E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437-4471-A934-8371584F719E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437-4471-A934-8371584F719E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437-4471-A934-8371584F719E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437-4471-A934-8371584F719E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437-4471-A934-8371584F719E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437-4471-A934-8371584F719E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437-4471-A934-8371584F719E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437-4471-A934-8371584F719E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437-4471-A934-8371584F719E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437-4471-A934-8371584F719E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437-4471-A934-8371584F719E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437-4471-A934-8371584F719E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437-4471-A934-8371584F719E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437-4471-A934-8371584F7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437-4471-A934-8371584F719E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1A7-43B5-B0FD-1373EC196F4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1A7-43B5-B0FD-1373EC196F4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1A7-43B5-B0FD-1373EC196F4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1A7-43B5-B0FD-1373EC196F4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1A7-43B5-B0FD-1373EC196F4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1A7-43B5-B0FD-1373EC196F4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1A7-43B5-B0FD-1373EC196F4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1A7-43B5-B0FD-1373EC196F4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1A7-43B5-B0FD-1373EC196F4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1A7-43B5-B0FD-1373EC196F4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1A7-43B5-B0FD-1373EC196F4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1A7-43B5-B0FD-1373EC196F4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1A7-43B5-B0FD-1373EC196F4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1A7-43B5-B0FD-1373EC196F4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1A7-43B5-B0FD-1373EC196F4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1A7-43B5-B0FD-1373EC196F4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1A7-43B5-B0FD-1373EC196F4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1A7-43B5-B0FD-1373EC196F4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1A7-43B5-B0FD-1373EC196F4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1A7-43B5-B0FD-1373EC196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1A7-43B5-B0FD-1373EC196F46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CD7-4C31-9A0D-B447F6877AEA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CD7-4C31-9A0D-B447F6877AEA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CD7-4C31-9A0D-B447F6877AEA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CD7-4C31-9A0D-B447F6877AEA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CD7-4C31-9A0D-B447F6877AEA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CD7-4C31-9A0D-B447F6877AEA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9CD7-4C31-9A0D-B447F6877AEA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CD7-4C31-9A0D-B447F6877AEA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9CD7-4C31-9A0D-B447F6877AEA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CD7-4C31-9A0D-B447F6877AEA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CD7-4C31-9A0D-B447F6877AEA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9CD7-4C31-9A0D-B447F6877AEA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9CD7-4C31-9A0D-B447F6877AEA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9CD7-4C31-9A0D-B447F6877AEA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9CD7-4C31-9A0D-B447F6877AEA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9CD7-4C31-9A0D-B447F6877AEA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9CD7-4C31-9A0D-B447F6877AEA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9CD7-4C31-9A0D-B447F6877AEA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9CD7-4C31-9A0D-B447F6877AEA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9CD7-4C31-9A0D-B447F6877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ACB-4611-B385-E2D948775AC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ACB-4611-B385-E2D948775AC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ACB-4611-B385-E2D948775AC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ACB-4611-B385-E2D948775AC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ACB-4611-B385-E2D948775AC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ACB-4611-B385-E2D948775AC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ACB-4611-B385-E2D948775AC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ACB-4611-B385-E2D948775AC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ACB-4611-B385-E2D948775AC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ACB-4611-B385-E2D948775AC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ACB-4611-B385-E2D948775AC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ACB-4611-B385-E2D948775AC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ACB-4611-B385-E2D948775AC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ACB-4611-B385-E2D948775AC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ACB-4611-B385-E2D948775AC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ACB-4611-B385-E2D948775AC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ACB-4611-B385-E2D948775AC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ACB-4611-B385-E2D948775AC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ACB-4611-B385-E2D948775AC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ACB-4611-B385-E2D948775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CACB-4611-B385-E2D948775AC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01F-49CC-9872-4367DE891FA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01F-49CC-9872-4367DE891FA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501F-49CC-9872-4367DE891FA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01F-49CC-9872-4367DE891FA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01F-49CC-9872-4367DE891FA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01F-49CC-9872-4367DE891FA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01F-49CC-9872-4367DE891FA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01F-49CC-9872-4367DE891FA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01F-49CC-9872-4367DE891FA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01F-49CC-9872-4367DE891FA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01F-49CC-9872-4367DE891FA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01F-49CC-9872-4367DE891FA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01F-49CC-9872-4367DE891FA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01F-49CC-9872-4367DE891FA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01F-49CC-9872-4367DE891FA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01F-49CC-9872-4367DE891FA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01F-49CC-9872-4367DE891FA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01F-49CC-9872-4367DE891FA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01F-49CC-9872-4367DE891FA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01F-49CC-9872-4367DE891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264-4189-931B-5D3CC3B492E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264-4189-931B-5D3CC3B492E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264-4189-931B-5D3CC3B492E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264-4189-931B-5D3CC3B492E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264-4189-931B-5D3CC3B492E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264-4189-931B-5D3CC3B492E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264-4189-931B-5D3CC3B492E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264-4189-931B-5D3CC3B492E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264-4189-931B-5D3CC3B492E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264-4189-931B-5D3CC3B492E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264-4189-931B-5D3CC3B492E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264-4189-931B-5D3CC3B492E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264-4189-931B-5D3CC3B492E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264-4189-931B-5D3CC3B492E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264-4189-931B-5D3CC3B492E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264-4189-931B-5D3CC3B492E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264-4189-931B-5D3CC3B492E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264-4189-931B-5D3CC3B492E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264-4189-931B-5D3CC3B492E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264-4189-931B-5D3CC3B49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8DF-4FB3-85FB-097AD4EF1B7D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8DF-4FB3-85FB-097AD4EF1B7D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8DF-4FB3-85FB-097AD4EF1B7D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8DF-4FB3-85FB-097AD4EF1B7D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8DF-4FB3-85FB-097AD4EF1B7D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8DF-4FB3-85FB-097AD4EF1B7D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8DF-4FB3-85FB-097AD4EF1B7D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8DF-4FB3-85FB-097AD4EF1B7D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8DF-4FB3-85FB-097AD4EF1B7D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8DF-4FB3-85FB-097AD4EF1B7D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8DF-4FB3-85FB-097AD4EF1B7D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8DF-4FB3-85FB-097AD4EF1B7D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8DF-4FB3-85FB-097AD4EF1B7D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8DF-4FB3-85FB-097AD4EF1B7D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8DF-4FB3-85FB-097AD4EF1B7D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8DF-4FB3-85FB-097AD4EF1B7D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8DF-4FB3-85FB-097AD4EF1B7D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8DF-4FB3-85FB-097AD4EF1B7D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8DF-4FB3-85FB-097AD4EF1B7D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8DF-4FB3-85FB-097AD4EF1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A8D-47F9-A47C-9797729807CB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A8D-47F9-A47C-9797729807CB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A8D-47F9-A47C-9797729807CB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A8D-47F9-A47C-9797729807CB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A8D-47F9-A47C-9797729807CB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A8D-47F9-A47C-9797729807CB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A8D-47F9-A47C-9797729807CB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A8D-47F9-A47C-9797729807CB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A8D-47F9-A47C-9797729807CB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A8D-47F9-A47C-9797729807CB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A8D-47F9-A47C-9797729807CB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A8D-47F9-A47C-9797729807CB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A8D-47F9-A47C-9797729807CB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A8D-47F9-A47C-9797729807CB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A8D-47F9-A47C-9797729807CB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A8D-47F9-A47C-9797729807CB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A8D-47F9-A47C-9797729807CB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A8D-47F9-A47C-9797729807CB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A8D-47F9-A47C-9797729807CB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A8D-47F9-A47C-979772980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D37-4788-8AEB-47A531033F4A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D37-4788-8AEB-47A531033F4A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D37-4788-8AEB-47A531033F4A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D37-4788-8AEB-47A531033F4A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D37-4788-8AEB-47A531033F4A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D37-4788-8AEB-47A531033F4A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D37-4788-8AEB-47A531033F4A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D37-4788-8AEB-47A531033F4A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D37-4788-8AEB-47A531033F4A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D37-4788-8AEB-47A531033F4A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D37-4788-8AEB-47A531033F4A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D37-4788-8AEB-47A531033F4A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D37-4788-8AEB-47A531033F4A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D37-4788-8AEB-47A531033F4A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D37-4788-8AEB-47A531033F4A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D37-4788-8AEB-47A531033F4A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D37-4788-8AEB-47A531033F4A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D37-4788-8AEB-47A531033F4A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D37-4788-8AEB-47A531033F4A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D37-4788-8AEB-47A531033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2D37-4788-8AEB-47A531033F4A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78C-42E4-AF60-8B21E5DFDEAB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78C-42E4-AF60-8B21E5DFDEAB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78C-42E4-AF60-8B21E5DFDEAB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78C-42E4-AF60-8B21E5DFDEAB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78C-42E4-AF60-8B21E5DFDEAB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78C-42E4-AF60-8B21E5DFDEAB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78C-42E4-AF60-8B21E5DFDEAB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78C-42E4-AF60-8B21E5DFDEAB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78C-42E4-AF60-8B21E5DFDEAB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78C-42E4-AF60-8B21E5DFDEAB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78C-42E4-AF60-8B21E5DFDEAB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78C-42E4-AF60-8B21E5DFDEAB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78C-42E4-AF60-8B21E5DFDEAB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78C-42E4-AF60-8B21E5DFDEAB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78C-42E4-AF60-8B21E5DFDEAB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78C-42E4-AF60-8B21E5DFDEAB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78C-42E4-AF60-8B21E5DFDEAB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78C-42E4-AF60-8B21E5DFDEAB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78C-42E4-AF60-8B21E5DFDEAB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78C-42E4-AF60-8B21E5DFD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F78C-42E4-AF60-8B21E5DFDEAB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D4A-4BA2-82B9-65ACF5616624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D4A-4BA2-82B9-65ACF5616624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5D4A-4BA2-82B9-65ACF5616624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D4A-4BA2-82B9-65ACF5616624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D4A-4BA2-82B9-65ACF5616624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D4A-4BA2-82B9-65ACF5616624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D4A-4BA2-82B9-65ACF5616624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D4A-4BA2-82B9-65ACF5616624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D4A-4BA2-82B9-65ACF5616624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D4A-4BA2-82B9-65ACF5616624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D4A-4BA2-82B9-65ACF5616624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D4A-4BA2-82B9-65ACF5616624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D4A-4BA2-82B9-65ACF5616624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D4A-4BA2-82B9-65ACF5616624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D4A-4BA2-82B9-65ACF5616624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D4A-4BA2-82B9-65ACF5616624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D4A-4BA2-82B9-65ACF5616624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D4A-4BA2-82B9-65ACF5616624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D4A-4BA2-82B9-65ACF5616624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D4A-4BA2-82B9-65ACF5616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5D4A-4BA2-82B9-65ACF5616624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36E-4359-8B45-113C3A3CE0B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36E-4359-8B45-113C3A3CE0B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36E-4359-8B45-113C3A3CE0B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36E-4359-8B45-113C3A3CE0B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36E-4359-8B45-113C3A3CE0B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36E-4359-8B45-113C3A3CE0B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36E-4359-8B45-113C3A3CE0B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36E-4359-8B45-113C3A3CE0B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36E-4359-8B45-113C3A3CE0B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36E-4359-8B45-113C3A3CE0B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6E-4359-8B45-113C3A3CE0B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6E-4359-8B45-113C3A3CE0B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36E-4359-8B45-113C3A3CE0B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36E-4359-8B45-113C3A3CE0B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36E-4359-8B45-113C3A3CE0B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36E-4359-8B45-113C3A3CE0B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36E-4359-8B45-113C3A3CE0B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36E-4359-8B45-113C3A3CE0B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36E-4359-8B45-113C3A3CE0B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36E-4359-8B45-113C3A3CE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636E-4359-8B45-113C3A3CE0B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F66-4A29-87C5-21B03CF35A3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F66-4A29-87C5-21B03CF35A3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F66-4A29-87C5-21B03CF35A3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F66-4A29-87C5-21B03CF35A3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F66-4A29-87C5-21B03CF35A3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F66-4A29-87C5-21B03CF35A3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F66-4A29-87C5-21B03CF35A3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F66-4A29-87C5-21B03CF35A3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F66-4A29-87C5-21B03CF35A3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F66-4A29-87C5-21B03CF35A3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F66-4A29-87C5-21B03CF35A3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F66-4A29-87C5-21B03CF35A3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F66-4A29-87C5-21B03CF35A3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F66-4A29-87C5-21B03CF35A3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F66-4A29-87C5-21B03CF35A3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F66-4A29-87C5-21B03CF35A3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F66-4A29-87C5-21B03CF35A3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F66-4A29-87C5-21B03CF35A3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F66-4A29-87C5-21B03CF35A3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F66-4A29-87C5-21B03CF35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F7E-4A62-8480-757D3BF2D724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F7E-4A62-8480-757D3BF2D724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F7E-4A62-8480-757D3BF2D724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F7E-4A62-8480-757D3BF2D724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F7E-4A62-8480-757D3BF2D724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F7E-4A62-8480-757D3BF2D724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F7E-4A62-8480-757D3BF2D724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F7E-4A62-8480-757D3BF2D724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F7E-4A62-8480-757D3BF2D724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F7E-4A62-8480-757D3BF2D724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F7E-4A62-8480-757D3BF2D724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F7E-4A62-8480-757D3BF2D724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F7E-4A62-8480-757D3BF2D724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F7E-4A62-8480-757D3BF2D724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F7E-4A62-8480-757D3BF2D724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F7E-4A62-8480-757D3BF2D724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F7E-4A62-8480-757D3BF2D724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F7E-4A62-8480-757D3BF2D724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F7E-4A62-8480-757D3BF2D724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F7E-4A62-8480-757D3BF2D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F7E-4A62-8480-757D3BF2D724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D31-427B-AC33-883814703F9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D31-427B-AC33-883814703F9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D31-427B-AC33-883814703F9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D31-427B-AC33-883814703F9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D31-427B-AC33-883814703F9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D31-427B-AC33-883814703F9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D31-427B-AC33-883814703F9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D31-427B-AC33-883814703F9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D31-427B-AC33-883814703F9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D31-427B-AC33-883814703F9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D31-427B-AC33-883814703F9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D31-427B-AC33-883814703F9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D31-427B-AC33-883814703F9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D31-427B-AC33-883814703F9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D31-427B-AC33-883814703F9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D31-427B-AC33-883814703F9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D31-427B-AC33-883814703F9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D31-427B-AC33-883814703F9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D31-427B-AC33-883814703F9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D31-427B-AC33-883814703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9CB-42F6-9985-CB6D9A76605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9CB-42F6-9985-CB6D9A76605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9CB-42F6-9985-CB6D9A76605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9CB-42F6-9985-CB6D9A76605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9CB-42F6-9985-CB6D9A76605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9CB-42F6-9985-CB6D9A76605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9CB-42F6-9985-CB6D9A76605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9CB-42F6-9985-CB6D9A76605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9CB-42F6-9985-CB6D9A76605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9CB-42F6-9985-CB6D9A76605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9CB-42F6-9985-CB6D9A76605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9CB-42F6-9985-CB6D9A76605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9CB-42F6-9985-CB6D9A76605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9CB-42F6-9985-CB6D9A76605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9CB-42F6-9985-CB6D9A76605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9CB-42F6-9985-CB6D9A76605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9CB-42F6-9985-CB6D9A76605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9CB-42F6-9985-CB6D9A76605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9CB-42F6-9985-CB6D9A76605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9CB-42F6-9985-CB6D9A766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960-437D-8061-CA89874EFA3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960-437D-8061-CA89874EFA3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960-437D-8061-CA89874EFA3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960-437D-8061-CA89874EFA3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960-437D-8061-CA89874EFA3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960-437D-8061-CA89874EFA3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960-437D-8061-CA89874EFA3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960-437D-8061-CA89874EFA3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960-437D-8061-CA89874EFA3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960-437D-8061-CA89874EFA3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960-437D-8061-CA89874EFA3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960-437D-8061-CA89874EFA3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960-437D-8061-CA89874EFA3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960-437D-8061-CA89874EFA3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960-437D-8061-CA89874EFA3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960-437D-8061-CA89874EFA3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960-437D-8061-CA89874EFA3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960-437D-8061-CA89874EFA3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960-437D-8061-CA89874EFA3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960-437D-8061-CA89874EF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FE7-44BB-8F93-6C9E59D412E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FE7-44BB-8F93-6C9E59D412E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FE7-44BB-8F93-6C9E59D412E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FE7-44BB-8F93-6C9E59D412E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FE7-44BB-8F93-6C9E59D412E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FE7-44BB-8F93-6C9E59D412E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FE7-44BB-8F93-6C9E59D412E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FE7-44BB-8F93-6C9E59D412E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FE7-44BB-8F93-6C9E59D412E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FE7-44BB-8F93-6C9E59D412E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FE7-44BB-8F93-6C9E59D412E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FE7-44BB-8F93-6C9E59D412E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FE7-44BB-8F93-6C9E59D412E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FE7-44BB-8F93-6C9E59D412E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FE7-44BB-8F93-6C9E59D412E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FE7-44BB-8F93-6C9E59D412E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FE7-44BB-8F93-6C9E59D412E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FE7-44BB-8F93-6C9E59D412E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FE7-44BB-8F93-6C9E59D412E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FE7-44BB-8F93-6C9E59D41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73A-4E5C-97AC-2F900D91497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73A-4E5C-97AC-2F900D91497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73A-4E5C-97AC-2F900D91497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73A-4E5C-97AC-2F900D91497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73A-4E5C-97AC-2F900D91497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73A-4E5C-97AC-2F900D91497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73A-4E5C-97AC-2F900D91497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73A-4E5C-97AC-2F900D91497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73A-4E5C-97AC-2F900D91497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73A-4E5C-97AC-2F900D91497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73A-4E5C-97AC-2F900D91497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73A-4E5C-97AC-2F900D91497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73A-4E5C-97AC-2F900D91497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73A-4E5C-97AC-2F900D91497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73A-4E5C-97AC-2F900D91497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73A-4E5C-97AC-2F900D91497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73A-4E5C-97AC-2F900D91497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73A-4E5C-97AC-2F900D91497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73A-4E5C-97AC-2F900D91497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73A-4E5C-97AC-2F900D914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73A-4E5C-97AC-2F900D914973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DAB-4A2F-9953-3A8C907AFE3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DAB-4A2F-9953-3A8C907AFE3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DAB-4A2F-9953-3A8C907AFE3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DAB-4A2F-9953-3A8C907AFE3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DAB-4A2F-9953-3A8C907AFE3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DAB-4A2F-9953-3A8C907AFE3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DAB-4A2F-9953-3A8C907AFE3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DAB-4A2F-9953-3A8C907AFE3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DAB-4A2F-9953-3A8C907AFE3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DAB-4A2F-9953-3A8C907AFE3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DAB-4A2F-9953-3A8C907AFE3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DAB-4A2F-9953-3A8C907AFE3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DAB-4A2F-9953-3A8C907AFE3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DAB-4A2F-9953-3A8C907AFE3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DAB-4A2F-9953-3A8C907AFE3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DAB-4A2F-9953-3A8C907AFE3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DAB-4A2F-9953-3A8C907AFE3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DAB-4A2F-9953-3A8C907AFE3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DAB-4A2F-9953-3A8C907AFE3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DAB-4A2F-9953-3A8C907AF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DAB-4A2F-9953-3A8C907AFE38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6AE-4C1E-A325-99F757B9FC9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6AE-4C1E-A325-99F757B9FC9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6AE-4C1E-A325-99F757B9FC9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6AE-4C1E-A325-99F757B9FC9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6AE-4C1E-A325-99F757B9FC9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6AE-4C1E-A325-99F757B9FC9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6AE-4C1E-A325-99F757B9FC9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6AE-4C1E-A325-99F757B9FC9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6AE-4C1E-A325-99F757B9FC9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6AE-4C1E-A325-99F757B9FC9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6AE-4C1E-A325-99F757B9FC9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6AE-4C1E-A325-99F757B9FC9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6AE-4C1E-A325-99F757B9FC9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6AE-4C1E-A325-99F757B9FC9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6AE-4C1E-A325-99F757B9FC9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6AE-4C1E-A325-99F757B9FC9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6AE-4C1E-A325-99F757B9FC9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6AE-4C1E-A325-99F757B9FC9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6AE-4C1E-A325-99F757B9FC9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6AE-4C1E-A325-99F757B9F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6AE-4C1E-A325-99F757B9FC98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E0A-46FA-B4B5-8517345F885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E0A-46FA-B4B5-8517345F885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E0A-46FA-B4B5-8517345F885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E0A-46FA-B4B5-8517345F885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E0A-46FA-B4B5-8517345F885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E0A-46FA-B4B5-8517345F885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E0A-46FA-B4B5-8517345F885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E0A-46FA-B4B5-8517345F885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E0A-46FA-B4B5-8517345F885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E0A-46FA-B4B5-8517345F885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E0A-46FA-B4B5-8517345F885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E0A-46FA-B4B5-8517345F885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E0A-46FA-B4B5-8517345F885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E0A-46FA-B4B5-8517345F885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E0A-46FA-B4B5-8517345F885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E0A-46FA-B4B5-8517345F885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E0A-46FA-B4B5-8517345F885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E0A-46FA-B4B5-8517345F885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E0A-46FA-B4B5-8517345F885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E0A-46FA-B4B5-8517345F8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E0A-46FA-B4B5-8517345F885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835-4948-ADD6-A411B821345C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835-4948-ADD6-A411B821345C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835-4948-ADD6-A411B821345C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835-4948-ADD6-A411B821345C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835-4948-ADD6-A411B821345C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835-4948-ADD6-A411B821345C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835-4948-ADD6-A411B821345C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835-4948-ADD6-A411B821345C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835-4948-ADD6-A411B821345C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835-4948-ADD6-A411B821345C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835-4948-ADD6-A411B821345C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835-4948-ADD6-A411B821345C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835-4948-ADD6-A411B821345C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835-4948-ADD6-A411B821345C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835-4948-ADD6-A411B821345C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835-4948-ADD6-A411B821345C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835-4948-ADD6-A411B821345C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835-4948-ADD6-A411B821345C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835-4948-ADD6-A411B821345C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835-4948-ADD6-A411B8213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5" Type="http://schemas.openxmlformats.org/officeDocument/2006/relationships/chart" Target="../charts/chart3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10" Type="http://schemas.openxmlformats.org/officeDocument/2006/relationships/chart" Target="../charts/chart52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0.xml"/><Relationship Id="rId3" Type="http://schemas.openxmlformats.org/officeDocument/2006/relationships/chart" Target="../charts/chart55.xml"/><Relationship Id="rId7" Type="http://schemas.openxmlformats.org/officeDocument/2006/relationships/chart" Target="../charts/chart59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6" Type="http://schemas.openxmlformats.org/officeDocument/2006/relationships/chart" Target="../charts/chart58.xml"/><Relationship Id="rId5" Type="http://schemas.openxmlformats.org/officeDocument/2006/relationships/chart" Target="../charts/chart57.xml"/><Relationship Id="rId10" Type="http://schemas.openxmlformats.org/officeDocument/2006/relationships/chart" Target="../charts/chart62.xml"/><Relationship Id="rId4" Type="http://schemas.openxmlformats.org/officeDocument/2006/relationships/chart" Target="../charts/chart56.xml"/><Relationship Id="rId9" Type="http://schemas.openxmlformats.org/officeDocument/2006/relationships/chart" Target="../charts/chart61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0.xml"/><Relationship Id="rId3" Type="http://schemas.openxmlformats.org/officeDocument/2006/relationships/chart" Target="../charts/chart65.xml"/><Relationship Id="rId7" Type="http://schemas.openxmlformats.org/officeDocument/2006/relationships/chart" Target="../charts/chart69.xml"/><Relationship Id="rId2" Type="http://schemas.openxmlformats.org/officeDocument/2006/relationships/chart" Target="../charts/chart64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5" Type="http://schemas.openxmlformats.org/officeDocument/2006/relationships/chart" Target="../charts/chart67.xml"/><Relationship Id="rId10" Type="http://schemas.openxmlformats.org/officeDocument/2006/relationships/chart" Target="../charts/chart72.xml"/><Relationship Id="rId4" Type="http://schemas.openxmlformats.org/officeDocument/2006/relationships/chart" Target="../charts/chart66.xml"/><Relationship Id="rId9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4</xdr:row>
      <xdr:rowOff>0</xdr:rowOff>
    </xdr:from>
    <xdr:to>
      <xdr:col>21</xdr:col>
      <xdr:colOff>170993</xdr:colOff>
      <xdr:row>5</xdr:row>
      <xdr:rowOff>133314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C61C9885-3D0D-45BE-9393-F5A3F28DB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5375" y="3657600"/>
          <a:ext cx="3657143" cy="28571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11</xdr:col>
      <xdr:colOff>132534</xdr:colOff>
      <xdr:row>21</xdr:row>
      <xdr:rowOff>9371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F5ACD4B2-321E-4D62-A323-6560EEA4AD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981200"/>
          <a:ext cx="6523809" cy="122857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24</xdr:col>
      <xdr:colOff>142204</xdr:colOff>
      <xdr:row>10</xdr:row>
      <xdr:rowOff>114267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F7F60ED5-CB59-F672-D7C7-84EF8A0FE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15375" y="8534400"/>
          <a:ext cx="5371429" cy="26666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19</xdr:row>
      <xdr:rowOff>0</xdr:rowOff>
    </xdr:from>
    <xdr:to>
      <xdr:col>22</xdr:col>
      <xdr:colOff>0</xdr:colOff>
      <xdr:row>31</xdr:row>
      <xdr:rowOff>19050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C81E8B1-46E9-4B47-800E-31803B8D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15375" y="2438400"/>
          <a:ext cx="4067175" cy="18478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12</xdr:row>
      <xdr:rowOff>0</xdr:rowOff>
    </xdr:from>
    <xdr:to>
      <xdr:col>20</xdr:col>
      <xdr:colOff>523446</xdr:colOff>
      <xdr:row>16</xdr:row>
      <xdr:rowOff>28495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ED1AC581-CD3C-4AEC-9065-7721B4DB2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15375" y="1828800"/>
          <a:ext cx="3428571" cy="6380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4</xdr:row>
      <xdr:rowOff>0</xdr:rowOff>
    </xdr:from>
    <xdr:to>
      <xdr:col>21</xdr:col>
      <xdr:colOff>466231</xdr:colOff>
      <xdr:row>5</xdr:row>
      <xdr:rowOff>133314</xdr:rowOff>
    </xdr:to>
    <xdr:pic>
      <xdr:nvPicPr>
        <xdr:cNvPr id="7" name="Picture 1">
          <a:extLst>
            <a:ext uri="{FF2B5EF4-FFF2-40B4-BE49-F238E27FC236}">
              <a16:creationId xmlns:a16="http://schemas.microsoft.com/office/drawing/2014/main" id="{3EAD5B93-76F8-4D4D-A4C7-9573C6F9A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5375" y="609600"/>
          <a:ext cx="3952381" cy="28571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26</xdr:col>
      <xdr:colOff>46820</xdr:colOff>
      <xdr:row>10</xdr:row>
      <xdr:rowOff>133314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6D64B8F5-23A6-4CDE-B62B-CCF52AC5E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1371600"/>
          <a:ext cx="6438095" cy="28571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21</xdr:col>
      <xdr:colOff>9088</xdr:colOff>
      <xdr:row>30</xdr:row>
      <xdr:rowOff>152152</xdr:rowOff>
    </xdr:to>
    <xdr:pic>
      <xdr:nvPicPr>
        <xdr:cNvPr id="11" name="Picture 6">
          <a:extLst>
            <a:ext uri="{FF2B5EF4-FFF2-40B4-BE49-F238E27FC236}">
              <a16:creationId xmlns:a16="http://schemas.microsoft.com/office/drawing/2014/main" id="{1B8C2013-73B8-43A5-AA54-29E8358B2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15375" y="2438400"/>
          <a:ext cx="3495238" cy="19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13</xdr:col>
      <xdr:colOff>151437</xdr:colOff>
      <xdr:row>20</xdr:row>
      <xdr:rowOff>152248</xdr:rowOff>
    </xdr:to>
    <xdr:pic>
      <xdr:nvPicPr>
        <xdr:cNvPr id="12" name="Picture 4">
          <a:extLst>
            <a:ext uri="{FF2B5EF4-FFF2-40B4-BE49-F238E27FC236}">
              <a16:creationId xmlns:a16="http://schemas.microsoft.com/office/drawing/2014/main" id="{7BFC8F5B-4AC3-41D4-82CD-39DAC0B5C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981200"/>
          <a:ext cx="7704762" cy="1219048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12</xdr:row>
      <xdr:rowOff>0</xdr:rowOff>
    </xdr:from>
    <xdr:to>
      <xdr:col>20</xdr:col>
      <xdr:colOff>47256</xdr:colOff>
      <xdr:row>14</xdr:row>
      <xdr:rowOff>152343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F312F355-3DB9-4DF1-BD5A-68EE7CFF6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15375" y="1828800"/>
          <a:ext cx="2952381" cy="4571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4</xdr:row>
      <xdr:rowOff>0</xdr:rowOff>
    </xdr:from>
    <xdr:to>
      <xdr:col>0</xdr:col>
      <xdr:colOff>2876775</xdr:colOff>
      <xdr:row>38</xdr:row>
      <xdr:rowOff>1950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B621A19F-E372-475B-9DA1-429C007A05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104775</xdr:colOff>
      <xdr:row>4</xdr:row>
      <xdr:rowOff>0</xdr:rowOff>
    </xdr:from>
    <xdr:to>
      <xdr:col>1</xdr:col>
      <xdr:colOff>2876775</xdr:colOff>
      <xdr:row>38</xdr:row>
      <xdr:rowOff>1950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7662EFA8-66A2-45DA-ACF2-61DE147DC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104775</xdr:colOff>
      <xdr:row>41</xdr:row>
      <xdr:rowOff>0</xdr:rowOff>
    </xdr:from>
    <xdr:to>
      <xdr:col>0</xdr:col>
      <xdr:colOff>2876775</xdr:colOff>
      <xdr:row>75</xdr:row>
      <xdr:rowOff>1950</xdr:rowOff>
    </xdr:to>
    <xdr:graphicFrame macro="">
      <xdr:nvGraphicFramePr>
        <xdr:cNvPr id="4" name="graph3">
          <a:extLst>
            <a:ext uri="{FF2B5EF4-FFF2-40B4-BE49-F238E27FC236}">
              <a16:creationId xmlns:a16="http://schemas.microsoft.com/office/drawing/2014/main" id="{D2D1B42F-5A8B-4B86-B9A6-A0C2678B12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</xdr:col>
      <xdr:colOff>104775</xdr:colOff>
      <xdr:row>41</xdr:row>
      <xdr:rowOff>0</xdr:rowOff>
    </xdr:from>
    <xdr:to>
      <xdr:col>1</xdr:col>
      <xdr:colOff>2876775</xdr:colOff>
      <xdr:row>75</xdr:row>
      <xdr:rowOff>1950</xdr:rowOff>
    </xdr:to>
    <xdr:graphicFrame macro="">
      <xdr:nvGraphicFramePr>
        <xdr:cNvPr id="5" name="graph4">
          <a:extLst>
            <a:ext uri="{FF2B5EF4-FFF2-40B4-BE49-F238E27FC236}">
              <a16:creationId xmlns:a16="http://schemas.microsoft.com/office/drawing/2014/main" id="{8064FD82-47AC-4BD3-AEE7-D25A808198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0</xdr:col>
      <xdr:colOff>104775</xdr:colOff>
      <xdr:row>84</xdr:row>
      <xdr:rowOff>0</xdr:rowOff>
    </xdr:from>
    <xdr:to>
      <xdr:col>0</xdr:col>
      <xdr:colOff>2876775</xdr:colOff>
      <xdr:row>118</xdr:row>
      <xdr:rowOff>1950</xdr:rowOff>
    </xdr:to>
    <xdr:graphicFrame macro="">
      <xdr:nvGraphicFramePr>
        <xdr:cNvPr id="6" name="graph5">
          <a:extLst>
            <a:ext uri="{FF2B5EF4-FFF2-40B4-BE49-F238E27FC236}">
              <a16:creationId xmlns:a16="http://schemas.microsoft.com/office/drawing/2014/main" id="{5C71DC6D-050E-4624-A08B-347CE16B66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1</xdr:col>
      <xdr:colOff>104775</xdr:colOff>
      <xdr:row>84</xdr:row>
      <xdr:rowOff>0</xdr:rowOff>
    </xdr:from>
    <xdr:to>
      <xdr:col>1</xdr:col>
      <xdr:colOff>2876775</xdr:colOff>
      <xdr:row>118</xdr:row>
      <xdr:rowOff>1950</xdr:rowOff>
    </xdr:to>
    <xdr:graphicFrame macro="">
      <xdr:nvGraphicFramePr>
        <xdr:cNvPr id="7" name="graph6">
          <a:extLst>
            <a:ext uri="{FF2B5EF4-FFF2-40B4-BE49-F238E27FC236}">
              <a16:creationId xmlns:a16="http://schemas.microsoft.com/office/drawing/2014/main" id="{40C754B5-BD7E-456B-AC54-97B309B9AD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0</xdr:col>
      <xdr:colOff>104775</xdr:colOff>
      <xdr:row>121</xdr:row>
      <xdr:rowOff>0</xdr:rowOff>
    </xdr:from>
    <xdr:to>
      <xdr:col>0</xdr:col>
      <xdr:colOff>2876775</xdr:colOff>
      <xdr:row>155</xdr:row>
      <xdr:rowOff>1950</xdr:rowOff>
    </xdr:to>
    <xdr:graphicFrame macro="">
      <xdr:nvGraphicFramePr>
        <xdr:cNvPr id="8" name="graph7">
          <a:extLst>
            <a:ext uri="{FF2B5EF4-FFF2-40B4-BE49-F238E27FC236}">
              <a16:creationId xmlns:a16="http://schemas.microsoft.com/office/drawing/2014/main" id="{DB77C01E-7B50-4529-823D-89AB5620F3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1</xdr:col>
      <xdr:colOff>104775</xdr:colOff>
      <xdr:row>121</xdr:row>
      <xdr:rowOff>0</xdr:rowOff>
    </xdr:from>
    <xdr:to>
      <xdr:col>1</xdr:col>
      <xdr:colOff>2876775</xdr:colOff>
      <xdr:row>155</xdr:row>
      <xdr:rowOff>1950</xdr:rowOff>
    </xdr:to>
    <xdr:graphicFrame macro="">
      <xdr:nvGraphicFramePr>
        <xdr:cNvPr id="9" name="graph8">
          <a:extLst>
            <a:ext uri="{FF2B5EF4-FFF2-40B4-BE49-F238E27FC236}">
              <a16:creationId xmlns:a16="http://schemas.microsoft.com/office/drawing/2014/main" id="{5EE28F28-A137-44E4-B59D-B581C3462E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twoCellAnchor>
    <xdr:from>
      <xdr:col>0</xdr:col>
      <xdr:colOff>104775</xdr:colOff>
      <xdr:row>164</xdr:row>
      <xdr:rowOff>0</xdr:rowOff>
    </xdr:from>
    <xdr:to>
      <xdr:col>0</xdr:col>
      <xdr:colOff>2876775</xdr:colOff>
      <xdr:row>198</xdr:row>
      <xdr:rowOff>1950</xdr:rowOff>
    </xdr:to>
    <xdr:graphicFrame macro="">
      <xdr:nvGraphicFramePr>
        <xdr:cNvPr id="10" name="graph9">
          <a:extLst>
            <a:ext uri="{FF2B5EF4-FFF2-40B4-BE49-F238E27FC236}">
              <a16:creationId xmlns:a16="http://schemas.microsoft.com/office/drawing/2014/main" id="{7A77045C-E1C9-44A1-A119-B0923E448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twoCellAnchor>
    <xdr:from>
      <xdr:col>1</xdr:col>
      <xdr:colOff>104775</xdr:colOff>
      <xdr:row>164</xdr:row>
      <xdr:rowOff>0</xdr:rowOff>
    </xdr:from>
    <xdr:to>
      <xdr:col>1</xdr:col>
      <xdr:colOff>2876775</xdr:colOff>
      <xdr:row>198</xdr:row>
      <xdr:rowOff>1950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BD4075DB-3F5C-4D29-953B-C448601E9C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>
    <xdr:from>
      <xdr:col>0</xdr:col>
      <xdr:colOff>104775</xdr:colOff>
      <xdr:row>201</xdr:row>
      <xdr:rowOff>0</xdr:rowOff>
    </xdr:from>
    <xdr:to>
      <xdr:col>0</xdr:col>
      <xdr:colOff>2876775</xdr:colOff>
      <xdr:row>235</xdr:row>
      <xdr:rowOff>1950</xdr:rowOff>
    </xdr:to>
    <xdr:graphicFrame macro="">
      <xdr:nvGraphicFramePr>
        <xdr:cNvPr id="12" name="graph11">
          <a:extLst>
            <a:ext uri="{FF2B5EF4-FFF2-40B4-BE49-F238E27FC236}">
              <a16:creationId xmlns:a16="http://schemas.microsoft.com/office/drawing/2014/main" id="{E6EE3934-6735-4CCB-9BBD-E5E6A050B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>
    <xdr:from>
      <xdr:col>1</xdr:col>
      <xdr:colOff>104775</xdr:colOff>
      <xdr:row>201</xdr:row>
      <xdr:rowOff>0</xdr:rowOff>
    </xdr:from>
    <xdr:to>
      <xdr:col>1</xdr:col>
      <xdr:colOff>2876775</xdr:colOff>
      <xdr:row>235</xdr:row>
      <xdr:rowOff>1950</xdr:rowOff>
    </xdr:to>
    <xdr:graphicFrame macro="">
      <xdr:nvGraphicFramePr>
        <xdr:cNvPr id="13" name="graph12">
          <a:extLst>
            <a:ext uri="{FF2B5EF4-FFF2-40B4-BE49-F238E27FC236}">
              <a16:creationId xmlns:a16="http://schemas.microsoft.com/office/drawing/2014/main" id="{24E5EE77-FB45-4430-8687-065728BC5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LocksWithSheet="0"/>
  </xdr:twoCellAnchor>
  <xdr:twoCellAnchor>
    <xdr:from>
      <xdr:col>0</xdr:col>
      <xdr:colOff>104775</xdr:colOff>
      <xdr:row>244</xdr:row>
      <xdr:rowOff>0</xdr:rowOff>
    </xdr:from>
    <xdr:to>
      <xdr:col>0</xdr:col>
      <xdr:colOff>2876775</xdr:colOff>
      <xdr:row>278</xdr:row>
      <xdr:rowOff>1950</xdr:rowOff>
    </xdr:to>
    <xdr:graphicFrame macro="">
      <xdr:nvGraphicFramePr>
        <xdr:cNvPr id="14" name="graph13">
          <a:extLst>
            <a:ext uri="{FF2B5EF4-FFF2-40B4-BE49-F238E27FC236}">
              <a16:creationId xmlns:a16="http://schemas.microsoft.com/office/drawing/2014/main" id="{A3835BF0-53F1-4F86-AAAB-1A396C8780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 fLocksWithSheet="0"/>
  </xdr:twoCellAnchor>
  <xdr:twoCellAnchor>
    <xdr:from>
      <xdr:col>1</xdr:col>
      <xdr:colOff>104775</xdr:colOff>
      <xdr:row>244</xdr:row>
      <xdr:rowOff>0</xdr:rowOff>
    </xdr:from>
    <xdr:to>
      <xdr:col>1</xdr:col>
      <xdr:colOff>2876775</xdr:colOff>
      <xdr:row>278</xdr:row>
      <xdr:rowOff>1950</xdr:rowOff>
    </xdr:to>
    <xdr:graphicFrame macro="">
      <xdr:nvGraphicFramePr>
        <xdr:cNvPr id="15" name="graph14">
          <a:extLst>
            <a:ext uri="{FF2B5EF4-FFF2-40B4-BE49-F238E27FC236}">
              <a16:creationId xmlns:a16="http://schemas.microsoft.com/office/drawing/2014/main" id="{61C6784A-0CA7-417B-BF30-980CF4CE78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 fLocksWithSheet="0"/>
  </xdr:twoCellAnchor>
  <xdr:twoCellAnchor>
    <xdr:from>
      <xdr:col>0</xdr:col>
      <xdr:colOff>104775</xdr:colOff>
      <xdr:row>281</xdr:row>
      <xdr:rowOff>0</xdr:rowOff>
    </xdr:from>
    <xdr:to>
      <xdr:col>0</xdr:col>
      <xdr:colOff>2876775</xdr:colOff>
      <xdr:row>315</xdr:row>
      <xdr:rowOff>1950</xdr:rowOff>
    </xdr:to>
    <xdr:graphicFrame macro="">
      <xdr:nvGraphicFramePr>
        <xdr:cNvPr id="16" name="graph15">
          <a:extLst>
            <a:ext uri="{FF2B5EF4-FFF2-40B4-BE49-F238E27FC236}">
              <a16:creationId xmlns:a16="http://schemas.microsoft.com/office/drawing/2014/main" id="{B4F39E48-9463-4CBB-B133-513B6BE44D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 fLocksWithSheet="0"/>
  </xdr:twoCellAnchor>
  <xdr:twoCellAnchor>
    <xdr:from>
      <xdr:col>1</xdr:col>
      <xdr:colOff>104775</xdr:colOff>
      <xdr:row>281</xdr:row>
      <xdr:rowOff>0</xdr:rowOff>
    </xdr:from>
    <xdr:to>
      <xdr:col>1</xdr:col>
      <xdr:colOff>2876775</xdr:colOff>
      <xdr:row>315</xdr:row>
      <xdr:rowOff>1950</xdr:rowOff>
    </xdr:to>
    <xdr:graphicFrame macro="">
      <xdr:nvGraphicFramePr>
        <xdr:cNvPr id="17" name="graph16">
          <a:extLst>
            <a:ext uri="{FF2B5EF4-FFF2-40B4-BE49-F238E27FC236}">
              <a16:creationId xmlns:a16="http://schemas.microsoft.com/office/drawing/2014/main" id="{8FCA82BC-ACFA-4AE3-8CF8-5460993554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 fLocksWithSheet="0"/>
  </xdr:twoCellAnchor>
  <xdr:twoCellAnchor>
    <xdr:from>
      <xdr:col>0</xdr:col>
      <xdr:colOff>104775</xdr:colOff>
      <xdr:row>324</xdr:row>
      <xdr:rowOff>0</xdr:rowOff>
    </xdr:from>
    <xdr:to>
      <xdr:col>0</xdr:col>
      <xdr:colOff>2876775</xdr:colOff>
      <xdr:row>358</xdr:row>
      <xdr:rowOff>1950</xdr:rowOff>
    </xdr:to>
    <xdr:graphicFrame macro="">
      <xdr:nvGraphicFramePr>
        <xdr:cNvPr id="18" name="graph17">
          <a:extLst>
            <a:ext uri="{FF2B5EF4-FFF2-40B4-BE49-F238E27FC236}">
              <a16:creationId xmlns:a16="http://schemas.microsoft.com/office/drawing/2014/main" id="{FFB7D5D8-0FB8-4A99-996D-D5AC30DAB6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 fLocksWithSheet="0"/>
  </xdr:twoCellAnchor>
  <xdr:twoCellAnchor>
    <xdr:from>
      <xdr:col>1</xdr:col>
      <xdr:colOff>104775</xdr:colOff>
      <xdr:row>324</xdr:row>
      <xdr:rowOff>0</xdr:rowOff>
    </xdr:from>
    <xdr:to>
      <xdr:col>1</xdr:col>
      <xdr:colOff>2876775</xdr:colOff>
      <xdr:row>358</xdr:row>
      <xdr:rowOff>1950</xdr:rowOff>
    </xdr:to>
    <xdr:graphicFrame macro="">
      <xdr:nvGraphicFramePr>
        <xdr:cNvPr id="19" name="graph18">
          <a:extLst>
            <a:ext uri="{FF2B5EF4-FFF2-40B4-BE49-F238E27FC236}">
              <a16:creationId xmlns:a16="http://schemas.microsoft.com/office/drawing/2014/main" id="{3D680F9C-53E6-4B04-82EB-3E63F0C040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 fLocksWithSheet="0"/>
  </xdr:twoCellAnchor>
  <xdr:twoCellAnchor>
    <xdr:from>
      <xdr:col>0</xdr:col>
      <xdr:colOff>104775</xdr:colOff>
      <xdr:row>361</xdr:row>
      <xdr:rowOff>0</xdr:rowOff>
    </xdr:from>
    <xdr:to>
      <xdr:col>0</xdr:col>
      <xdr:colOff>2876775</xdr:colOff>
      <xdr:row>395</xdr:row>
      <xdr:rowOff>1950</xdr:rowOff>
    </xdr:to>
    <xdr:graphicFrame macro="">
      <xdr:nvGraphicFramePr>
        <xdr:cNvPr id="20" name="graph19">
          <a:extLst>
            <a:ext uri="{FF2B5EF4-FFF2-40B4-BE49-F238E27FC236}">
              <a16:creationId xmlns:a16="http://schemas.microsoft.com/office/drawing/2014/main" id="{E85C58DA-C7A8-4604-BD4D-6A66143EAF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 fLocksWithSheet="0"/>
  </xdr:twoCellAnchor>
  <xdr:twoCellAnchor>
    <xdr:from>
      <xdr:col>1</xdr:col>
      <xdr:colOff>104775</xdr:colOff>
      <xdr:row>361</xdr:row>
      <xdr:rowOff>0</xdr:rowOff>
    </xdr:from>
    <xdr:to>
      <xdr:col>1</xdr:col>
      <xdr:colOff>2876775</xdr:colOff>
      <xdr:row>395</xdr:row>
      <xdr:rowOff>1950</xdr:rowOff>
    </xdr:to>
    <xdr:graphicFrame macro="">
      <xdr:nvGraphicFramePr>
        <xdr:cNvPr id="21" name="graph20">
          <a:extLst>
            <a:ext uri="{FF2B5EF4-FFF2-40B4-BE49-F238E27FC236}">
              <a16:creationId xmlns:a16="http://schemas.microsoft.com/office/drawing/2014/main" id="{9DC3C267-360E-4919-9C76-6CA87B7F39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 fLocksWithSheet="0"/>
  </xdr:twoCellAnchor>
  <xdr:twoCellAnchor>
    <xdr:from>
      <xdr:col>0</xdr:col>
      <xdr:colOff>104775</xdr:colOff>
      <xdr:row>404</xdr:row>
      <xdr:rowOff>0</xdr:rowOff>
    </xdr:from>
    <xdr:to>
      <xdr:col>0</xdr:col>
      <xdr:colOff>2876775</xdr:colOff>
      <xdr:row>438</xdr:row>
      <xdr:rowOff>1950</xdr:rowOff>
    </xdr:to>
    <xdr:graphicFrame macro="">
      <xdr:nvGraphicFramePr>
        <xdr:cNvPr id="22" name="graph21">
          <a:extLst>
            <a:ext uri="{FF2B5EF4-FFF2-40B4-BE49-F238E27FC236}">
              <a16:creationId xmlns:a16="http://schemas.microsoft.com/office/drawing/2014/main" id="{4341FC2C-A39C-4610-9818-5FA6C55BA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 fLocksWithSheet="0"/>
  </xdr:twoCellAnchor>
  <xdr:twoCellAnchor>
    <xdr:from>
      <xdr:col>1</xdr:col>
      <xdr:colOff>104775</xdr:colOff>
      <xdr:row>404</xdr:row>
      <xdr:rowOff>0</xdr:rowOff>
    </xdr:from>
    <xdr:to>
      <xdr:col>1</xdr:col>
      <xdr:colOff>2876775</xdr:colOff>
      <xdr:row>438</xdr:row>
      <xdr:rowOff>1950</xdr:rowOff>
    </xdr:to>
    <xdr:graphicFrame macro="">
      <xdr:nvGraphicFramePr>
        <xdr:cNvPr id="23" name="graph22">
          <a:extLst>
            <a:ext uri="{FF2B5EF4-FFF2-40B4-BE49-F238E27FC236}">
              <a16:creationId xmlns:a16="http://schemas.microsoft.com/office/drawing/2014/main" id="{B51CAA15-2E03-46CC-9390-66FA0E5BEB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 fLocksWithSheet="0"/>
  </xdr:twoCellAnchor>
  <xdr:twoCellAnchor>
    <xdr:from>
      <xdr:col>0</xdr:col>
      <xdr:colOff>104775</xdr:colOff>
      <xdr:row>441</xdr:row>
      <xdr:rowOff>0</xdr:rowOff>
    </xdr:from>
    <xdr:to>
      <xdr:col>0</xdr:col>
      <xdr:colOff>2876775</xdr:colOff>
      <xdr:row>475</xdr:row>
      <xdr:rowOff>1950</xdr:rowOff>
    </xdr:to>
    <xdr:graphicFrame macro="">
      <xdr:nvGraphicFramePr>
        <xdr:cNvPr id="24" name="graph23">
          <a:extLst>
            <a:ext uri="{FF2B5EF4-FFF2-40B4-BE49-F238E27FC236}">
              <a16:creationId xmlns:a16="http://schemas.microsoft.com/office/drawing/2014/main" id="{E2426485-AE6F-47A2-9C21-0F4FEDBAF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 fLocksWithSheet="0"/>
  </xdr:twoCellAnchor>
  <xdr:twoCellAnchor>
    <xdr:from>
      <xdr:col>1</xdr:col>
      <xdr:colOff>104775</xdr:colOff>
      <xdr:row>441</xdr:row>
      <xdr:rowOff>0</xdr:rowOff>
    </xdr:from>
    <xdr:to>
      <xdr:col>1</xdr:col>
      <xdr:colOff>2876775</xdr:colOff>
      <xdr:row>475</xdr:row>
      <xdr:rowOff>1950</xdr:rowOff>
    </xdr:to>
    <xdr:graphicFrame macro="">
      <xdr:nvGraphicFramePr>
        <xdr:cNvPr id="25" name="graph24">
          <a:extLst>
            <a:ext uri="{FF2B5EF4-FFF2-40B4-BE49-F238E27FC236}">
              <a16:creationId xmlns:a16="http://schemas.microsoft.com/office/drawing/2014/main" id="{AD925283-5252-4EDD-A9A9-790C6532B0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60</xdr:row>
          <xdr:rowOff>0</xdr:rowOff>
        </xdr:from>
        <xdr:to>
          <xdr:col>21</xdr:col>
          <xdr:colOff>0</xdr:colOff>
          <xdr:row>62</xdr:row>
          <xdr:rowOff>0</xdr:rowOff>
        </xdr:to>
        <xdr:sp macro="" textlink="">
          <xdr:nvSpPr>
            <xdr:cNvPr id="1025" name="btn_csv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csv読込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1</xdr:row>
      <xdr:rowOff>0</xdr:rowOff>
    </xdr:from>
    <xdr:to>
      <xdr:col>1</xdr:col>
      <xdr:colOff>2873925</xdr:colOff>
      <xdr:row>3</xdr:row>
      <xdr:rowOff>4350</xdr:rowOff>
    </xdr:to>
    <xdr:graphicFrame macro="">
      <xdr:nvGraphicFramePr>
        <xdr:cNvPr id="26" name="凡例1">
          <a:extLst>
            <a:ext uri="{FF2B5EF4-FFF2-40B4-BE49-F238E27FC236}">
              <a16:creationId xmlns:a16="http://schemas.microsoft.com/office/drawing/2014/main" id="{A145017E-7678-4B67-BB71-8329E1B941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95250</xdr:colOff>
      <xdr:row>81</xdr:row>
      <xdr:rowOff>0</xdr:rowOff>
    </xdr:from>
    <xdr:to>
      <xdr:col>1</xdr:col>
      <xdr:colOff>2873925</xdr:colOff>
      <xdr:row>83</xdr:row>
      <xdr:rowOff>4350</xdr:rowOff>
    </xdr:to>
    <xdr:graphicFrame macro="">
      <xdr:nvGraphicFramePr>
        <xdr:cNvPr id="27" name="凡例2">
          <a:extLst>
            <a:ext uri="{FF2B5EF4-FFF2-40B4-BE49-F238E27FC236}">
              <a16:creationId xmlns:a16="http://schemas.microsoft.com/office/drawing/2014/main" id="{BBE33479-8E62-46E2-97E3-EE2292B979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95250</xdr:colOff>
      <xdr:row>161</xdr:row>
      <xdr:rowOff>0</xdr:rowOff>
    </xdr:from>
    <xdr:to>
      <xdr:col>1</xdr:col>
      <xdr:colOff>2873925</xdr:colOff>
      <xdr:row>163</xdr:row>
      <xdr:rowOff>4350</xdr:rowOff>
    </xdr:to>
    <xdr:graphicFrame macro="">
      <xdr:nvGraphicFramePr>
        <xdr:cNvPr id="28" name="凡例3">
          <a:extLst>
            <a:ext uri="{FF2B5EF4-FFF2-40B4-BE49-F238E27FC236}">
              <a16:creationId xmlns:a16="http://schemas.microsoft.com/office/drawing/2014/main" id="{BE6E5F27-EC33-4C64-8C80-D8941271E0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95250</xdr:colOff>
      <xdr:row>241</xdr:row>
      <xdr:rowOff>0</xdr:rowOff>
    </xdr:from>
    <xdr:to>
      <xdr:col>1</xdr:col>
      <xdr:colOff>2873925</xdr:colOff>
      <xdr:row>243</xdr:row>
      <xdr:rowOff>4350</xdr:rowOff>
    </xdr:to>
    <xdr:graphicFrame macro="">
      <xdr:nvGraphicFramePr>
        <xdr:cNvPr id="29" name="凡例4">
          <a:extLst>
            <a:ext uri="{FF2B5EF4-FFF2-40B4-BE49-F238E27FC236}">
              <a16:creationId xmlns:a16="http://schemas.microsoft.com/office/drawing/2014/main" id="{A56B9C3B-0837-4A01-AAED-57F33EB7D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95250</xdr:colOff>
      <xdr:row>321</xdr:row>
      <xdr:rowOff>0</xdr:rowOff>
    </xdr:from>
    <xdr:to>
      <xdr:col>1</xdr:col>
      <xdr:colOff>2873925</xdr:colOff>
      <xdr:row>323</xdr:row>
      <xdr:rowOff>4350</xdr:rowOff>
    </xdr:to>
    <xdr:graphicFrame macro="">
      <xdr:nvGraphicFramePr>
        <xdr:cNvPr id="30" name="凡例5">
          <a:extLst>
            <a:ext uri="{FF2B5EF4-FFF2-40B4-BE49-F238E27FC236}">
              <a16:creationId xmlns:a16="http://schemas.microsoft.com/office/drawing/2014/main" id="{0CF31A8D-1DF4-4E52-BFFE-DE67F34FB6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95250</xdr:colOff>
      <xdr:row>401</xdr:row>
      <xdr:rowOff>0</xdr:rowOff>
    </xdr:from>
    <xdr:to>
      <xdr:col>1</xdr:col>
      <xdr:colOff>2873925</xdr:colOff>
      <xdr:row>403</xdr:row>
      <xdr:rowOff>4350</xdr:rowOff>
    </xdr:to>
    <xdr:graphicFrame macro="">
      <xdr:nvGraphicFramePr>
        <xdr:cNvPr id="31" name="凡例6">
          <a:extLst>
            <a:ext uri="{FF2B5EF4-FFF2-40B4-BE49-F238E27FC236}">
              <a16:creationId xmlns:a16="http://schemas.microsoft.com/office/drawing/2014/main" id="{95282FBE-207E-4CD3-97EE-8BBA73C4B8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148" name="btn_conv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7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6149" name="btn_trsf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転送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</xdr:colOff>
      <xdr:row>1</xdr:row>
      <xdr:rowOff>0</xdr:rowOff>
    </xdr:from>
    <xdr:to>
      <xdr:col>17</xdr:col>
      <xdr:colOff>1</xdr:colOff>
      <xdr:row>22</xdr:row>
      <xdr:rowOff>0</xdr:rowOff>
    </xdr:to>
    <xdr:graphicFrame macro="">
      <xdr:nvGraphicFramePr>
        <xdr:cNvPr id="2" name="grp_wave">
          <a:extLst>
            <a:ext uri="{FF2B5EF4-FFF2-40B4-BE49-F238E27FC236}">
              <a16:creationId xmlns:a16="http://schemas.microsoft.com/office/drawing/2014/main" id="{FE3EF80B-416E-458D-84E6-43E4120210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▼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22</xdr:row>
      <xdr:rowOff>123824</xdr:rowOff>
    </xdr:from>
    <xdr:to>
      <xdr:col>17</xdr:col>
      <xdr:colOff>0</xdr:colOff>
      <xdr:row>56</xdr:row>
      <xdr:rowOff>123824</xdr:rowOff>
    </xdr:to>
    <xdr:graphicFrame macro="">
      <xdr:nvGraphicFramePr>
        <xdr:cNvPr id="3" name="grp_pSv">
          <a:extLst>
            <a:ext uri="{FF2B5EF4-FFF2-40B4-BE49-F238E27FC236}">
              <a16:creationId xmlns:a16="http://schemas.microsoft.com/office/drawing/2014/main" id="{8431F9E1-2523-4C36-9887-D3AA71DFB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236642</xdr:colOff>
      <xdr:row>31</xdr:row>
      <xdr:rowOff>100016</xdr:rowOff>
    </xdr:from>
    <xdr:to>
      <xdr:col>16</xdr:col>
      <xdr:colOff>516564</xdr:colOff>
      <xdr:row>54</xdr:row>
      <xdr:rowOff>7152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CDAE07CA-A08F-4B0F-B725-8479405F6A9C}"/>
            </a:ext>
          </a:extLst>
        </xdr:cNvPr>
        <xdr:cNvGrpSpPr/>
      </xdr:nvGrpSpPr>
      <xdr:grpSpPr>
        <a:xfrm>
          <a:off x="12819167" y="3938591"/>
          <a:ext cx="4928122" cy="2755111"/>
          <a:chOff x="12485793" y="4186242"/>
          <a:chExt cx="4928122" cy="2755111"/>
        </a:xfrm>
      </xdr:grpSpPr>
      <xdr:sp macro="" textlink="">
        <xdr:nvSpPr>
          <xdr:cNvPr id="5" name="正方形/長方形 4">
            <a:extLst>
              <a:ext uri="{FF2B5EF4-FFF2-40B4-BE49-F238E27FC236}">
                <a16:creationId xmlns:a16="http://schemas.microsoft.com/office/drawing/2014/main" id="{B50B248E-D5C7-4E97-94FC-EF96F75CE68B}"/>
              </a:ext>
            </a:extLst>
          </xdr:cNvPr>
          <xdr:cNvSpPr/>
        </xdr:nvSpPr>
        <xdr:spPr>
          <a:xfrm rot="19680000">
            <a:off x="12529966" y="6791312"/>
            <a:ext cx="209476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C76FAE65-A869-6778-B9A7-4B1646814E30}"/>
              </a:ext>
            </a:extLst>
          </xdr:cNvPr>
          <xdr:cNvSpPr/>
        </xdr:nvSpPr>
        <xdr:spPr>
          <a:xfrm rot="19680000">
            <a:off x="12524922" y="5786440"/>
            <a:ext cx="267184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7" name="正方形/長方形 6">
            <a:extLst>
              <a:ext uri="{FF2B5EF4-FFF2-40B4-BE49-F238E27FC236}">
                <a16:creationId xmlns:a16="http://schemas.microsoft.com/office/drawing/2014/main" id="{693A5146-87E6-89C1-360F-80B3E09BA99D}"/>
              </a:ext>
            </a:extLst>
          </xdr:cNvPr>
          <xdr:cNvSpPr/>
        </xdr:nvSpPr>
        <xdr:spPr>
          <a:xfrm rot="19680000">
            <a:off x="12485793" y="4652962"/>
            <a:ext cx="821695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10000(cm/sec</a:t>
            </a:r>
            <a:r>
              <a:rPr kumimoji="1" lang="en-US" altLang="ja-JP" sz="900" baseline="300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2</a:t>
            </a:r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)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7226E3FE-E166-DDC4-D57C-1281BF30BC64}"/>
              </a:ext>
            </a:extLst>
          </xdr:cNvPr>
          <xdr:cNvSpPr/>
        </xdr:nvSpPr>
        <xdr:spPr>
          <a:xfrm rot="1920000">
            <a:off x="17335010" y="6243645"/>
            <a:ext cx="57708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9" name="正方形/長方形 8">
            <a:extLst>
              <a:ext uri="{FF2B5EF4-FFF2-40B4-BE49-F238E27FC236}">
                <a16:creationId xmlns:a16="http://schemas.microsoft.com/office/drawing/2014/main" id="{392E25C9-A43B-AFA0-5BED-B42547D9131E}"/>
              </a:ext>
            </a:extLst>
          </xdr:cNvPr>
          <xdr:cNvSpPr/>
        </xdr:nvSpPr>
        <xdr:spPr>
          <a:xfrm rot="1920000">
            <a:off x="17277577" y="5233987"/>
            <a:ext cx="115416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10" name="正方形/長方形 9">
            <a:extLst>
              <a:ext uri="{FF2B5EF4-FFF2-40B4-BE49-F238E27FC236}">
                <a16:creationId xmlns:a16="http://schemas.microsoft.com/office/drawing/2014/main" id="{3F8CE7AD-C7F2-60A3-C8C9-8E98EB4C6B68}"/>
              </a:ext>
            </a:extLst>
          </xdr:cNvPr>
          <xdr:cNvSpPr/>
        </xdr:nvSpPr>
        <xdr:spPr>
          <a:xfrm rot="1920000">
            <a:off x="17028040" y="4186242"/>
            <a:ext cx="385875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100(cm)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6C737460-3BEC-44C5-BF8D-FD9FB61A6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F0238480-5BB5-45F6-8E95-9C53327919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F38EB160-7A06-401E-9BEA-1BFEE066E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BA8EF50E-5344-41AB-91B3-70D235D43A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5D641EB7-5140-455F-8734-DDD915EAC3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F9B3E31B-6D6E-43D1-B8CE-A725B485A4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52C8769A-2926-4C5B-B64E-DC7EAD1F4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B73FCDE6-C34B-435D-A408-D1EF72B0A5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F074A0F8-D9FF-4649-8985-3B6AA3F13A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3105DD74-44D4-488B-8E24-30AD45035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CD9290C-ABDF-4542-8CF6-27FDF2F6FA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15AD1704-4832-456F-9D1A-325D38C975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491E81E5-59F2-4F73-8D66-D9AE5CFC8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91C37AC4-FF33-42CA-9EF5-972C457EAB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4D987068-960D-4B91-AF47-80170EB73B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2AFB8E8C-0E5C-489C-AE04-0D30F12135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3F836E58-0F5C-4EAB-8EAD-13F202F55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B985D6E3-8729-44DC-A31E-9774C09EE4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FB598E4F-3F6E-4D53-A030-3782EC6ED5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40AEAC11-652A-414E-AD20-A84901196F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CBC13BC-41C0-4136-BB1C-EC6EA878B3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B6023635-DC4F-4F62-84FE-862E569E08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6CB1E3F4-CAAE-4BC2-807E-653DAF58D7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F36382E0-A3E7-4B7C-A2EF-D751AF9556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B21C6E9B-F8D8-46E5-8C21-FEC44B7525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0DB08CEB-4754-4979-B696-A8BF72FE5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53279795-CA45-43AF-BA25-50C625F434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79FB604B-95B2-4629-BA1A-0644C2AC6A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333C2C93-F71A-453F-AD82-CEAC2854F2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10F12852-D1EC-4B0A-B1A1-0AB551CD86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A0CD409-488B-4351-8C71-2BD2E9BE32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CCF85EAA-E227-4D46-A221-91BB281D9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FC713FAD-DE44-498D-8B9C-9851815C13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85BB746E-1BA5-4CC8-87C4-F9694B2FC4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3DD7AE70-8DA8-4E7F-9634-D1671265FD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BD634AF6-3380-442E-BA0F-D416848B06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14488871-CDB8-4B58-8340-11607D4C9F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80444C26-892A-4134-B0A6-0C5DE54B9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5E8D7581-E3AE-4D4E-9AEA-99847A6F32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9E563CA0-6161-4CC1-9017-7C3618328D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284F6-CED5-4471-B9C3-41EDFCDA69B7}">
  <sheetPr codeName="Sheet11"/>
  <dimension ref="A1:R63"/>
  <sheetViews>
    <sheetView showGridLines="0" zoomScaleNormal="100" workbookViewId="0"/>
  </sheetViews>
  <sheetFormatPr defaultColWidth="8.7109375" defaultRowHeight="12" customHeight="1"/>
  <cols>
    <col min="1" max="16384" width="8.7109375" style="142"/>
  </cols>
  <sheetData>
    <row r="1" spans="1:16" ht="12" customHeight="1">
      <c r="A1" s="142" t="s">
        <v>203</v>
      </c>
      <c r="P1" s="142" t="s">
        <v>235</v>
      </c>
    </row>
    <row r="3" spans="1:16" ht="12" customHeight="1">
      <c r="P3" s="142" t="s">
        <v>234</v>
      </c>
    </row>
    <row r="4" spans="1:16" ht="12" customHeight="1">
      <c r="A4" s="142" t="s">
        <v>204</v>
      </c>
    </row>
    <row r="5" spans="1:16" ht="12" customHeight="1">
      <c r="A5" s="142" t="str">
        <f>"---------"</f>
        <v>---------</v>
      </c>
    </row>
    <row r="6" spans="1:16" ht="12" customHeight="1">
      <c r="A6" s="142" t="s">
        <v>205</v>
      </c>
    </row>
    <row r="7" spans="1:16" ht="12" customHeight="1">
      <c r="A7" s="142" t="s">
        <v>212</v>
      </c>
    </row>
    <row r="8" spans="1:16" ht="12" customHeight="1">
      <c r="P8" s="142" t="s">
        <v>330</v>
      </c>
    </row>
    <row r="10" spans="1:16" ht="12" customHeight="1">
      <c r="A10" s="142" t="s">
        <v>293</v>
      </c>
    </row>
    <row r="11" spans="1:16" ht="12" customHeight="1">
      <c r="A11" s="142" t="str">
        <f>"---------------"</f>
        <v>---------------</v>
      </c>
    </row>
    <row r="12" spans="1:16" ht="12" customHeight="1">
      <c r="A12" s="142" t="s">
        <v>319</v>
      </c>
      <c r="P12" s="142" t="s">
        <v>409</v>
      </c>
    </row>
    <row r="13" spans="1:16" ht="12" customHeight="1">
      <c r="A13" s="142" t="s">
        <v>320</v>
      </c>
    </row>
    <row r="18" spans="1:16" ht="12" customHeight="1">
      <c r="P18" s="142" t="s">
        <v>207</v>
      </c>
    </row>
    <row r="23" spans="1:16" ht="12" customHeight="1">
      <c r="A23" s="142" t="s">
        <v>309</v>
      </c>
    </row>
    <row r="24" spans="1:16" ht="12" customHeight="1">
      <c r="A24" s="142" t="s">
        <v>295</v>
      </c>
    </row>
    <row r="25" spans="1:16" ht="12" customHeight="1">
      <c r="A25" s="142" t="s">
        <v>296</v>
      </c>
    </row>
    <row r="26" spans="1:16" ht="12" customHeight="1">
      <c r="A26" s="142" t="s">
        <v>321</v>
      </c>
    </row>
    <row r="27" spans="1:16" ht="12" customHeight="1">
      <c r="A27" s="142" t="s">
        <v>297</v>
      </c>
    </row>
    <row r="28" spans="1:16" ht="12" customHeight="1">
      <c r="A28" s="142" t="s">
        <v>308</v>
      </c>
    </row>
    <row r="29" spans="1:16" ht="12" customHeight="1">
      <c r="A29" s="142" t="s">
        <v>298</v>
      </c>
    </row>
    <row r="30" spans="1:16" ht="12" customHeight="1">
      <c r="A30" s="142" t="s">
        <v>310</v>
      </c>
    </row>
    <row r="31" spans="1:16" ht="12" customHeight="1">
      <c r="A31" s="142" t="s">
        <v>299</v>
      </c>
    </row>
    <row r="32" spans="1:16" ht="12" customHeight="1">
      <c r="A32" s="142" t="s">
        <v>301</v>
      </c>
    </row>
    <row r="33" spans="1:18" ht="12" customHeight="1">
      <c r="A33" s="142" t="s">
        <v>322</v>
      </c>
      <c r="P33" s="142" t="s">
        <v>206</v>
      </c>
    </row>
    <row r="34" spans="1:18" ht="12" customHeight="1">
      <c r="A34" s="142" t="s">
        <v>298</v>
      </c>
      <c r="P34" s="142" t="s">
        <v>329</v>
      </c>
    </row>
    <row r="35" spans="1:18" ht="12" customHeight="1">
      <c r="A35" s="142" t="s">
        <v>323</v>
      </c>
      <c r="P35" s="142" t="s">
        <v>274</v>
      </c>
    </row>
    <row r="36" spans="1:18" ht="12" customHeight="1">
      <c r="A36" s="142" t="s">
        <v>302</v>
      </c>
    </row>
    <row r="37" spans="1:18" ht="12" customHeight="1">
      <c r="A37" s="142" t="s">
        <v>303</v>
      </c>
      <c r="P37" s="142" t="s">
        <v>213</v>
      </c>
    </row>
    <row r="38" spans="1:18" ht="12" customHeight="1">
      <c r="A38" s="142" t="s">
        <v>304</v>
      </c>
      <c r="P38" s="142" t="s">
        <v>214</v>
      </c>
    </row>
    <row r="39" spans="1:18" ht="12" customHeight="1">
      <c r="A39" s="142" t="s">
        <v>305</v>
      </c>
    </row>
    <row r="40" spans="1:18" ht="12" customHeight="1">
      <c r="A40" s="142" t="s">
        <v>315</v>
      </c>
      <c r="P40" s="142" t="s">
        <v>264</v>
      </c>
    </row>
    <row r="41" spans="1:18" ht="12" customHeight="1">
      <c r="A41" s="142" t="s">
        <v>316</v>
      </c>
      <c r="P41" s="142" t="s">
        <v>275</v>
      </c>
      <c r="R41" s="142" t="s">
        <v>273</v>
      </c>
    </row>
    <row r="42" spans="1:18" ht="12" customHeight="1">
      <c r="A42" s="142" t="s">
        <v>298</v>
      </c>
      <c r="P42" s="142" t="s">
        <v>276</v>
      </c>
      <c r="R42" s="142" t="s">
        <v>272</v>
      </c>
    </row>
    <row r="43" spans="1:18" ht="12" customHeight="1">
      <c r="A43" s="142" t="s">
        <v>311</v>
      </c>
    </row>
    <row r="44" spans="1:18" ht="12" customHeight="1">
      <c r="A44" s="142" t="s">
        <v>306</v>
      </c>
      <c r="P44" s="142" t="s">
        <v>233</v>
      </c>
    </row>
    <row r="45" spans="1:18" ht="12" customHeight="1">
      <c r="A45" s="142" t="s">
        <v>317</v>
      </c>
      <c r="P45" s="142" t="s">
        <v>277</v>
      </c>
    </row>
    <row r="46" spans="1:18" ht="12" customHeight="1">
      <c r="A46" s="142" t="s">
        <v>307</v>
      </c>
      <c r="R46" s="142" t="s">
        <v>282</v>
      </c>
    </row>
    <row r="47" spans="1:18" ht="12" customHeight="1">
      <c r="A47" s="142" t="s">
        <v>318</v>
      </c>
      <c r="P47" s="142" t="s">
        <v>278</v>
      </c>
    </row>
    <row r="48" spans="1:18" ht="12" customHeight="1">
      <c r="A48" s="142" t="s">
        <v>324</v>
      </c>
      <c r="R48" s="142" t="s">
        <v>283</v>
      </c>
    </row>
    <row r="49" spans="1:18" ht="12" customHeight="1">
      <c r="A49" s="142" t="s">
        <v>298</v>
      </c>
      <c r="P49" s="142" t="s">
        <v>279</v>
      </c>
    </row>
    <row r="50" spans="1:18" ht="12" customHeight="1">
      <c r="A50" s="142" t="s">
        <v>312</v>
      </c>
      <c r="R50" s="142" t="s">
        <v>284</v>
      </c>
    </row>
    <row r="51" spans="1:18" ht="12" customHeight="1">
      <c r="A51" s="142" t="s">
        <v>313</v>
      </c>
      <c r="P51" s="142" t="s">
        <v>280</v>
      </c>
    </row>
    <row r="52" spans="1:18" ht="12" customHeight="1">
      <c r="A52" s="142" t="s">
        <v>314</v>
      </c>
      <c r="R52" s="142" t="s">
        <v>285</v>
      </c>
    </row>
    <row r="53" spans="1:18" ht="12" customHeight="1">
      <c r="A53" s="142" t="s">
        <v>325</v>
      </c>
      <c r="P53" s="142" t="s">
        <v>281</v>
      </c>
    </row>
    <row r="54" spans="1:18" ht="12" customHeight="1">
      <c r="R54" s="142" t="s">
        <v>286</v>
      </c>
    </row>
    <row r="56" spans="1:18" ht="12" customHeight="1">
      <c r="P56" s="142" t="s">
        <v>265</v>
      </c>
    </row>
    <row r="57" spans="1:18" ht="12" customHeight="1">
      <c r="P57" s="142" t="s">
        <v>287</v>
      </c>
      <c r="R57" s="142" t="s">
        <v>266</v>
      </c>
    </row>
    <row r="58" spans="1:18" ht="12" customHeight="1">
      <c r="P58" s="142" t="s">
        <v>288</v>
      </c>
      <c r="R58" s="142" t="s">
        <v>267</v>
      </c>
    </row>
    <row r="59" spans="1:18" ht="12" customHeight="1">
      <c r="P59" s="142" t="s">
        <v>289</v>
      </c>
      <c r="R59" s="142" t="s">
        <v>268</v>
      </c>
    </row>
    <row r="60" spans="1:18" ht="12" customHeight="1">
      <c r="P60" s="142" t="s">
        <v>326</v>
      </c>
      <c r="R60" s="142" t="s">
        <v>269</v>
      </c>
    </row>
    <row r="61" spans="1:18" ht="12" customHeight="1">
      <c r="P61" s="142" t="s">
        <v>327</v>
      </c>
      <c r="R61" s="142" t="s">
        <v>328</v>
      </c>
    </row>
    <row r="62" spans="1:18" ht="12" customHeight="1">
      <c r="P62" s="142" t="s">
        <v>290</v>
      </c>
      <c r="R62" s="142" t="s">
        <v>270</v>
      </c>
    </row>
    <row r="63" spans="1:18" ht="12" customHeight="1">
      <c r="P63" s="142" t="s">
        <v>291</v>
      </c>
      <c r="R63" s="142" t="s">
        <v>271</v>
      </c>
    </row>
  </sheetData>
  <sheetProtection algorithmName="SHA-512" hashValue="grJkyOcH1LF/aOu5toqaK/gOMJoBHoGFKD7L6atIXO2+y2FV5YT16A+ywA3l5M6TB981Tu48ZZ2GH9JK0zY3ag==" saltValue="Y20AvhYUXvud70793D6kLw==" spinCount="100000" sheet="1" objects="1" scenarios="1" selectLockedCells="1" selectUnlockedCells="1"/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21277-13BD-460F-B82C-7E769C3EC3B2}">
  <sheetPr codeName="Sheet12"/>
  <dimension ref="A1:T63"/>
  <sheetViews>
    <sheetView showGridLines="0" tabSelected="1" zoomScaleNormal="100" workbookViewId="0"/>
  </sheetViews>
  <sheetFormatPr defaultColWidth="8.7109375" defaultRowHeight="12" customHeight="1"/>
  <cols>
    <col min="1" max="16384" width="8.7109375" style="142"/>
  </cols>
  <sheetData>
    <row r="1" spans="1:16" ht="12" customHeight="1">
      <c r="A1" s="142" t="s">
        <v>379</v>
      </c>
      <c r="P1" s="142" t="s">
        <v>235</v>
      </c>
    </row>
    <row r="3" spans="1:16" ht="12" customHeight="1">
      <c r="P3" s="142" t="s">
        <v>331</v>
      </c>
    </row>
    <row r="4" spans="1:16" ht="12" customHeight="1">
      <c r="A4" s="142" t="s">
        <v>380</v>
      </c>
    </row>
    <row r="5" spans="1:16" ht="12" customHeight="1">
      <c r="A5" s="142" t="str">
        <f>"-----------------"</f>
        <v>-----------------</v>
      </c>
    </row>
    <row r="6" spans="1:16" ht="12" customHeight="1">
      <c r="A6" s="142" t="s">
        <v>407</v>
      </c>
    </row>
    <row r="7" spans="1:16" ht="12" customHeight="1">
      <c r="A7" s="142" t="s">
        <v>381</v>
      </c>
    </row>
    <row r="8" spans="1:16" ht="12" customHeight="1">
      <c r="P8" s="142" t="s">
        <v>332</v>
      </c>
    </row>
    <row r="10" spans="1:16" ht="12" customHeight="1">
      <c r="A10" s="142" t="s">
        <v>408</v>
      </c>
    </row>
    <row r="11" spans="1:16" ht="12" customHeight="1">
      <c r="A11" s="142" t="str">
        <f>"-------------"</f>
        <v>-------------</v>
      </c>
    </row>
    <row r="12" spans="1:16" ht="12" customHeight="1">
      <c r="A12" s="142" t="s">
        <v>333</v>
      </c>
      <c r="P12" s="142" t="s">
        <v>409</v>
      </c>
    </row>
    <row r="13" spans="1:16" ht="12" customHeight="1">
      <c r="A13" s="142" t="s">
        <v>334</v>
      </c>
    </row>
    <row r="17" spans="1:16" ht="12" customHeight="1">
      <c r="P17" s="142" t="s">
        <v>335</v>
      </c>
    </row>
    <row r="23" spans="1:16" ht="12" customHeight="1">
      <c r="A23" s="142" t="s">
        <v>336</v>
      </c>
    </row>
    <row r="24" spans="1:16" ht="12" customHeight="1">
      <c r="A24" s="142" t="s">
        <v>337</v>
      </c>
    </row>
    <row r="25" spans="1:16" ht="12" customHeight="1">
      <c r="A25" s="142" t="s">
        <v>385</v>
      </c>
    </row>
    <row r="26" spans="1:16" ht="12" customHeight="1">
      <c r="A26" s="142" t="s">
        <v>386</v>
      </c>
    </row>
    <row r="27" spans="1:16" ht="12" customHeight="1">
      <c r="A27" s="142" t="s">
        <v>338</v>
      </c>
    </row>
    <row r="28" spans="1:16" ht="12" customHeight="1">
      <c r="A28" s="142" t="s">
        <v>339</v>
      </c>
    </row>
    <row r="29" spans="1:16" ht="12" customHeight="1">
      <c r="A29" s="142" t="s">
        <v>340</v>
      </c>
    </row>
    <row r="30" spans="1:16" ht="12" customHeight="1">
      <c r="A30" s="142" t="s">
        <v>341</v>
      </c>
    </row>
    <row r="31" spans="1:16" ht="12" customHeight="1">
      <c r="A31" s="142" t="s">
        <v>342</v>
      </c>
    </row>
    <row r="32" spans="1:16" ht="12" customHeight="1">
      <c r="A32" s="142" t="s">
        <v>344</v>
      </c>
    </row>
    <row r="33" spans="1:20" ht="12" customHeight="1">
      <c r="A33" s="142" t="s">
        <v>345</v>
      </c>
      <c r="P33" s="142" t="s">
        <v>343</v>
      </c>
    </row>
    <row r="34" spans="1:20" ht="12" customHeight="1">
      <c r="A34" s="142" t="s">
        <v>346</v>
      </c>
      <c r="P34" s="142" t="s">
        <v>389</v>
      </c>
      <c r="S34" s="142" t="s">
        <v>390</v>
      </c>
    </row>
    <row r="35" spans="1:20" ht="12" customHeight="1">
      <c r="A35" s="142" t="s">
        <v>341</v>
      </c>
      <c r="P35" s="142" t="s">
        <v>387</v>
      </c>
      <c r="S35" s="142" t="s">
        <v>388</v>
      </c>
    </row>
    <row r="36" spans="1:20" ht="12" customHeight="1">
      <c r="A36" s="142" t="s">
        <v>382</v>
      </c>
    </row>
    <row r="37" spans="1:20" ht="12" customHeight="1">
      <c r="A37" s="142" t="s">
        <v>349</v>
      </c>
      <c r="P37" s="142" t="s">
        <v>347</v>
      </c>
    </row>
    <row r="38" spans="1:20" ht="12" customHeight="1">
      <c r="A38" s="142" t="s">
        <v>350</v>
      </c>
      <c r="P38" s="142" t="s">
        <v>348</v>
      </c>
    </row>
    <row r="39" spans="1:20" ht="12" customHeight="1">
      <c r="A39" s="142" t="s">
        <v>352</v>
      </c>
    </row>
    <row r="40" spans="1:20" ht="12" customHeight="1">
      <c r="A40" s="142" t="s">
        <v>355</v>
      </c>
      <c r="P40" s="142" t="s">
        <v>351</v>
      </c>
    </row>
    <row r="41" spans="1:20" ht="12" customHeight="1">
      <c r="A41" s="142" t="s">
        <v>383</v>
      </c>
      <c r="P41" s="142" t="s">
        <v>353</v>
      </c>
      <c r="T41" s="142" t="s">
        <v>354</v>
      </c>
    </row>
    <row r="42" spans="1:20" ht="12" customHeight="1">
      <c r="A42" s="142" t="s">
        <v>384</v>
      </c>
      <c r="P42" s="142" t="s">
        <v>356</v>
      </c>
      <c r="T42" s="142" t="s">
        <v>357</v>
      </c>
    </row>
    <row r="43" spans="1:20" ht="12" customHeight="1">
      <c r="A43" s="142" t="s">
        <v>358</v>
      </c>
    </row>
    <row r="44" spans="1:20" ht="12" customHeight="1">
      <c r="A44" s="142" t="s">
        <v>341</v>
      </c>
      <c r="P44" s="142" t="s">
        <v>359</v>
      </c>
    </row>
    <row r="45" spans="1:20" ht="12" customHeight="1">
      <c r="A45" s="142" t="s">
        <v>360</v>
      </c>
      <c r="P45" s="142" t="s">
        <v>391</v>
      </c>
    </row>
    <row r="46" spans="1:20" ht="12" customHeight="1">
      <c r="A46" s="142" t="s">
        <v>361</v>
      </c>
      <c r="Q46" s="142" t="s">
        <v>395</v>
      </c>
    </row>
    <row r="47" spans="1:20" ht="12" customHeight="1">
      <c r="A47" s="142" t="s">
        <v>362</v>
      </c>
      <c r="P47" s="142" t="s">
        <v>392</v>
      </c>
    </row>
    <row r="48" spans="1:20" ht="12" customHeight="1">
      <c r="A48" s="142" t="s">
        <v>363</v>
      </c>
      <c r="Q48" s="142" t="s">
        <v>398</v>
      </c>
    </row>
    <row r="49" spans="1:18" ht="12" customHeight="1">
      <c r="A49" s="142" t="s">
        <v>364</v>
      </c>
      <c r="P49" s="142" t="s">
        <v>393</v>
      </c>
    </row>
    <row r="50" spans="1:18" ht="12" customHeight="1">
      <c r="A50" s="142" t="s">
        <v>365</v>
      </c>
      <c r="Q50" s="142" t="s">
        <v>396</v>
      </c>
    </row>
    <row r="51" spans="1:18" ht="12" customHeight="1">
      <c r="A51" s="142" t="s">
        <v>341</v>
      </c>
      <c r="P51" s="142" t="s">
        <v>394</v>
      </c>
    </row>
    <row r="52" spans="1:18" ht="12" customHeight="1">
      <c r="A52" s="142" t="s">
        <v>366</v>
      </c>
      <c r="Q52" s="142" t="s">
        <v>397</v>
      </c>
    </row>
    <row r="53" spans="1:18" ht="12" customHeight="1">
      <c r="A53" s="142" t="s">
        <v>367</v>
      </c>
      <c r="P53" s="142" t="s">
        <v>399</v>
      </c>
    </row>
    <row r="54" spans="1:18" ht="12" customHeight="1">
      <c r="A54" s="142" t="s">
        <v>369</v>
      </c>
      <c r="Q54" s="142" t="s">
        <v>368</v>
      </c>
    </row>
    <row r="55" spans="1:18" ht="12" customHeight="1">
      <c r="A55" s="142" t="s">
        <v>370</v>
      </c>
    </row>
    <row r="56" spans="1:18" ht="12" customHeight="1">
      <c r="P56" s="142" t="s">
        <v>371</v>
      </c>
    </row>
    <row r="57" spans="1:18" ht="12" customHeight="1">
      <c r="P57" s="142" t="s">
        <v>372</v>
      </c>
      <c r="R57" s="142" t="s">
        <v>400</v>
      </c>
    </row>
    <row r="58" spans="1:18" ht="12" customHeight="1">
      <c r="P58" s="142" t="s">
        <v>373</v>
      </c>
      <c r="R58" s="142" t="s">
        <v>401</v>
      </c>
    </row>
    <row r="59" spans="1:18" ht="12" customHeight="1">
      <c r="P59" s="142" t="s">
        <v>374</v>
      </c>
      <c r="R59" s="142" t="s">
        <v>402</v>
      </c>
    </row>
    <row r="60" spans="1:18" ht="12" customHeight="1">
      <c r="P60" s="142" t="s">
        <v>375</v>
      </c>
      <c r="R60" s="142" t="s">
        <v>403</v>
      </c>
    </row>
    <row r="61" spans="1:18" ht="12" customHeight="1">
      <c r="P61" s="142" t="s">
        <v>376</v>
      </c>
      <c r="R61" s="142" t="s">
        <v>404</v>
      </c>
    </row>
    <row r="62" spans="1:18" ht="12" customHeight="1">
      <c r="P62" s="142" t="s">
        <v>377</v>
      </c>
      <c r="R62" s="142" t="s">
        <v>405</v>
      </c>
    </row>
    <row r="63" spans="1:18" ht="12" customHeight="1">
      <c r="P63" s="142" t="s">
        <v>378</v>
      </c>
      <c r="R63" s="142" t="s">
        <v>406</v>
      </c>
    </row>
  </sheetData>
  <sheetProtection algorithmName="SHA-512" hashValue="IhLpra66P0Xt4ZyukfwYJmNWsea6L+B6A9cIOwlOrWinvEtgh3DOEX+fMx09HFEro2w2Hfj1Xr3Q2t2AOgfQlA==" saltValue="H33Vm0DKasSJwMMp8Fbadg==" spinCount="100000" sheet="1" objects="1" scenarios="1" selectLockedCells="1" selectUnlockedCells="1"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8F110-D5C6-4CF7-8C4C-7F403A49193F}">
  <sheetPr codeName="Sheet13"/>
  <dimension ref="A1:AW480"/>
  <sheetViews>
    <sheetView zoomScaleNormal="100" zoomScaleSheetLayoutView="100" workbookViewId="0"/>
  </sheetViews>
  <sheetFormatPr defaultColWidth="8.7109375" defaultRowHeight="9.75" customHeight="1"/>
  <cols>
    <col min="1" max="2" width="44.7109375" style="1" customWidth="1"/>
    <col min="3" max="3" width="8.7109375" style="111"/>
    <col min="4" max="22" width="8.7109375" style="111" customWidth="1"/>
    <col min="23" max="24" width="8.7109375" style="111"/>
    <col min="25" max="40" width="8.7109375" style="111" customWidth="1"/>
    <col min="41" max="42" width="8.7109375" style="111"/>
    <col min="43" max="72" width="8.7109375" style="111" customWidth="1"/>
    <col min="73" max="16384" width="8.7109375" style="111"/>
  </cols>
  <sheetData>
    <row r="1" spans="3:48" s="1" customFormat="1" ht="9.75" customHeight="1">
      <c r="D1" s="2" t="s">
        <v>243</v>
      </c>
      <c r="E1" s="2" t="s">
        <v>244</v>
      </c>
      <c r="F1" s="152" t="s">
        <v>294</v>
      </c>
      <c r="G1" s="152"/>
      <c r="H1" s="152"/>
      <c r="I1" s="152"/>
      <c r="J1" s="152" t="s">
        <v>246</v>
      </c>
      <c r="K1" s="152"/>
      <c r="L1" s="152"/>
      <c r="M1" s="152"/>
      <c r="N1" s="152" t="s">
        <v>247</v>
      </c>
      <c r="O1" s="152"/>
      <c r="P1" s="152"/>
      <c r="Q1" s="152"/>
      <c r="Y1" s="1" t="s">
        <v>208</v>
      </c>
      <c r="Z1" s="1" t="s">
        <v>209</v>
      </c>
      <c r="AA1" s="1" t="s">
        <v>210</v>
      </c>
      <c r="AB1" s="1" t="s">
        <v>211</v>
      </c>
    </row>
    <row r="2" spans="3:48" s="1" customFormat="1" ht="9.75" customHeight="1">
      <c r="D2" s="4" t="s">
        <v>0</v>
      </c>
      <c r="E2" s="4" t="s">
        <v>1</v>
      </c>
      <c r="F2" s="3" t="s">
        <v>245</v>
      </c>
      <c r="G2" s="3" t="s">
        <v>3</v>
      </c>
      <c r="H2" s="3" t="s">
        <v>4</v>
      </c>
      <c r="I2" s="3" t="s">
        <v>5</v>
      </c>
      <c r="J2" s="3" t="s">
        <v>245</v>
      </c>
      <c r="K2" s="3" t="s">
        <v>3</v>
      </c>
      <c r="L2" s="3" t="s">
        <v>4</v>
      </c>
      <c r="M2" s="3" t="s">
        <v>5</v>
      </c>
      <c r="N2" s="3" t="s">
        <v>245</v>
      </c>
      <c r="O2" s="3" t="s">
        <v>3</v>
      </c>
      <c r="P2" s="3" t="s">
        <v>4</v>
      </c>
      <c r="Q2" s="3" t="s">
        <v>5</v>
      </c>
      <c r="S2" s="3" t="s">
        <v>9</v>
      </c>
      <c r="X2" s="1" t="s">
        <v>10</v>
      </c>
      <c r="AB2" s="1">
        <v>20</v>
      </c>
      <c r="AC2" s="1">
        <v>1.3341618486167803</v>
      </c>
      <c r="AD2" s="1">
        <v>-0.5088945263116057</v>
      </c>
      <c r="AE2" s="1">
        <v>0.29935185678567938</v>
      </c>
      <c r="AF2" s="1">
        <v>-0.21510822014908854</v>
      </c>
      <c r="AG2" s="1">
        <v>0.16237403593553296</v>
      </c>
      <c r="AH2" s="1">
        <v>-0.13061847634408741</v>
      </c>
      <c r="AI2" s="1">
        <v>0.10556801402324861</v>
      </c>
      <c r="AJ2" s="1">
        <v>-8.2959670275651584E-2</v>
      </c>
      <c r="AK2" s="1">
        <v>6.3542730102113795E-2</v>
      </c>
      <c r="AL2" s="1">
        <v>-4.8396152794248123E-2</v>
      </c>
      <c r="AM2" s="1">
        <v>3.5786263098471466E-2</v>
      </c>
      <c r="AN2" s="1">
        <v>-2.5014562085209826E-2</v>
      </c>
      <c r="AO2" s="1">
        <v>1.7032674472469731E-2</v>
      </c>
      <c r="AP2" s="1">
        <v>-1.03613485986743E-2</v>
      </c>
      <c r="AQ2" s="1">
        <v>4.6605646674648289E-3</v>
      </c>
      <c r="AR2" s="1">
        <v>-1.4279842410062256E-3</v>
      </c>
      <c r="AS2" s="1">
        <v>3.3255206735881277E-4</v>
      </c>
      <c r="AT2" s="1">
        <v>-3.1213181694814123E-5</v>
      </c>
      <c r="AU2" s="1">
        <v>2.0940936042329773E-6</v>
      </c>
      <c r="AV2" s="1">
        <v>-4.7988145869685975E-7</v>
      </c>
    </row>
    <row r="3" spans="3:48" s="1" customFormat="1" ht="9.75" customHeight="1">
      <c r="C3" s="5" t="s">
        <v>11</v>
      </c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S3" s="6"/>
      <c r="T3" s="144" t="s">
        <v>12</v>
      </c>
      <c r="U3" s="145"/>
      <c r="X3" s="1" t="s">
        <v>13</v>
      </c>
      <c r="Y3" s="1">
        <v>1.4939</v>
      </c>
      <c r="Z3" s="1">
        <v>0.77898849611118237</v>
      </c>
      <c r="AA3" s="1">
        <v>1.3341618486167803</v>
      </c>
      <c r="AB3" s="1">
        <v>19</v>
      </c>
      <c r="AC3" s="1">
        <v>1.3151048169608732</v>
      </c>
      <c r="AD3" s="1">
        <v>-0.46735287651543667</v>
      </c>
      <c r="AE3" s="1">
        <v>0.24070921422536001</v>
      </c>
      <c r="AF3" s="1">
        <v>-0.135857198645227</v>
      </c>
      <c r="AG3" s="1">
        <v>6.6572161015491085E-2</v>
      </c>
      <c r="AH3" s="1">
        <v>-1.8605302208335603E-2</v>
      </c>
      <c r="AI3" s="1">
        <v>-1.6422746054527912E-2</v>
      </c>
      <c r="AJ3" s="1">
        <v>4.0442549563040012E-2</v>
      </c>
      <c r="AK3" s="1">
        <v>-5.3497644781254391E-2</v>
      </c>
      <c r="AL3" s="1">
        <v>5.8887226395806992E-2</v>
      </c>
      <c r="AM3" s="1">
        <v>-5.6820530959371861E-2</v>
      </c>
      <c r="AN3" s="1">
        <v>4.9168240424078087E-2</v>
      </c>
      <c r="AO3" s="1">
        <v>-3.9706804146609244E-2</v>
      </c>
      <c r="AP3" s="1">
        <v>2.7567699101992325E-2</v>
      </c>
      <c r="AQ3" s="1">
        <v>-1.3822459097280941E-2</v>
      </c>
      <c r="AR3" s="1">
        <v>4.7143738934440297E-3</v>
      </c>
      <c r="AS3" s="1">
        <v>-1.2009614561146655E-3</v>
      </c>
      <c r="AT3" s="1">
        <v>1.2719881707819449E-4</v>
      </c>
      <c r="AU3" s="1">
        <v>-7.2589626733731552E-6</v>
      </c>
      <c r="AV3" s="1">
        <v>3.0242966783416228E-7</v>
      </c>
    </row>
    <row r="4" spans="3:48" s="1" customFormat="1" ht="9.75" customHeight="1">
      <c r="C4" s="5" t="str">
        <f>IF(COUNT(S3:S6)=4,IF(COUNTBLANK(D4:Q4)=14,"免震層→","･"),"･")</f>
        <v>･</v>
      </c>
      <c r="D4" s="7"/>
      <c r="E4" s="113"/>
      <c r="F4" s="113"/>
      <c r="G4" s="113"/>
      <c r="H4" s="113"/>
      <c r="I4" s="7"/>
      <c r="J4" s="7"/>
      <c r="K4" s="7"/>
      <c r="L4" s="7"/>
      <c r="M4" s="7"/>
      <c r="N4" s="7"/>
      <c r="O4" s="7"/>
      <c r="P4" s="7"/>
      <c r="Q4" s="7"/>
      <c r="S4" s="7"/>
      <c r="T4" s="144" t="s">
        <v>14</v>
      </c>
      <c r="U4" s="145"/>
      <c r="X4" s="1" t="s">
        <v>15</v>
      </c>
      <c r="Y4" s="1">
        <v>0.51580000000000004</v>
      </c>
      <c r="Z4" s="1">
        <v>0.11247808221901817</v>
      </c>
      <c r="AA4" s="1">
        <v>-0.5088945263116057</v>
      </c>
      <c r="AB4" s="1">
        <v>18</v>
      </c>
      <c r="AC4" s="1">
        <v>1.2859784081867052</v>
      </c>
      <c r="AD4" s="1">
        <v>-0.39582270872865899</v>
      </c>
      <c r="AE4" s="1">
        <v>0.13833685673301865</v>
      </c>
      <c r="AF4" s="1">
        <v>-9.7037021240616306E-3</v>
      </c>
      <c r="AG4" s="1">
        <v>-6.6368376855412012E-2</v>
      </c>
      <c r="AH4" s="1">
        <v>0.10778217244888519</v>
      </c>
      <c r="AI4" s="1">
        <v>-0.11850576878925029</v>
      </c>
      <c r="AJ4" s="1">
        <v>0.10353413876040246</v>
      </c>
      <c r="AK4" s="1">
        <v>-7.2426326171068214E-2</v>
      </c>
      <c r="AL4" s="1">
        <v>3.6605758283624938E-2</v>
      </c>
      <c r="AM4" s="1">
        <v>-3.5588851776933656E-3</v>
      </c>
      <c r="AN4" s="1">
        <v>-2.1212883387410671E-2</v>
      </c>
      <c r="AO4" s="1">
        <v>3.4640541262877536E-2</v>
      </c>
      <c r="AP4" s="1">
        <v>-3.4469253821266435E-2</v>
      </c>
      <c r="AQ4" s="1">
        <v>2.1973187296668275E-2</v>
      </c>
      <c r="AR4" s="1">
        <v>-9.1814806355126274E-3</v>
      </c>
      <c r="AS4" s="1">
        <v>2.7143723754253588E-3</v>
      </c>
      <c r="AT4" s="1">
        <v>-3.3739020232368322E-4</v>
      </c>
      <c r="AU4" s="1">
        <v>2.203293474779596E-5</v>
      </c>
      <c r="AV4" s="1">
        <v>-6.9238969577103167E-7</v>
      </c>
    </row>
    <row r="5" spans="3:48" s="1" customFormat="1" ht="9.75" customHeight="1">
      <c r="C5" s="5" t="str">
        <f>IF(COUNTIF(C$4:C4,"免震層→")=0,IF(COUNT(S$3:S$6)=4,IF(COUNTBLANK(D5:Q5)=14,"免震層→","･"),"･"),"･")</f>
        <v>･</v>
      </c>
      <c r="D5" s="7"/>
      <c r="E5" s="113"/>
      <c r="F5" s="113"/>
      <c r="G5" s="113"/>
      <c r="H5" s="113"/>
      <c r="I5" s="7"/>
      <c r="J5" s="7"/>
      <c r="K5" s="7"/>
      <c r="L5" s="7"/>
      <c r="M5" s="7"/>
      <c r="N5" s="7"/>
      <c r="O5" s="7"/>
      <c r="P5" s="7"/>
      <c r="Q5" s="7"/>
      <c r="S5" s="7"/>
      <c r="T5" s="144" t="s">
        <v>16</v>
      </c>
      <c r="U5" s="145"/>
      <c r="X5" s="1" t="s">
        <v>17</v>
      </c>
      <c r="Y5" s="1">
        <v>0.30630000000000002</v>
      </c>
      <c r="Z5" s="1">
        <v>4.0742663223510847E-2</v>
      </c>
      <c r="AA5" s="1">
        <v>0.29935185678567938</v>
      </c>
      <c r="AB5" s="1">
        <v>17</v>
      </c>
      <c r="AC5" s="1">
        <v>1.2475156216331709</v>
      </c>
      <c r="AD5" s="1">
        <v>-0.30040676297048108</v>
      </c>
      <c r="AE5" s="1">
        <v>1.3050920566929285E-2</v>
      </c>
      <c r="AF5" s="1">
        <v>0.11722813611397877</v>
      </c>
      <c r="AG5" s="1">
        <v>-0.15928152653055602</v>
      </c>
      <c r="AH5" s="1">
        <v>0.14315216714257117</v>
      </c>
      <c r="AI5" s="1">
        <v>-8.6821749414681917E-2</v>
      </c>
      <c r="AJ5" s="1">
        <v>1.7210998104701367E-2</v>
      </c>
      <c r="AK5" s="1">
        <v>3.7659920073952614E-2</v>
      </c>
      <c r="AL5" s="1">
        <v>-6.3550368666198467E-2</v>
      </c>
      <c r="AM5" s="1">
        <v>5.7575734992645636E-2</v>
      </c>
      <c r="AN5" s="1">
        <v>-2.9401082924093529E-2</v>
      </c>
      <c r="AO5" s="1">
        <v>-4.0846855072468706E-3</v>
      </c>
      <c r="AP5" s="1">
        <v>2.6773175743581366E-2</v>
      </c>
      <c r="AQ5" s="1">
        <v>-2.7231515200129341E-2</v>
      </c>
      <c r="AR5" s="1">
        <v>1.5336155681233362E-2</v>
      </c>
      <c r="AS5" s="1">
        <v>-5.4867137735117068E-3</v>
      </c>
      <c r="AT5" s="1">
        <v>8.2322733677220642E-4</v>
      </c>
      <c r="AU5" s="1">
        <v>-6.3863403988263762E-5</v>
      </c>
      <c r="AV5" s="1">
        <v>2.2110013502106619E-6</v>
      </c>
    </row>
    <row r="6" spans="3:48" s="1" customFormat="1" ht="9.75" customHeight="1">
      <c r="C6" s="5" t="str">
        <f>IF(COUNTIF(C$4:C5,"免震層→")=0,IF(COUNT(S$3:S$6)=4,IF(COUNTBLANK(D6:Q6)=14,"免震層→","･"),"･"),"･")</f>
        <v>･</v>
      </c>
      <c r="D6" s="7"/>
      <c r="E6" s="113"/>
      <c r="F6" s="113"/>
      <c r="G6" s="113"/>
      <c r="H6" s="113"/>
      <c r="I6" s="7"/>
      <c r="J6" s="7"/>
      <c r="K6" s="7"/>
      <c r="L6" s="7"/>
      <c r="M6" s="7"/>
      <c r="N6" s="7"/>
      <c r="O6" s="7"/>
      <c r="P6" s="7"/>
      <c r="Q6" s="7"/>
      <c r="S6" s="8"/>
      <c r="T6" s="144" t="s">
        <v>18</v>
      </c>
      <c r="U6" s="145"/>
      <c r="X6" s="1" t="s">
        <v>19</v>
      </c>
      <c r="Y6" s="1">
        <v>0.2218</v>
      </c>
      <c r="Z6" s="1">
        <v>2.2882998083479406E-2</v>
      </c>
      <c r="AA6" s="1">
        <v>0.21585829003017926</v>
      </c>
      <c r="AB6" s="1">
        <v>16</v>
      </c>
      <c r="AC6" s="1">
        <v>1.201111413000157</v>
      </c>
      <c r="AD6" s="1">
        <v>-0.19001477050568921</v>
      </c>
      <c r="AE6" s="1">
        <v>-0.10968297063369384</v>
      </c>
      <c r="AF6" s="1">
        <v>0.20039248588072442</v>
      </c>
      <c r="AG6" s="1">
        <v>-0.162407276304529</v>
      </c>
      <c r="AH6" s="1">
        <v>6.4074865957719829E-2</v>
      </c>
      <c r="AI6" s="1">
        <v>3.6557002732576664E-2</v>
      </c>
      <c r="AJ6" s="1">
        <v>-8.9569653065028176E-2</v>
      </c>
      <c r="AK6" s="1">
        <v>7.9256435154192853E-2</v>
      </c>
      <c r="AL6" s="1">
        <v>-2.9151520629645593E-2</v>
      </c>
      <c r="AM6" s="1">
        <v>-2.2119040317730768E-2</v>
      </c>
      <c r="AN6" s="1">
        <v>4.3835910384868886E-2</v>
      </c>
      <c r="AO6" s="1">
        <v>-2.8677698173961163E-2</v>
      </c>
      <c r="AP6" s="1">
        <v>-5.5342727899552651E-3</v>
      </c>
      <c r="AQ6" s="1">
        <v>2.5953844939613505E-2</v>
      </c>
      <c r="AR6" s="1">
        <v>-2.2376270083204228E-2</v>
      </c>
      <c r="AS6" s="1">
        <v>1.0039384069946748E-2</v>
      </c>
      <c r="AT6" s="1">
        <v>-1.8540928021633359E-3</v>
      </c>
      <c r="AU6" s="1">
        <v>1.7334961628362875E-4</v>
      </c>
      <c r="AV6" s="1">
        <v>-7.1264304828929018E-6</v>
      </c>
    </row>
    <row r="7" spans="3:48" s="1" customFormat="1" ht="9.75" customHeight="1">
      <c r="C7" s="5" t="str">
        <f>IF(COUNTIF(C$4:C6,"免震層→")=0,IF(COUNT(S$3:S$6)=4,IF(COUNTBLANK(D7:Q7)=14,"免震層→","･"),"･"),"･")</f>
        <v>･</v>
      </c>
      <c r="D7" s="7"/>
      <c r="E7" s="113"/>
      <c r="F7" s="113"/>
      <c r="G7" s="113"/>
      <c r="H7" s="113"/>
      <c r="I7" s="7"/>
      <c r="J7" s="7"/>
      <c r="K7" s="7"/>
      <c r="L7" s="7"/>
      <c r="M7" s="7"/>
      <c r="N7" s="7"/>
      <c r="O7" s="7"/>
      <c r="P7" s="7"/>
      <c r="Q7" s="7"/>
      <c r="X7" s="1" t="s">
        <v>20</v>
      </c>
      <c r="Y7" s="1">
        <v>0.1736</v>
      </c>
      <c r="Z7" s="1">
        <v>1.4175236188231081E-2</v>
      </c>
      <c r="AA7" s="1">
        <v>0.16917659487003037</v>
      </c>
      <c r="AB7" s="1">
        <v>15</v>
      </c>
      <c r="AC7" s="1">
        <v>1.1492771566546207</v>
      </c>
      <c r="AD7" s="1">
        <v>-7.6194244203716399E-2</v>
      </c>
      <c r="AE7" s="1">
        <v>-0.20598401473983247</v>
      </c>
      <c r="AF7" s="1">
        <v>0.21585829003017926</v>
      </c>
      <c r="AG7" s="1">
        <v>-8.3542017713756231E-2</v>
      </c>
      <c r="AH7" s="1">
        <v>-5.651541440772672E-2</v>
      </c>
      <c r="AI7" s="1">
        <v>0.11493040624793438</v>
      </c>
      <c r="AJ7" s="1">
        <v>-7.4172794841192644E-2</v>
      </c>
      <c r="AK7" s="1">
        <v>-8.0008941293892386E-3</v>
      </c>
      <c r="AL7" s="1">
        <v>5.8624520518716514E-2</v>
      </c>
      <c r="AM7" s="1">
        <v>-4.6734159523272437E-2</v>
      </c>
      <c r="AN7" s="1">
        <v>-5.3394904874800176E-4</v>
      </c>
      <c r="AO7" s="1">
        <v>3.1139106079741651E-2</v>
      </c>
      <c r="AP7" s="1">
        <v>-1.8037936868052207E-2</v>
      </c>
      <c r="AQ7" s="1">
        <v>-1.3686352430488252E-2</v>
      </c>
      <c r="AR7" s="1">
        <v>2.5730128153347027E-2</v>
      </c>
      <c r="AS7" s="1">
        <v>-1.5367662585094316E-2</v>
      </c>
      <c r="AT7" s="1">
        <v>3.6027478230162969E-3</v>
      </c>
      <c r="AU7" s="1">
        <v>-4.1307283426981751E-4</v>
      </c>
      <c r="AV7" s="1">
        <v>2.0157817983833273E-5</v>
      </c>
    </row>
    <row r="8" spans="3:48" s="1" customFormat="1" ht="9.75" customHeight="1">
      <c r="C8" s="5" t="str">
        <f>IF(COUNTIF(C$4:C7,"免震層→")=0,IF(COUNT(S$3:S$6)=4,IF(COUNTBLANK(D8:Q8)=14,"免震層→","･"),"･"),"･")</f>
        <v>･</v>
      </c>
      <c r="D8" s="7"/>
      <c r="E8" s="113"/>
      <c r="F8" s="113"/>
      <c r="G8" s="113"/>
      <c r="H8" s="113"/>
      <c r="I8" s="7"/>
      <c r="J8" s="7"/>
      <c r="K8" s="7"/>
      <c r="L8" s="7"/>
      <c r="M8" s="7"/>
      <c r="N8" s="7"/>
      <c r="O8" s="7"/>
      <c r="P8" s="7"/>
      <c r="Q8" s="7"/>
      <c r="S8" s="3" t="s">
        <v>21</v>
      </c>
      <c r="X8" s="1" t="s">
        <v>22</v>
      </c>
      <c r="Y8" s="1">
        <v>0.14369999999999999</v>
      </c>
      <c r="Z8" s="1">
        <v>9.5362131548792205E-3</v>
      </c>
      <c r="AA8" s="1">
        <v>0.14315216714257117</v>
      </c>
      <c r="AB8" s="1">
        <v>14</v>
      </c>
      <c r="AC8" s="1">
        <v>1.0901863300253738</v>
      </c>
      <c r="AD8" s="1">
        <v>4.0720648463225179E-2</v>
      </c>
      <c r="AE8" s="1">
        <v>-0.26812749560375748</v>
      </c>
      <c r="AF8" s="1">
        <v>0.16497762311704922</v>
      </c>
      <c r="AG8" s="1">
        <v>3.6416780905488125E-2</v>
      </c>
      <c r="AH8" s="1">
        <v>-0.13496770766049038</v>
      </c>
      <c r="AI8" s="1">
        <v>7.9370460197041581E-2</v>
      </c>
      <c r="AJ8" s="1">
        <v>3.5182333075666768E-2</v>
      </c>
      <c r="AK8" s="1">
        <v>-8.1857572342473164E-2</v>
      </c>
      <c r="AL8" s="1">
        <v>3.4395310775475994E-2</v>
      </c>
      <c r="AM8" s="1">
        <v>3.2536771185945709E-2</v>
      </c>
      <c r="AN8" s="1">
        <v>-4.3172688755539465E-2</v>
      </c>
      <c r="AO8" s="1">
        <v>1.4427868168575206E-3</v>
      </c>
      <c r="AP8" s="1">
        <v>2.6221115100328717E-2</v>
      </c>
      <c r="AQ8" s="1">
        <v>-6.4047078553719381E-3</v>
      </c>
      <c r="AR8" s="1">
        <v>-2.1390254341578058E-2</v>
      </c>
      <c r="AS8" s="1">
        <v>1.9906040198679458E-2</v>
      </c>
      <c r="AT8" s="1">
        <v>-6.2939129771393404E-3</v>
      </c>
      <c r="AU8" s="1">
        <v>9.1222729518956674E-4</v>
      </c>
      <c r="AV8" s="1">
        <v>-5.4087619972526847E-5</v>
      </c>
    </row>
    <row r="9" spans="3:48" s="1" customFormat="1" ht="9.75" customHeight="1">
      <c r="C9" s="5" t="str">
        <f>IF(COUNTIF(C$4:C8,"免震層→")=0,IF(COUNT(S$3:S$6)=4,IF(COUNTBLANK(D9:Q9)=14,"免震層→","･"),"･"),"･")</f>
        <v>･</v>
      </c>
      <c r="D9" s="7"/>
      <c r="E9" s="113"/>
      <c r="F9" s="113"/>
      <c r="G9" s="113"/>
      <c r="H9" s="113"/>
      <c r="I9" s="7"/>
      <c r="J9" s="7"/>
      <c r="K9" s="7"/>
      <c r="L9" s="7"/>
      <c r="M9" s="7"/>
      <c r="N9" s="7"/>
      <c r="O9" s="7"/>
      <c r="P9" s="7"/>
      <c r="Q9" s="7"/>
      <c r="S9" s="116"/>
      <c r="T9" s="144" t="s">
        <v>12</v>
      </c>
      <c r="U9" s="145"/>
      <c r="X9" s="1" t="s">
        <v>215</v>
      </c>
      <c r="Y9" s="1">
        <v>0.1235</v>
      </c>
      <c r="Z9" s="1">
        <v>6.819488706322395E-3</v>
      </c>
      <c r="AA9" s="1">
        <v>-0.11850576878925029</v>
      </c>
      <c r="AB9" s="1">
        <v>13</v>
      </c>
      <c r="AC9" s="1">
        <v>1.0248908548451245</v>
      </c>
      <c r="AD9" s="1">
        <v>0.15313569893363338</v>
      </c>
      <c r="AE9" s="1">
        <v>-0.28664039464776453</v>
      </c>
      <c r="AF9" s="1">
        <v>6.5216206559134349E-2</v>
      </c>
      <c r="AG9" s="1">
        <v>0.13653150092678926</v>
      </c>
      <c r="AH9" s="1">
        <v>-0.11552857872835098</v>
      </c>
      <c r="AI9" s="1">
        <v>-3.2444911020536683E-2</v>
      </c>
      <c r="AJ9" s="1">
        <v>9.8737720625009795E-2</v>
      </c>
      <c r="AK9" s="1">
        <v>-2.7683035084479026E-2</v>
      </c>
      <c r="AL9" s="1">
        <v>-5.357860290373425E-2</v>
      </c>
      <c r="AM9" s="1">
        <v>3.9540263653440558E-2</v>
      </c>
      <c r="AN9" s="1">
        <v>2.283434711654074E-2</v>
      </c>
      <c r="AO9" s="1">
        <v>-3.1792080065588507E-2</v>
      </c>
      <c r="AP9" s="1">
        <v>-1.123781896277396E-2</v>
      </c>
      <c r="AQ9" s="1">
        <v>2.2177757202536071E-2</v>
      </c>
      <c r="AR9" s="1">
        <v>9.7624943039535759E-3</v>
      </c>
      <c r="AS9" s="1">
        <v>-2.2398571730778052E-2</v>
      </c>
      <c r="AT9" s="1">
        <v>1.0260797599503445E-2</v>
      </c>
      <c r="AU9" s="1">
        <v>-1.9236162426895119E-3</v>
      </c>
      <c r="AV9" s="1">
        <v>1.3996762102948287E-4</v>
      </c>
    </row>
    <row r="10" spans="3:48" s="1" customFormat="1" ht="9.75" customHeight="1">
      <c r="C10" s="5" t="str">
        <f>IF(COUNTIF(C$4:C9,"免震層→")=0,IF(COUNT(S$3:S$6)=4,IF(COUNTBLANK(D10:Q10)=14,"免震層→","･"),"･"),"･")</f>
        <v>･</v>
      </c>
      <c r="D10" s="7"/>
      <c r="E10" s="113"/>
      <c r="F10" s="113"/>
      <c r="G10" s="113"/>
      <c r="H10" s="113"/>
      <c r="I10" s="7"/>
      <c r="J10" s="7"/>
      <c r="K10" s="7"/>
      <c r="L10" s="7"/>
      <c r="M10" s="7"/>
      <c r="N10" s="7"/>
      <c r="O10" s="7"/>
      <c r="P10" s="7"/>
      <c r="Q10" s="7"/>
      <c r="S10" s="117"/>
      <c r="T10" s="144" t="s">
        <v>23</v>
      </c>
      <c r="U10" s="145"/>
      <c r="X10" s="1" t="s">
        <v>216</v>
      </c>
      <c r="Y10" s="1">
        <v>0.10879999999999999</v>
      </c>
      <c r="Z10" s="1">
        <v>4.7787681389193067E-3</v>
      </c>
      <c r="AA10" s="1">
        <v>0.10353413876040246</v>
      </c>
      <c r="AB10" s="1">
        <v>12</v>
      </c>
      <c r="AC10" s="1">
        <v>0.95407314328573412</v>
      </c>
      <c r="AD10" s="1">
        <v>0.25497461790173942</v>
      </c>
      <c r="AE10" s="1">
        <v>-0.26010053715344694</v>
      </c>
      <c r="AF10" s="1">
        <v>-5.2259134737716144E-2</v>
      </c>
      <c r="AG10" s="1">
        <v>0.16917659487003037</v>
      </c>
      <c r="AH10" s="1">
        <v>-1.516772597110819E-2</v>
      </c>
      <c r="AI10" s="1">
        <v>-0.11141420172034397</v>
      </c>
      <c r="AJ10" s="1">
        <v>4.0076188132618672E-2</v>
      </c>
      <c r="AK10" s="1">
        <v>6.7754773548622041E-2</v>
      </c>
      <c r="AL10" s="1">
        <v>-4.1872262690748209E-2</v>
      </c>
      <c r="AM10" s="1">
        <v>-3.830579244309585E-2</v>
      </c>
      <c r="AN10" s="1">
        <v>3.1595864342951752E-2</v>
      </c>
      <c r="AO10" s="1">
        <v>2.3352957034651761E-2</v>
      </c>
      <c r="AP10" s="1">
        <v>-1.3958596254189923E-2</v>
      </c>
      <c r="AQ10" s="1">
        <v>-2.2650416861934648E-2</v>
      </c>
      <c r="AR10" s="1">
        <v>5.6276118010156768E-3</v>
      </c>
      <c r="AS10" s="1">
        <v>2.1167126415173838E-2</v>
      </c>
      <c r="AT10" s="1">
        <v>-1.5589960678700863E-2</v>
      </c>
      <c r="AU10" s="1">
        <v>3.8685586536091579E-3</v>
      </c>
      <c r="AV10" s="1">
        <v>-3.4880747486270766E-4</v>
      </c>
    </row>
    <row r="11" spans="3:48" s="1" customFormat="1" ht="9.75" customHeight="1">
      <c r="C11" s="5" t="str">
        <f>IF(COUNTIF(C$4:C10,"免震層→")=0,IF(COUNT(S$3:S$6)=4,IF(COUNTBLANK(D11:Q11)=14,"免震層→","･"),"･"),"･")</f>
        <v>･</v>
      </c>
      <c r="D11" s="7"/>
      <c r="E11" s="113"/>
      <c r="F11" s="113"/>
      <c r="G11" s="113"/>
      <c r="H11" s="113"/>
      <c r="I11" s="7"/>
      <c r="J11" s="7"/>
      <c r="K11" s="7"/>
      <c r="L11" s="7"/>
      <c r="M11" s="7"/>
      <c r="N11" s="7"/>
      <c r="O11" s="7"/>
      <c r="P11" s="7"/>
      <c r="Q11" s="7"/>
      <c r="S11" s="118"/>
      <c r="T11" s="144" t="s">
        <v>24</v>
      </c>
      <c r="U11" s="145"/>
      <c r="V11" s="145"/>
      <c r="X11" s="1" t="s">
        <v>217</v>
      </c>
      <c r="Y11" s="1">
        <v>9.7699999999999995E-2</v>
      </c>
      <c r="Z11" s="1">
        <v>3.2859835267754997E-3</v>
      </c>
      <c r="AA11" s="1">
        <v>-8.1857572342473164E-2</v>
      </c>
      <c r="AB11" s="1">
        <v>11</v>
      </c>
      <c r="AC11" s="1">
        <v>0.88059470527224171</v>
      </c>
      <c r="AD11" s="1">
        <v>0.33847564758969934</v>
      </c>
      <c r="AE11" s="1">
        <v>-0.19618726204983739</v>
      </c>
      <c r="AF11" s="1">
        <v>-0.1494078463540868</v>
      </c>
      <c r="AG11" s="1">
        <v>0.12260160837376353</v>
      </c>
      <c r="AH11" s="1">
        <v>9.051551242029976E-2</v>
      </c>
      <c r="AI11" s="1">
        <v>-8.5495902670998158E-2</v>
      </c>
      <c r="AJ11" s="1">
        <v>-6.2586601285408286E-2</v>
      </c>
      <c r="AK11" s="1">
        <v>6.044125859211421E-2</v>
      </c>
      <c r="AL11" s="1">
        <v>4.2342040824053899E-2</v>
      </c>
      <c r="AM11" s="1">
        <v>-3.4241232813275978E-2</v>
      </c>
      <c r="AN11" s="1">
        <v>-3.4002385030148831E-2</v>
      </c>
      <c r="AO11" s="1">
        <v>1.4446165448910754E-2</v>
      </c>
      <c r="AP11" s="1">
        <v>2.3787813360902545E-2</v>
      </c>
      <c r="AQ11" s="1">
        <v>5.5877349006462108E-3</v>
      </c>
      <c r="AR11" s="1">
        <v>-1.7386779400515195E-2</v>
      </c>
      <c r="AS11" s="1">
        <v>-1.3972776981850021E-2</v>
      </c>
      <c r="AT11" s="1">
        <v>2.0735116059774385E-2</v>
      </c>
      <c r="AU11" s="1">
        <v>-7.0447187006689839E-3</v>
      </c>
      <c r="AV11" s="1">
        <v>7.9790244438292159E-4</v>
      </c>
    </row>
    <row r="12" spans="3:48" s="1" customFormat="1" ht="9.75" customHeight="1">
      <c r="C12" s="5" t="str">
        <f>IF(COUNTIF(C$4:C11,"免震層→")=0,IF(COUNT(S$3:S$6)=4,IF(COUNTBLANK(D12:Q12)=14,"免震層→","･"),"･"),"･")</f>
        <v>･</v>
      </c>
      <c r="D12" s="7"/>
      <c r="E12" s="113"/>
      <c r="F12" s="113"/>
      <c r="G12" s="113"/>
      <c r="H12" s="113"/>
      <c r="I12" s="7"/>
      <c r="J12" s="7"/>
      <c r="K12" s="7"/>
      <c r="L12" s="7"/>
      <c r="M12" s="7"/>
      <c r="N12" s="7"/>
      <c r="O12" s="7"/>
      <c r="P12" s="7"/>
      <c r="Q12" s="7"/>
      <c r="X12" s="1" t="s">
        <v>218</v>
      </c>
      <c r="Y12" s="1">
        <v>8.8999999999999996E-2</v>
      </c>
      <c r="Z12" s="1">
        <v>2.0932897708552728E-3</v>
      </c>
      <c r="AA12" s="1">
        <v>-6.3550368666198467E-2</v>
      </c>
      <c r="AB12" s="1">
        <v>10</v>
      </c>
      <c r="AC12" s="1">
        <v>0.80468710422123257</v>
      </c>
      <c r="AD12" s="1">
        <v>0.4015083210446172</v>
      </c>
      <c r="AE12" s="1">
        <v>-0.10664334666604153</v>
      </c>
      <c r="AF12" s="1">
        <v>-0.20237991040305936</v>
      </c>
      <c r="AG12" s="1">
        <v>2.3726082369296023E-2</v>
      </c>
      <c r="AH12" s="1">
        <v>0.13377742919717209</v>
      </c>
      <c r="AI12" s="1">
        <v>1.4040910399777187E-2</v>
      </c>
      <c r="AJ12" s="1">
        <v>-9.1049015559952484E-2</v>
      </c>
      <c r="AK12" s="1">
        <v>-3.0790917912326524E-2</v>
      </c>
      <c r="AL12" s="1">
        <v>5.2238609277823415E-2</v>
      </c>
      <c r="AM12" s="1">
        <v>3.6864118840456143E-2</v>
      </c>
      <c r="AN12" s="1">
        <v>-2.0578614703408955E-2</v>
      </c>
      <c r="AO12" s="1">
        <v>-3.0639724971111039E-2</v>
      </c>
      <c r="AP12" s="1">
        <v>-6.0229676313741497E-3</v>
      </c>
      <c r="AQ12" s="1">
        <v>1.5920227958603931E-2</v>
      </c>
      <c r="AR12" s="1">
        <v>1.7157408248163111E-2</v>
      </c>
      <c r="AS12" s="1">
        <v>8.6968190368017623E-4</v>
      </c>
      <c r="AT12" s="1">
        <v>-2.226638058391215E-2</v>
      </c>
      <c r="AU12" s="1">
        <v>1.1226560330807947E-2</v>
      </c>
      <c r="AV12" s="1">
        <v>-1.6455753604447854E-3</v>
      </c>
    </row>
    <row r="13" spans="3:48" s="1" customFormat="1" ht="9.75" customHeight="1">
      <c r="C13" s="5" t="str">
        <f>IF(COUNTIF(C$4:C12,"免震層→")=0,IF(COUNT(S$3:S$6)=4,IF(COUNTBLANK(D13:Q13)=14,"免震層→","･"),"･"),"･")</f>
        <v>･</v>
      </c>
      <c r="D13" s="7"/>
      <c r="E13" s="113"/>
      <c r="F13" s="113"/>
      <c r="G13" s="113"/>
      <c r="H13" s="113"/>
      <c r="I13" s="7"/>
      <c r="J13" s="7"/>
      <c r="K13" s="7"/>
      <c r="L13" s="7"/>
      <c r="M13" s="7"/>
      <c r="N13" s="7"/>
      <c r="O13" s="7"/>
      <c r="P13" s="7"/>
      <c r="Q13" s="7"/>
      <c r="S13" s="3" t="s">
        <v>26</v>
      </c>
      <c r="X13" s="1" t="s">
        <v>219</v>
      </c>
      <c r="Y13" s="1">
        <v>8.2299999999999998E-2</v>
      </c>
      <c r="Z13" s="1">
        <v>1.3976700766994755E-3</v>
      </c>
      <c r="AA13" s="1">
        <v>5.7575734992645636E-2</v>
      </c>
      <c r="AB13" s="1">
        <v>9</v>
      </c>
      <c r="AC13" s="1">
        <v>0.72652349341221567</v>
      </c>
      <c r="AD13" s="1">
        <v>0.4427277026571777</v>
      </c>
      <c r="AE13" s="1">
        <v>-4.8792031079279161E-3</v>
      </c>
      <c r="AF13" s="1">
        <v>-0.2006137333674109</v>
      </c>
      <c r="AG13" s="1">
        <v>-8.2295953767078406E-2</v>
      </c>
      <c r="AH13" s="1">
        <v>9.2071880908949341E-2</v>
      </c>
      <c r="AI13" s="1">
        <v>9.8767548182006754E-2</v>
      </c>
      <c r="AJ13" s="1">
        <v>-1.9504038094809783E-2</v>
      </c>
      <c r="AK13" s="1">
        <v>-7.7638407776669971E-2</v>
      </c>
      <c r="AL13" s="1">
        <v>-2.3237660405418449E-2</v>
      </c>
      <c r="AM13" s="1">
        <v>3.5686884564987385E-2</v>
      </c>
      <c r="AN13" s="1">
        <v>3.7356339355850095E-2</v>
      </c>
      <c r="AO13" s="1">
        <v>7.888062703982682E-4</v>
      </c>
      <c r="AP13" s="1">
        <v>-1.8710507994474518E-2</v>
      </c>
      <c r="AQ13" s="1">
        <v>-2.0549760283825606E-2</v>
      </c>
      <c r="AR13" s="1">
        <v>-3.5887812292820678E-3</v>
      </c>
      <c r="AS13" s="1">
        <v>1.2333166047945987E-2</v>
      </c>
      <c r="AT13" s="1">
        <v>1.7202845627537409E-2</v>
      </c>
      <c r="AU13" s="1">
        <v>-1.551934770944477E-2</v>
      </c>
      <c r="AV13" s="1">
        <v>3.0787267092741762E-3</v>
      </c>
    </row>
    <row r="14" spans="3:48" s="1" customFormat="1" ht="9.75" customHeight="1">
      <c r="C14" s="5" t="str">
        <f>IF(COUNTIF(C$4:C13,"免震層→")=0,IF(COUNT(S$3:S$6)=4,IF(COUNTBLANK(D14:Q14)=14,"免震層→","･"),"･"),"･")</f>
        <v>･</v>
      </c>
      <c r="D14" s="7"/>
      <c r="E14" s="113"/>
      <c r="F14" s="113"/>
      <c r="G14" s="113"/>
      <c r="H14" s="113"/>
      <c r="I14" s="7"/>
      <c r="J14" s="7"/>
      <c r="K14" s="7"/>
      <c r="L14" s="7"/>
      <c r="M14" s="7"/>
      <c r="N14" s="7"/>
      <c r="O14" s="7"/>
      <c r="P14" s="7"/>
      <c r="Q14" s="7"/>
      <c r="S14" s="116"/>
      <c r="T14" s="144" t="s">
        <v>27</v>
      </c>
      <c r="U14" s="145"/>
      <c r="V14" s="145"/>
      <c r="X14" s="1" t="s">
        <v>220</v>
      </c>
      <c r="Y14" s="1">
        <v>7.6899999999999996E-2</v>
      </c>
      <c r="Z14" s="1">
        <v>9.3919260182450358E-4</v>
      </c>
      <c r="AA14" s="1">
        <v>4.9168240424078087E-2</v>
      </c>
      <c r="AB14" s="1">
        <v>8</v>
      </c>
      <c r="AC14" s="1">
        <v>0.64674331892902792</v>
      </c>
      <c r="AD14" s="1">
        <v>0.46141110333178864</v>
      </c>
      <c r="AE14" s="1">
        <v>9.473482692306702E-2</v>
      </c>
      <c r="AF14" s="1">
        <v>-0.14773078888920388</v>
      </c>
      <c r="AG14" s="1">
        <v>-0.15092904058720422</v>
      </c>
      <c r="AH14" s="1">
        <v>-4.3626592949562986E-3</v>
      </c>
      <c r="AI14" s="1">
        <v>9.9915570455761368E-2</v>
      </c>
      <c r="AJ14" s="1">
        <v>7.0567410242544565E-2</v>
      </c>
      <c r="AK14" s="1">
        <v>-2.1170455588466027E-2</v>
      </c>
      <c r="AL14" s="1">
        <v>-5.9807079263396769E-2</v>
      </c>
      <c r="AM14" s="1">
        <v>-3.1407155181336022E-2</v>
      </c>
      <c r="AN14" s="1">
        <v>1.441982653072962E-2</v>
      </c>
      <c r="AO14" s="1">
        <v>2.9434355014624339E-2</v>
      </c>
      <c r="AP14" s="1">
        <v>1.7945943057691434E-2</v>
      </c>
      <c r="AQ14" s="1">
        <v>2.3176559179593939E-3</v>
      </c>
      <c r="AR14" s="1">
        <v>-1.2714729989018184E-2</v>
      </c>
      <c r="AS14" s="1">
        <v>-1.6971324924376131E-2</v>
      </c>
      <c r="AT14" s="1">
        <v>-5.379016030973527E-3</v>
      </c>
      <c r="AU14" s="1">
        <v>1.8205544971409814E-2</v>
      </c>
      <c r="AV14" s="1">
        <v>-5.2233056256735574E-3</v>
      </c>
    </row>
    <row r="15" spans="3:48" s="1" customFormat="1" ht="9.75" customHeight="1">
      <c r="C15" s="5" t="str">
        <f>IF(COUNTIF(C$4:C14,"免震層→")=0,IF(COUNT(S$3:S$6)=4,IF(COUNTBLANK(D15:Q15)=14,"免震層→","･"),"･"),"･")</f>
        <v>･</v>
      </c>
      <c r="D15" s="7"/>
      <c r="E15" s="113"/>
      <c r="F15" s="113"/>
      <c r="G15" s="113"/>
      <c r="H15" s="113"/>
      <c r="I15" s="7"/>
      <c r="J15" s="7"/>
      <c r="K15" s="7"/>
      <c r="L15" s="7"/>
      <c r="M15" s="7"/>
      <c r="N15" s="7"/>
      <c r="O15" s="7"/>
      <c r="P15" s="7"/>
      <c r="Q15" s="7"/>
      <c r="S15" s="117"/>
      <c r="T15" s="144" t="s">
        <v>28</v>
      </c>
      <c r="U15" s="145"/>
      <c r="X15" s="1" t="s">
        <v>221</v>
      </c>
      <c r="Y15" s="1">
        <v>7.2499999999999995E-2</v>
      </c>
      <c r="Z15" s="1">
        <v>5.5795961253146805E-4</v>
      </c>
      <c r="AA15" s="1">
        <v>-3.9706804146609244E-2</v>
      </c>
      <c r="AB15" s="1">
        <v>7</v>
      </c>
      <c r="AC15" s="1">
        <v>0.56433828416735254</v>
      </c>
      <c r="AD15" s="1">
        <v>0.45779402179530682</v>
      </c>
      <c r="AE15" s="1">
        <v>0.18114201726288842</v>
      </c>
      <c r="AF15" s="1">
        <v>-5.787133053332582E-2</v>
      </c>
      <c r="AG15" s="1">
        <v>-0.15662672286897597</v>
      </c>
      <c r="AH15" s="1">
        <v>-9.7529603304262275E-2</v>
      </c>
      <c r="AI15" s="1">
        <v>1.9587099624067073E-2</v>
      </c>
      <c r="AJ15" s="1">
        <v>8.5831181083137836E-2</v>
      </c>
      <c r="AK15" s="1">
        <v>6.2521483310201187E-2</v>
      </c>
      <c r="AL15" s="1">
        <v>-2.2605688021779145E-3</v>
      </c>
      <c r="AM15" s="1">
        <v>-4.036320490027763E-2</v>
      </c>
      <c r="AN15" s="1">
        <v>-3.8708441939263032E-2</v>
      </c>
      <c r="AO15" s="1">
        <v>-1.1726634546052363E-2</v>
      </c>
      <c r="AP15" s="1">
        <v>7.692223627205526E-3</v>
      </c>
      <c r="AQ15" s="1">
        <v>1.8497572908869074E-2</v>
      </c>
      <c r="AR15" s="1">
        <v>1.6986239894850763E-2</v>
      </c>
      <c r="AS15" s="1">
        <v>9.1790471561473061E-3</v>
      </c>
      <c r="AT15" s="1">
        <v>-8.890917063377423E-3</v>
      </c>
      <c r="AU15" s="1">
        <v>-1.7836608231268165E-2</v>
      </c>
      <c r="AV15" s="1">
        <v>8.2448613589549847E-3</v>
      </c>
    </row>
    <row r="16" spans="3:48" s="1" customFormat="1" ht="9.75" customHeight="1">
      <c r="C16" s="5" t="str">
        <f>IF(COUNTIF(C$4:C15,"免震層→")=0,IF(COUNT(S$3:S$6)=4,IF(COUNTBLANK(D16:Q16)=14,"免震層→","･"),"･"),"･")</f>
        <v>･</v>
      </c>
      <c r="D16" s="7"/>
      <c r="E16" s="113"/>
      <c r="F16" s="113"/>
      <c r="G16" s="113"/>
      <c r="H16" s="113"/>
      <c r="I16" s="113"/>
      <c r="J16" s="7"/>
      <c r="K16" s="7"/>
      <c r="L16" s="7"/>
      <c r="M16" s="7"/>
      <c r="N16" s="7"/>
      <c r="O16" s="7"/>
      <c r="P16" s="7"/>
      <c r="Q16" s="7"/>
      <c r="S16" s="118"/>
      <c r="T16" s="144" t="s">
        <v>29</v>
      </c>
      <c r="U16" s="145"/>
      <c r="V16" s="145"/>
      <c r="X16" s="1" t="s">
        <v>222</v>
      </c>
      <c r="Y16" s="1">
        <v>6.9199999999999998E-2</v>
      </c>
      <c r="Z16" s="1">
        <v>3.4392682851335318E-4</v>
      </c>
      <c r="AA16" s="1">
        <v>-3.4469253821266435E-2</v>
      </c>
      <c r="AB16" s="1">
        <v>6</v>
      </c>
      <c r="AC16" s="1">
        <v>0.47987847637698566</v>
      </c>
      <c r="AD16" s="1">
        <v>0.43235542533735333</v>
      </c>
      <c r="AE16" s="1">
        <v>0.24308992012323233</v>
      </c>
      <c r="AF16" s="1">
        <v>4.5811340663554842E-2</v>
      </c>
      <c r="AG16" s="1">
        <v>-9.7946703784860409E-2</v>
      </c>
      <c r="AH16" s="1">
        <v>-0.13172508521398671</v>
      </c>
      <c r="AI16" s="1">
        <v>-7.5981910314571105E-2</v>
      </c>
      <c r="AJ16" s="1">
        <v>1.1437565955930378E-2</v>
      </c>
      <c r="AK16" s="1">
        <v>6.474451109493827E-2</v>
      </c>
      <c r="AL16" s="1">
        <v>5.8371641493895933E-2</v>
      </c>
      <c r="AM16" s="1">
        <v>2.4307254372694358E-2</v>
      </c>
      <c r="AN16" s="1">
        <v>-1.0590971656279563E-2</v>
      </c>
      <c r="AO16" s="1">
        <v>-2.5051336188457458E-2</v>
      </c>
      <c r="AP16" s="1">
        <v>-2.2342875233123227E-2</v>
      </c>
      <c r="AQ16" s="1">
        <v>-1.7144710593235239E-2</v>
      </c>
      <c r="AR16" s="1">
        <v>-4.9416987549776945E-3</v>
      </c>
      <c r="AS16" s="1">
        <v>5.4783156581270556E-3</v>
      </c>
      <c r="AT16" s="1">
        <v>1.8651119542695747E-2</v>
      </c>
      <c r="AU16" s="1">
        <v>1.4007646179502448E-2</v>
      </c>
      <c r="AV16" s="1">
        <v>-1.2407925059416925E-2</v>
      </c>
    </row>
    <row r="17" spans="3:48" s="1" customFormat="1" ht="9.75" customHeight="1">
      <c r="C17" s="5" t="str">
        <f>IF(COUNTIF(C$4:C16,"免震層→")=0,IF(COUNT(S$3:S$6)=4,IF(COUNTBLANK(D17:Q17)=14,"免震層→","･"),"･"),"･")</f>
        <v>･</v>
      </c>
      <c r="D17" s="7"/>
      <c r="E17" s="113"/>
      <c r="F17" s="113"/>
      <c r="G17" s="113"/>
      <c r="H17" s="113"/>
      <c r="I17" s="7"/>
      <c r="J17" s="7"/>
      <c r="K17" s="7"/>
      <c r="L17" s="7"/>
      <c r="M17" s="7"/>
      <c r="N17" s="7"/>
      <c r="O17" s="7"/>
      <c r="P17" s="7"/>
      <c r="Q17" s="7"/>
      <c r="X17" s="1" t="s">
        <v>223</v>
      </c>
      <c r="Y17" s="1">
        <v>6.6500000000000004E-2</v>
      </c>
      <c r="Z17" s="1">
        <v>2.766351024844909E-4</v>
      </c>
      <c r="AA17" s="1">
        <v>-2.7231515200129341E-2</v>
      </c>
      <c r="AB17" s="1">
        <v>5</v>
      </c>
      <c r="AC17" s="1">
        <v>0.39336198569698427</v>
      </c>
      <c r="AD17" s="1">
        <v>0.38624413483033104</v>
      </c>
      <c r="AE17" s="1">
        <v>0.27299135436401412</v>
      </c>
      <c r="AF17" s="1">
        <v>0.13784024322854488</v>
      </c>
      <c r="AG17" s="1">
        <v>1.0025614774271635E-3</v>
      </c>
      <c r="AH17" s="1">
        <v>-8.7154495669590618E-2</v>
      </c>
      <c r="AI17" s="1">
        <v>-0.10994231671183556</v>
      </c>
      <c r="AJ17" s="1">
        <v>-7.4931288579402983E-2</v>
      </c>
      <c r="AK17" s="1">
        <v>-1.6778993296751012E-2</v>
      </c>
      <c r="AL17" s="1">
        <v>2.80028003472245E-2</v>
      </c>
      <c r="AM17" s="1">
        <v>4.4707596528565506E-2</v>
      </c>
      <c r="AN17" s="1">
        <v>3.9643087715599844E-2</v>
      </c>
      <c r="AO17" s="1">
        <v>2.0453276677489876E-2</v>
      </c>
      <c r="AP17" s="1">
        <v>5.2704626618800664E-3</v>
      </c>
      <c r="AQ17" s="1">
        <v>-4.8566730114431664E-3</v>
      </c>
      <c r="AR17" s="1">
        <v>-1.1913112301034571E-2</v>
      </c>
      <c r="AS17" s="1">
        <v>-1.5926487061031801E-2</v>
      </c>
      <c r="AT17" s="1">
        <v>-1.8898781182156866E-2</v>
      </c>
      <c r="AU17" s="1">
        <v>-7.2595885437180766E-3</v>
      </c>
      <c r="AV17" s="1">
        <v>1.8144232828902339E-2</v>
      </c>
    </row>
    <row r="18" spans="3:48" s="1" customFormat="1" ht="9.75" customHeight="1">
      <c r="C18" s="5" t="str">
        <f>IF(COUNTIF(C$4:C17,"免震層→")=0,IF(COUNT(S$3:S$6)=4,IF(COUNTBLANK(D18:Q18)=14,"免震層→","･"),"･"),"･")</f>
        <v>･</v>
      </c>
      <c r="D18" s="7"/>
      <c r="E18" s="113"/>
      <c r="F18" s="113"/>
      <c r="G18" s="113"/>
      <c r="H18" s="113"/>
      <c r="I18" s="7"/>
      <c r="J18" s="7"/>
      <c r="K18" s="7"/>
      <c r="L18" s="7"/>
      <c r="M18" s="7"/>
      <c r="N18" s="7"/>
      <c r="O18" s="7"/>
      <c r="P18" s="7"/>
      <c r="Q18" s="7"/>
      <c r="S18" s="9"/>
      <c r="T18" s="1" t="s">
        <v>30</v>
      </c>
      <c r="X18" s="1" t="s">
        <v>224</v>
      </c>
      <c r="Y18" s="1">
        <v>6.3899999999999998E-2</v>
      </c>
      <c r="Z18" s="1">
        <v>1.9137832596748374E-4</v>
      </c>
      <c r="AA18" s="1">
        <v>2.5730128153347027E-2</v>
      </c>
      <c r="AB18" s="1">
        <v>4</v>
      </c>
      <c r="AC18" s="1">
        <v>0.30822478399814296</v>
      </c>
      <c r="AD18" s="1">
        <v>0.3239264233336312</v>
      </c>
      <c r="AE18" s="1">
        <v>0.2670903788261903</v>
      </c>
      <c r="AF18" s="1">
        <v>0.1931058042988909</v>
      </c>
      <c r="AG18" s="1">
        <v>9.6226572880832764E-2</v>
      </c>
      <c r="AH18" s="1">
        <v>6.1972929633209682E-3</v>
      </c>
      <c r="AI18" s="1">
        <v>-5.6688061086748447E-2</v>
      </c>
      <c r="AJ18" s="1">
        <v>-8.2914081294439376E-2</v>
      </c>
      <c r="AK18" s="1">
        <v>-7.4494000568235227E-2</v>
      </c>
      <c r="AL18" s="1">
        <v>-4.3479328185999262E-2</v>
      </c>
      <c r="AM18" s="1">
        <v>-1.4231803472428559E-2</v>
      </c>
      <c r="AN18" s="1">
        <v>8.1600366374320072E-3</v>
      </c>
      <c r="AO18" s="1">
        <v>1.8027207727648285E-2</v>
      </c>
      <c r="AP18" s="1">
        <v>1.8796003877205918E-2</v>
      </c>
      <c r="AQ18" s="1">
        <v>2.0118574110076167E-2</v>
      </c>
      <c r="AR18" s="1">
        <v>1.617115069115823E-2</v>
      </c>
      <c r="AS18" s="1">
        <v>1.3105018909176211E-2</v>
      </c>
      <c r="AT18" s="1">
        <v>8.528050229854733E-3</v>
      </c>
      <c r="AU18" s="1">
        <v>-1.2172685774244436E-3</v>
      </c>
      <c r="AV18" s="1">
        <v>-2.4652755298285239E-2</v>
      </c>
    </row>
    <row r="19" spans="3:48" s="1" customFormat="1" ht="9.75" customHeight="1">
      <c r="C19" s="5" t="str">
        <f>IF(COUNTIF(C$4:C18,"免震層→")=0,IF(COUNT(S$3:S$6)=4,IF(COUNTBLANK(D19:Q19)=14,"免震層→","･"),"･"),"･")</f>
        <v>･</v>
      </c>
      <c r="D19" s="7"/>
      <c r="E19" s="113"/>
      <c r="F19" s="113"/>
      <c r="G19" s="113"/>
      <c r="H19" s="113"/>
      <c r="I19" s="7"/>
      <c r="J19" s="7"/>
      <c r="K19" s="7"/>
      <c r="L19" s="7"/>
      <c r="M19" s="7"/>
      <c r="N19" s="7"/>
      <c r="O19" s="7"/>
      <c r="P19" s="7"/>
      <c r="Q19" s="7"/>
      <c r="S19" s="7"/>
      <c r="T19" s="1" t="s">
        <v>31</v>
      </c>
      <c r="X19" s="1" t="s">
        <v>225</v>
      </c>
      <c r="Y19" s="1">
        <v>6.1800000000000001E-2</v>
      </c>
      <c r="Z19" s="1">
        <v>1.5670556580455329E-4</v>
      </c>
      <c r="AA19" s="1">
        <v>-2.2398571730778052E-2</v>
      </c>
      <c r="AB19" s="1">
        <v>3</v>
      </c>
      <c r="AC19" s="1">
        <v>0.22545450144849682</v>
      </c>
      <c r="AD19" s="1">
        <v>0.2497090745164523</v>
      </c>
      <c r="AE19" s="1">
        <v>0.22875213735461353</v>
      </c>
      <c r="AF19" s="1">
        <v>0.20100542833384233</v>
      </c>
      <c r="AG19" s="1">
        <v>0.15114425236876367</v>
      </c>
      <c r="AH19" s="1">
        <v>9.2361828201057636E-2</v>
      </c>
      <c r="AI19" s="1">
        <v>3.7080395085770039E-2</v>
      </c>
      <c r="AJ19" s="1">
        <v>-1.0446604708362816E-2</v>
      </c>
      <c r="AK19" s="1">
        <v>-4.049784402552864E-2</v>
      </c>
      <c r="AL19" s="1">
        <v>-4.9312908976253622E-2</v>
      </c>
      <c r="AM19" s="1">
        <v>-4.6769595218190824E-2</v>
      </c>
      <c r="AN19" s="1">
        <v>-3.7889175318685277E-2</v>
      </c>
      <c r="AO19" s="1">
        <v>-2.3540761443501864E-2</v>
      </c>
      <c r="AP19" s="1">
        <v>-1.319000230032911E-2</v>
      </c>
      <c r="AQ19" s="1">
        <v>-8.0414542549431152E-3</v>
      </c>
      <c r="AR19" s="1">
        <v>-2.2453717910239949E-3</v>
      </c>
      <c r="AS19" s="1">
        <v>1.71456426126571E-3</v>
      </c>
      <c r="AT19" s="1">
        <v>7.2696295986498776E-3</v>
      </c>
      <c r="AU19" s="1">
        <v>8.8639168524249391E-3</v>
      </c>
      <c r="AV19" s="1">
        <v>2.8577990015483147E-2</v>
      </c>
    </row>
    <row r="20" spans="3:48" s="1" customFormat="1" ht="9.75" customHeight="1">
      <c r="C20" s="5" t="str">
        <f>IF(COUNTIF(C$4:C19,"免震層→")=0,IF(COUNT(S$3:S$6)=4,IF(COUNTBLANK(D20:Q20)=14,"免震層→","･"),"･"),"･")</f>
        <v>･</v>
      </c>
      <c r="D20" s="7"/>
      <c r="E20" s="113"/>
      <c r="F20" s="113"/>
      <c r="G20" s="113"/>
      <c r="H20" s="113"/>
      <c r="I20" s="7"/>
      <c r="J20" s="7"/>
      <c r="K20" s="7"/>
      <c r="L20" s="7"/>
      <c r="M20" s="7"/>
      <c r="N20" s="7"/>
      <c r="O20" s="7"/>
      <c r="P20" s="7"/>
      <c r="Q20" s="7"/>
      <c r="S20" s="8"/>
      <c r="T20" s="1" t="s">
        <v>32</v>
      </c>
      <c r="X20" s="1" t="s">
        <v>226</v>
      </c>
      <c r="Y20" s="1">
        <v>5.9499999999999997E-2</v>
      </c>
      <c r="Z20" s="1">
        <v>1.4354246953706724E-4</v>
      </c>
      <c r="AA20" s="1">
        <v>-2.226638058391215E-2</v>
      </c>
      <c r="AB20" s="1">
        <v>2</v>
      </c>
      <c r="AC20" s="1">
        <v>0.14637483896841899</v>
      </c>
      <c r="AD20" s="1">
        <v>0.1686516532857783</v>
      </c>
      <c r="AE20" s="1">
        <v>0.16578199675287711</v>
      </c>
      <c r="AF20" s="1">
        <v>0.16384574749429004</v>
      </c>
      <c r="AG20" s="1">
        <v>0.14876734547984435</v>
      </c>
      <c r="AH20" s="1">
        <v>0.12547485646265627</v>
      </c>
      <c r="AI20" s="1">
        <v>9.9724751113088844E-2</v>
      </c>
      <c r="AJ20" s="1">
        <v>6.7932051218897602E-2</v>
      </c>
      <c r="AK20" s="1">
        <v>3.7970641910896864E-2</v>
      </c>
      <c r="AL20" s="1">
        <v>1.280336974413286E-2</v>
      </c>
      <c r="AM20" s="1">
        <v>-2.6135885557649553E-3</v>
      </c>
      <c r="AN20" s="1">
        <v>-1.1918642999882909E-2</v>
      </c>
      <c r="AO20" s="1">
        <v>-1.4337795407527529E-2</v>
      </c>
      <c r="AP20" s="1">
        <v>-1.3600233506601106E-2</v>
      </c>
      <c r="AQ20" s="1">
        <v>-1.4987693270147123E-2</v>
      </c>
      <c r="AR20" s="1">
        <v>-1.375169048872313E-2</v>
      </c>
      <c r="AS20" s="1">
        <v>-1.3981275627591378E-2</v>
      </c>
      <c r="AT20" s="1">
        <v>-1.626563552337976E-2</v>
      </c>
      <c r="AU20" s="1">
        <v>-1.115566597846241E-2</v>
      </c>
      <c r="AV20" s="1">
        <v>-2.4715031072801763E-2</v>
      </c>
    </row>
    <row r="21" spans="3:48" s="1" customFormat="1" ht="9.75" customHeight="1">
      <c r="C21" s="5" t="str">
        <f>IF(COUNTIF(C$4:C20,"免震層→")=0,IF(COUNT(S$3:S$6)=4,IF(COUNTBLANK(D21:Q21)=14,"免震層→","･"),"･"),"･")</f>
        <v>･</v>
      </c>
      <c r="D21" s="7"/>
      <c r="E21" s="113"/>
      <c r="F21" s="113"/>
      <c r="G21" s="113"/>
      <c r="H21" s="113"/>
      <c r="I21" s="7"/>
      <c r="J21" s="7"/>
      <c r="K21" s="7"/>
      <c r="L21" s="7"/>
      <c r="M21" s="7"/>
      <c r="N21" s="7"/>
      <c r="O21" s="7"/>
      <c r="P21" s="7"/>
      <c r="Q21" s="7"/>
      <c r="X21" s="1" t="s">
        <v>227</v>
      </c>
      <c r="Y21" s="1">
        <v>5.7099999999999998E-2</v>
      </c>
      <c r="Z21" s="1">
        <v>7.7114072454433248E-5</v>
      </c>
      <c r="AA21" s="1">
        <v>1.8205544971409814E-2</v>
      </c>
      <c r="AB21" s="1">
        <v>1</v>
      </c>
      <c r="AC21" s="1">
        <v>7.2872075298224454E-2</v>
      </c>
      <c r="AD21" s="1">
        <v>8.657556660182919E-2</v>
      </c>
      <c r="AE21" s="1">
        <v>8.9365801951554899E-2</v>
      </c>
      <c r="AF21" s="1">
        <v>9.5413986966718045E-2</v>
      </c>
      <c r="AG21" s="1">
        <v>9.6644065188872419E-2</v>
      </c>
      <c r="AH21" s="1">
        <v>9.4726002574800613E-2</v>
      </c>
      <c r="AI21" s="1">
        <v>9.1858046309128569E-2</v>
      </c>
      <c r="AJ21" s="1">
        <v>8.2763027725749921E-2</v>
      </c>
      <c r="AK21" s="1">
        <v>7.072566817557957E-2</v>
      </c>
      <c r="AL21" s="1">
        <v>5.4199948489916668E-2</v>
      </c>
      <c r="AM21" s="1">
        <v>4.2359104864076132E-2</v>
      </c>
      <c r="AN21" s="1">
        <v>3.2611818272863378E-2</v>
      </c>
      <c r="AO21" s="1">
        <v>2.1791925816547833E-2</v>
      </c>
      <c r="AP21" s="1">
        <v>1.474936200813225E-2</v>
      </c>
      <c r="AQ21" s="1">
        <v>1.2861133366171942E-2</v>
      </c>
      <c r="AR21" s="1">
        <v>9.6299407797008785E-3</v>
      </c>
      <c r="AS21" s="1">
        <v>8.4217522747047201E-3</v>
      </c>
      <c r="AT21" s="1">
        <v>8.3291185060853298E-3</v>
      </c>
      <c r="AU21" s="1">
        <v>4.8612914745440276E-3</v>
      </c>
      <c r="AV21" s="1">
        <v>9.2403633547993441E-3</v>
      </c>
    </row>
    <row r="22" spans="3:48" s="1" customFormat="1" ht="9.75" customHeight="1">
      <c r="C22" s="5" t="str">
        <f>IF(COUNTIF(C$4:C21,"免震層→")=0,IF(COUNT(S$3:S$6)=4,IF(COUNTBLANK(D22:Q22)=14,"免震層→","･"),"･"),"･")</f>
        <v>･</v>
      </c>
      <c r="D22" s="7"/>
      <c r="E22" s="113"/>
      <c r="F22" s="113"/>
      <c r="G22" s="113"/>
      <c r="H22" s="113"/>
      <c r="I22" s="7"/>
      <c r="J22" s="7"/>
      <c r="K22" s="7"/>
      <c r="L22" s="7"/>
      <c r="M22" s="7"/>
      <c r="N22" s="7"/>
      <c r="O22" s="7"/>
      <c r="P22" s="7"/>
      <c r="Q22" s="7"/>
      <c r="S22" s="27" t="str">
        <f>IF(COUNT(D3:Q52)=0,"なし",IF(COUNTIF(F53:Q54,"×")&gt;0,"未定",
IF(OR(AND(S18="レーリー型",COUNTIF(S19:S20,"&gt;0")=2),AND(S18="質量比例",OR(ISNUMBER(S19),MID(S19,5,1)="/")),AND(S18="剛性比例",OR(ISNUMBER(S19),MID(S19,5,1)="/"))),
IF(F53="◎","S+I+S",
IF(N53="◎","BS+I+BS",
IF(AND(F54="○",N53="○"),"BS+I+S",
IF(F53="○",IF(COUNTIF(S3:S6,"&gt;0")=4,IF(COUNTIF(S9:S11,"&gt;0")+COUNTIF(S14:S16,"&gt;0")=6,"S+I+SR","S+I"),IF(COUNTIF(S9:S11,"&gt;0")+COUNTIF(S14:S16,"&gt;0")=6,"S+SR","S")),
IF(N53="○",IF(COUNTIF(S3:S6,"&gt;0")=4,IF(COUNTIF(S9:S11,"&gt;0")+COUNTIF(S14:S16,"&gt;0")=6,"BS+I+SR","BS+I"),IF(COUNTIF(S9:S11,"&gt;0")+COUNTIF(S14:S16,"&gt;0")=6,"BS+SR","BS")),"未定"))))),"未定")))</f>
        <v>なし</v>
      </c>
      <c r="T22" s="1" t="s">
        <v>33</v>
      </c>
      <c r="X22" s="1" t="s">
        <v>228</v>
      </c>
      <c r="Y22" s="1">
        <v>5.4699999999999999E-2</v>
      </c>
      <c r="Z22" s="1">
        <v>1.3465622100955084E-4</v>
      </c>
      <c r="AA22" s="1">
        <v>2.8577990015483147E-2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</row>
    <row r="23" spans="3:48" s="1" customFormat="1" ht="9.75" customHeight="1">
      <c r="C23" s="5" t="str">
        <f>IF(COUNTIF(C$4:C22,"免震層→")=0,IF(COUNT(S$3:S$6)=4,IF(COUNTBLANK(D23:Q23)=14,"免震層→","･"),"･"),"･")</f>
        <v>･</v>
      </c>
      <c r="D23" s="7"/>
      <c r="E23" s="113"/>
      <c r="F23" s="113"/>
      <c r="G23" s="113"/>
      <c r="H23" s="113"/>
      <c r="I23" s="7"/>
      <c r="J23" s="7"/>
      <c r="K23" s="7"/>
      <c r="L23" s="7"/>
      <c r="M23" s="7"/>
      <c r="N23" s="7"/>
      <c r="O23" s="7"/>
      <c r="P23" s="7"/>
      <c r="Q23" s="7"/>
      <c r="S23" s="27" t="str">
        <f>IF(OR(S22="S",S22="S+I",S22="S+SR",S22="S+I+SR"),IF(F53="○","実行可","・"),
IF(OR(S22="BS",S22="BS+I",S22="BS+SR",S22="BS+I+SR"),IF(N53="○","実行可","・"),
IF(S22="S+I+S",IF(F53="◎","実行可","・"),
IF(S22="BS+I+S",IF(AND(N53="○",F54="○"),"実行可","・"),"・"))))</f>
        <v>・</v>
      </c>
      <c r="T23" s="1" t="s">
        <v>34</v>
      </c>
      <c r="X23" s="1" t="s">
        <v>25</v>
      </c>
      <c r="AB23" s="1">
        <v>20</v>
      </c>
      <c r="AC23" s="1">
        <v>1.3747420160896995</v>
      </c>
      <c r="AD23" s="1">
        <v>-0.5507212417978169</v>
      </c>
      <c r="AE23" s="1">
        <v>0.30116315384990477</v>
      </c>
      <c r="AF23" s="1">
        <v>-0.21539825974692101</v>
      </c>
      <c r="AG23" s="1">
        <v>0.16204948833901045</v>
      </c>
      <c r="AH23" s="1">
        <v>-0.12967007803990763</v>
      </c>
      <c r="AI23" s="1">
        <v>0.10367844506931029</v>
      </c>
      <c r="AJ23" s="1">
        <v>-8.1668951306764839E-2</v>
      </c>
      <c r="AK23" s="1">
        <v>6.307428149130892E-2</v>
      </c>
      <c r="AL23" s="1">
        <v>-4.815944051869523E-2</v>
      </c>
      <c r="AM23" s="1">
        <v>3.5966554836234239E-2</v>
      </c>
      <c r="AN23" s="1">
        <v>-2.5666779351386521E-2</v>
      </c>
      <c r="AO23" s="1">
        <v>1.7511262679875832E-2</v>
      </c>
      <c r="AP23" s="1">
        <v>-1.0797053844029725E-2</v>
      </c>
      <c r="AQ23" s="1">
        <v>5.1816701544146592E-3</v>
      </c>
      <c r="AR23" s="1">
        <v>-1.6207016202877803E-3</v>
      </c>
      <c r="AS23" s="1">
        <v>3.6523278881792792E-4</v>
      </c>
      <c r="AT23" s="1">
        <v>-3.1355208640660698E-5</v>
      </c>
      <c r="AU23" s="1">
        <v>2.742089538406544E-6</v>
      </c>
      <c r="AV23" s="1">
        <v>-9.8595366672215892E-7</v>
      </c>
    </row>
    <row r="24" spans="3:48" s="1" customFormat="1" ht="9.75" customHeight="1">
      <c r="C24" s="5" t="str">
        <f>IF(COUNTIF(C$4:C23,"免震層→")=0,IF(COUNT(S$3:S$6)=4,IF(COUNTBLANK(D24:Q24)=14,"免震層→","･"),"･"),"･")</f>
        <v>･</v>
      </c>
      <c r="D24" s="7"/>
      <c r="E24" s="113"/>
      <c r="F24" s="113"/>
      <c r="G24" s="113"/>
      <c r="H24" s="113"/>
      <c r="I24" s="7"/>
      <c r="J24" s="7"/>
      <c r="K24" s="7"/>
      <c r="L24" s="7"/>
      <c r="M24" s="7"/>
      <c r="N24" s="7"/>
      <c r="O24" s="7"/>
      <c r="P24" s="7"/>
      <c r="Q24" s="7"/>
      <c r="S24" s="27" t="str">
        <f>IF(OR(S22="S",S22="S+I",S22="S+SR",S22="S+I+SR"),IF(G53="○","実行可","・"),
IF(OR(S22="BS",S22="BS+I",S22="BS+SR",S22="BS+I+SR"),IF(O53="○","実行可","・"),
IF(S22="S+I+S",IF(G53="◎","実行可","・"),
IF(S22="BS+I+S",IF(AND(O53="○",G54="○"),"実行可","・"),"・"))))</f>
        <v>・</v>
      </c>
      <c r="T24" s="1" t="s">
        <v>35</v>
      </c>
      <c r="X24" s="1" t="s">
        <v>13</v>
      </c>
      <c r="Y24" s="1">
        <v>1.5792999999999999</v>
      </c>
      <c r="Z24" s="1">
        <v>0.75883388481175063</v>
      </c>
      <c r="AA24" s="1">
        <v>1.3747420160896995</v>
      </c>
      <c r="AB24" s="1">
        <v>19</v>
      </c>
      <c r="AC24" s="1">
        <v>1.3418628175479266</v>
      </c>
      <c r="AD24" s="1">
        <v>-0.49442025776117338</v>
      </c>
      <c r="AE24" s="1">
        <v>0.23870467534455328</v>
      </c>
      <c r="AF24" s="1">
        <v>-0.13325937629739409</v>
      </c>
      <c r="AG24" s="1">
        <v>6.5501138333183814E-2</v>
      </c>
      <c r="AH24" s="1">
        <v>-1.834472801064942E-2</v>
      </c>
      <c r="AI24" s="1">
        <v>-1.5430953268371886E-2</v>
      </c>
      <c r="AJ24" s="1">
        <v>3.9169600175987064E-2</v>
      </c>
      <c r="AK24" s="1">
        <v>-5.2075476079331835E-2</v>
      </c>
      <c r="AL24" s="1">
        <v>5.7538752846738636E-2</v>
      </c>
      <c r="AM24" s="1">
        <v>-5.601115094402951E-2</v>
      </c>
      <c r="AN24" s="1">
        <v>4.9488969717345038E-2</v>
      </c>
      <c r="AO24" s="1">
        <v>-3.9971205668615901E-2</v>
      </c>
      <c r="AP24" s="1">
        <v>2.8228903439000187E-2</v>
      </c>
      <c r="AQ24" s="1">
        <v>-1.503203245850911E-2</v>
      </c>
      <c r="AR24" s="1">
        <v>5.2299016559929209E-3</v>
      </c>
      <c r="AS24" s="1">
        <v>-1.3010275011980975E-3</v>
      </c>
      <c r="AT24" s="1">
        <v>1.2958731915769172E-4</v>
      </c>
      <c r="AU24" s="1">
        <v>-8.6768662722331081E-6</v>
      </c>
      <c r="AV24" s="1">
        <v>5.3847566144968696E-7</v>
      </c>
    </row>
    <row r="25" spans="3:48" s="1" customFormat="1" ht="9.75" customHeight="1">
      <c r="C25" s="5" t="str">
        <f>IF(COUNTIF(C$4:C24,"免震層→")=0,IF(COUNT(S$3:S$6)=4,IF(COUNTBLANK(D25:Q25)=14,"免震層→","･"),"･"),"･")</f>
        <v>･</v>
      </c>
      <c r="D25" s="7"/>
      <c r="E25" s="113"/>
      <c r="F25" s="113"/>
      <c r="G25" s="113"/>
      <c r="H25" s="113"/>
      <c r="I25" s="7"/>
      <c r="J25" s="7"/>
      <c r="K25" s="7"/>
      <c r="L25" s="7"/>
      <c r="M25" s="7"/>
      <c r="N25" s="7"/>
      <c r="O25" s="7"/>
      <c r="P25" s="7"/>
      <c r="Q25" s="7"/>
      <c r="S25" s="27" t="str">
        <f>IF(OR(S22="S",S22="S+I",S22="S+SR",S22="S+I+SR"),IF(H53="○","実行可","・"),
IF(OR(S22="BS",S22="BS+I",S22="BS+SR",S22="BS+I+SR"),IF(P53="○","実行可","・"),
IF(S22="S+I+S",IF(H53="◎","実行可","・"),
IF(S22="BS+I+S",IF(AND(P53="○",H54="○"),"実行可","・"),"・"))))</f>
        <v>・</v>
      </c>
      <c r="T25" s="1" t="s">
        <v>36</v>
      </c>
      <c r="X25" s="1" t="s">
        <v>15</v>
      </c>
      <c r="Y25" s="1">
        <v>0.52649999999999997</v>
      </c>
      <c r="Z25" s="1">
        <v>0.13041552858253788</v>
      </c>
      <c r="AA25" s="1">
        <v>-0.5507212417978169</v>
      </c>
      <c r="AB25" s="1">
        <v>18</v>
      </c>
      <c r="AC25" s="1">
        <v>1.3000735390168761</v>
      </c>
      <c r="AD25" s="1">
        <v>-0.40856192417678378</v>
      </c>
      <c r="AE25" s="1">
        <v>0.13294591804692946</v>
      </c>
      <c r="AF25" s="1">
        <v>-4.5081511330156282E-3</v>
      </c>
      <c r="AG25" s="1">
        <v>-6.8835319434128281E-2</v>
      </c>
      <c r="AH25" s="1">
        <v>0.10890383652920822</v>
      </c>
      <c r="AI25" s="1">
        <v>-0.11792807469371708</v>
      </c>
      <c r="AJ25" s="1">
        <v>0.10384238228299617</v>
      </c>
      <c r="AK25" s="1">
        <v>-7.4017367124937131E-2</v>
      </c>
      <c r="AL25" s="1">
        <v>3.8814016242895641E-2</v>
      </c>
      <c r="AM25" s="1">
        <v>-6.0684120384150433E-3</v>
      </c>
      <c r="AN25" s="1">
        <v>-1.9275880731817199E-2</v>
      </c>
      <c r="AO25" s="1">
        <v>3.3054348652392991E-2</v>
      </c>
      <c r="AP25" s="1">
        <v>-3.433113836559603E-2</v>
      </c>
      <c r="AQ25" s="1">
        <v>2.325122143688764E-2</v>
      </c>
      <c r="AR25" s="1">
        <v>-9.9177088456357289E-3</v>
      </c>
      <c r="AS25" s="1">
        <v>2.873671877597263E-3</v>
      </c>
      <c r="AT25" s="1">
        <v>-3.395609321606419E-4</v>
      </c>
      <c r="AU25" s="1">
        <v>2.5581819082043654E-5</v>
      </c>
      <c r="AV25" s="1">
        <v>-9.7842865834685005E-7</v>
      </c>
    </row>
    <row r="26" spans="3:48" s="1" customFormat="1" ht="9.75" customHeight="1">
      <c r="C26" s="5" t="str">
        <f>IF(COUNTIF(C$4:C25,"免震層→")=0,IF(COUNT(S$3:S$6)=4,IF(COUNTBLANK(D26:Q26)=14,"免震層→","･"),"･"),"･")</f>
        <v>･</v>
      </c>
      <c r="D26" s="7"/>
      <c r="E26" s="113"/>
      <c r="F26" s="7"/>
      <c r="G26" s="113"/>
      <c r="H26" s="113"/>
      <c r="I26" s="7"/>
      <c r="J26" s="7"/>
      <c r="K26" s="113"/>
      <c r="L26" s="7"/>
      <c r="M26" s="7"/>
      <c r="N26" s="7"/>
      <c r="O26" s="113"/>
      <c r="P26" s="7"/>
      <c r="Q26" s="7"/>
      <c r="S26" s="27" t="str">
        <f>IF(OR(S22="S",S22="S+I",S22="S+SR",S22="S+I+SR"),IF(I53="○","実行可","・"),
IF(OR(S22="BS",S22="BS+I",S22="BS+SR",S22="BS+I+SR"),IF(Q53="○","実行可","・"),
IF(S22="S+I+S",IF(I53="◎","実行可","・"),
IF(S22="BS+I+S",IF(AND(Q53="○",I54="○"),"実行可","・"),"・"))))</f>
        <v>・</v>
      </c>
      <c r="T26" s="1" t="s">
        <v>37</v>
      </c>
      <c r="X26" s="1" t="s">
        <v>17</v>
      </c>
      <c r="Y26" s="1">
        <v>0.3024</v>
      </c>
      <c r="Z26" s="1">
        <v>4.1966959265067549E-2</v>
      </c>
      <c r="AA26" s="1">
        <v>0.30116315384990477</v>
      </c>
      <c r="AB26" s="1">
        <v>17</v>
      </c>
      <c r="AC26" s="1">
        <v>1.2505171493502922</v>
      </c>
      <c r="AD26" s="1">
        <v>-0.30110533376244009</v>
      </c>
      <c r="AE26" s="1">
        <v>7.035414373372649E-3</v>
      </c>
      <c r="AF26" s="1">
        <v>0.12188627699008098</v>
      </c>
      <c r="AG26" s="1">
        <v>-0.16100048879600132</v>
      </c>
      <c r="AH26" s="1">
        <v>0.14430193900845936</v>
      </c>
      <c r="AI26" s="1">
        <v>-8.7947019327340281E-2</v>
      </c>
      <c r="AJ26" s="1">
        <v>1.953322662696963E-2</v>
      </c>
      <c r="AK26" s="1">
        <v>3.4790030892405628E-2</v>
      </c>
      <c r="AL26" s="1">
        <v>-6.1626767037019539E-2</v>
      </c>
      <c r="AM26" s="1">
        <v>5.7581023568364947E-2</v>
      </c>
      <c r="AN26" s="1">
        <v>-3.1438448391402418E-2</v>
      </c>
      <c r="AO26" s="1">
        <v>-1.237059894644402E-3</v>
      </c>
      <c r="AP26" s="1">
        <v>2.5338898882766577E-2</v>
      </c>
      <c r="AQ26" s="1">
        <v>-2.7751652693847689E-2</v>
      </c>
      <c r="AR26" s="1">
        <v>1.6020901081428934E-2</v>
      </c>
      <c r="AS26" s="1">
        <v>-5.6418921167019883E-3</v>
      </c>
      <c r="AT26" s="1">
        <v>8.1323117609116095E-4</v>
      </c>
      <c r="AU26" s="1">
        <v>-7.2279902523663636E-5</v>
      </c>
      <c r="AV26" s="1">
        <v>2.84997168958192E-6</v>
      </c>
    </row>
    <row r="27" spans="3:48" s="1" customFormat="1" ht="9.75" customHeight="1">
      <c r="C27" s="5" t="str">
        <f>IF(COUNTIF(C$4:C26,"免震層→")=0,IF(COUNT(S$3:S$6)=4,IF(COUNTBLANK(D27:Q27)=14,"免震層→","･"),"･"),"･")</f>
        <v>･</v>
      </c>
      <c r="D27" s="7"/>
      <c r="E27" s="113"/>
      <c r="F27" s="7"/>
      <c r="G27" s="113"/>
      <c r="H27" s="113"/>
      <c r="I27" s="7"/>
      <c r="J27" s="7"/>
      <c r="K27" s="113"/>
      <c r="L27" s="7"/>
      <c r="M27" s="7"/>
      <c r="N27" s="7"/>
      <c r="O27" s="113"/>
      <c r="P27" s="7"/>
      <c r="Q27" s="7"/>
      <c r="R27" s="10"/>
      <c r="S27" s="10"/>
      <c r="T27" s="10"/>
      <c r="U27" s="10"/>
      <c r="V27" s="10"/>
      <c r="X27" s="1" t="s">
        <v>19</v>
      </c>
      <c r="Y27" s="1">
        <v>0.218</v>
      </c>
      <c r="Z27" s="1">
        <v>2.3214224096156443E-2</v>
      </c>
      <c r="AA27" s="1">
        <v>0.21795615707905691</v>
      </c>
      <c r="AB27" s="1">
        <v>16</v>
      </c>
      <c r="AC27" s="1">
        <v>1.1942840536620192</v>
      </c>
      <c r="AD27" s="1">
        <v>-0.1803515176582908</v>
      </c>
      <c r="AE27" s="1">
        <v>-0.1151660415665014</v>
      </c>
      <c r="AF27" s="1">
        <v>0.20367896493099311</v>
      </c>
      <c r="AG27" s="1">
        <v>-0.16356045173470307</v>
      </c>
      <c r="AH27" s="1">
        <v>6.5692874545335414E-2</v>
      </c>
      <c r="AI27" s="1">
        <v>3.4203954084409995E-2</v>
      </c>
      <c r="AJ27" s="1">
        <v>-8.8534337229637314E-2</v>
      </c>
      <c r="AK27" s="1">
        <v>8.085158899320069E-2</v>
      </c>
      <c r="AL27" s="1">
        <v>-3.2747765126481608E-2</v>
      </c>
      <c r="AM27" s="1">
        <v>-1.8505779400248466E-2</v>
      </c>
      <c r="AN27" s="1">
        <v>4.2888070738869036E-2</v>
      </c>
      <c r="AO27" s="1">
        <v>-3.0478978482752585E-2</v>
      </c>
      <c r="AP27" s="1">
        <v>-2.9068883451533606E-3</v>
      </c>
      <c r="AQ27" s="1">
        <v>2.4625124832042818E-2</v>
      </c>
      <c r="AR27" s="1">
        <v>-2.2316655868744772E-2</v>
      </c>
      <c r="AS27" s="1">
        <v>9.9515277349089704E-3</v>
      </c>
      <c r="AT27" s="1">
        <v>-1.7899741109547631E-3</v>
      </c>
      <c r="AU27" s="1">
        <v>1.9115122020674059E-4</v>
      </c>
      <c r="AV27" s="1">
        <v>-8.921218517126243E-6</v>
      </c>
    </row>
    <row r="28" spans="3:48" s="1" customFormat="1" ht="9.75" customHeight="1">
      <c r="C28" s="5" t="str">
        <f>IF(COUNTIF(C$4:C27,"免震層→")=0,IF(COUNT(S$3:S$6)=4,IF(COUNTBLANK(D28:Q28)=14,"免震層→","･"),"･"),"･")</f>
        <v>･</v>
      </c>
      <c r="D28" s="7"/>
      <c r="E28" s="113"/>
      <c r="F28" s="7"/>
      <c r="G28" s="113"/>
      <c r="H28" s="113"/>
      <c r="I28" s="7"/>
      <c r="J28" s="7"/>
      <c r="K28" s="113"/>
      <c r="L28" s="7"/>
      <c r="M28" s="7"/>
      <c r="N28" s="7"/>
      <c r="O28" s="113"/>
      <c r="P28" s="7"/>
      <c r="Q28" s="7"/>
      <c r="R28" s="10"/>
      <c r="S28" s="10"/>
      <c r="T28" s="10"/>
      <c r="U28" s="10"/>
      <c r="V28" s="10"/>
      <c r="X28" s="1" t="s">
        <v>20</v>
      </c>
      <c r="Y28" s="1">
        <v>0.17019999999999999</v>
      </c>
      <c r="Z28" s="1">
        <v>1.4489048715101763E-2</v>
      </c>
      <c r="AA28" s="1">
        <v>0.17073937482665882</v>
      </c>
      <c r="AB28" s="1">
        <v>15</v>
      </c>
      <c r="AC28" s="1">
        <v>1.1329125871622823</v>
      </c>
      <c r="AD28" s="1">
        <v>-5.5732736149370334E-2</v>
      </c>
      <c r="AE28" s="1">
        <v>-0.21213817765448195</v>
      </c>
      <c r="AF28" s="1">
        <v>0.21795615707905691</v>
      </c>
      <c r="AG28" s="1">
        <v>-8.2803937862443486E-2</v>
      </c>
      <c r="AH28" s="1">
        <v>-5.7672863992998799E-2</v>
      </c>
      <c r="AI28" s="1">
        <v>0.11588146566857631</v>
      </c>
      <c r="AJ28" s="1">
        <v>-7.6395489220723936E-2</v>
      </c>
      <c r="AK28" s="1">
        <v>-5.3976777832861061E-3</v>
      </c>
      <c r="AL28" s="1">
        <v>5.8080993985691998E-2</v>
      </c>
      <c r="AM28" s="1">
        <v>-4.8741866941583931E-2</v>
      </c>
      <c r="AN28" s="1">
        <v>1.9354896102840497E-3</v>
      </c>
      <c r="AO28" s="1">
        <v>3.0669656495806968E-2</v>
      </c>
      <c r="AP28" s="1">
        <v>-2.0385290040642583E-2</v>
      </c>
      <c r="AQ28" s="1">
        <v>-1.1186668997912192E-2</v>
      </c>
      <c r="AR28" s="1">
        <v>2.5053069200207827E-2</v>
      </c>
      <c r="AS28" s="1">
        <v>-1.5104731709303845E-2</v>
      </c>
      <c r="AT28" s="1">
        <v>3.5013860961572735E-3</v>
      </c>
      <c r="AU28" s="1">
        <v>-4.5642451298073729E-4</v>
      </c>
      <c r="AV28" s="1">
        <v>2.5059567663920849E-5</v>
      </c>
    </row>
    <row r="29" spans="3:48" s="1" customFormat="1" ht="9.75" customHeight="1">
      <c r="C29" s="5" t="str">
        <f>IF(COUNTIF(C$4:C28,"免震層→")=0,IF(COUNT(S$3:S$6)=4,IF(COUNTBLANK(D29:Q29)=14,"免震層→","･"),"･"),"･")</f>
        <v>･</v>
      </c>
      <c r="D29" s="7"/>
      <c r="E29" s="113"/>
      <c r="F29" s="7"/>
      <c r="G29" s="113"/>
      <c r="H29" s="113"/>
      <c r="I29" s="7"/>
      <c r="J29" s="7"/>
      <c r="K29" s="113"/>
      <c r="L29" s="7"/>
      <c r="M29" s="7"/>
      <c r="N29" s="7"/>
      <c r="O29" s="113"/>
      <c r="P29" s="7"/>
      <c r="Q29" s="7"/>
      <c r="R29" s="10"/>
      <c r="S29" s="10"/>
      <c r="T29" s="10"/>
      <c r="U29" s="10"/>
      <c r="V29" s="10"/>
      <c r="X29" s="1" t="s">
        <v>22</v>
      </c>
      <c r="Y29" s="1">
        <v>0.14080000000000001</v>
      </c>
      <c r="Z29" s="1">
        <v>9.7296537124455743E-3</v>
      </c>
      <c r="AA29" s="1">
        <v>0.14430193900845936</v>
      </c>
      <c r="AB29" s="1">
        <v>14</v>
      </c>
      <c r="AC29" s="1">
        <v>1.065942242697038</v>
      </c>
      <c r="AD29" s="1">
        <v>6.9137017930535921E-2</v>
      </c>
      <c r="AE29" s="1">
        <v>-0.27304271773671801</v>
      </c>
      <c r="AF29" s="1">
        <v>0.1651268940869707</v>
      </c>
      <c r="AG29" s="1">
        <v>3.819390890157455E-2</v>
      </c>
      <c r="AH29" s="1">
        <v>-0.1371571110174836</v>
      </c>
      <c r="AI29" s="1">
        <v>8.1855725150480466E-2</v>
      </c>
      <c r="AJ29" s="1">
        <v>3.2799800242301995E-2</v>
      </c>
      <c r="AK29" s="1">
        <v>-8.1566742014008223E-2</v>
      </c>
      <c r="AL29" s="1">
        <v>3.6656779090458801E-2</v>
      </c>
      <c r="AM29" s="1">
        <v>3.024080622161639E-2</v>
      </c>
      <c r="AN29" s="1">
        <v>-4.3322894979301932E-2</v>
      </c>
      <c r="AO29" s="1">
        <v>2.8691789773083623E-3</v>
      </c>
      <c r="AP29" s="1">
        <v>2.6816902885593467E-2</v>
      </c>
      <c r="AQ29" s="1">
        <v>-8.1826810653196549E-3</v>
      </c>
      <c r="AR29" s="1">
        <v>-2.0834048901616595E-2</v>
      </c>
      <c r="AS29" s="1">
        <v>1.9744466406972718E-2</v>
      </c>
      <c r="AT29" s="1">
        <v>-6.2254039256449019E-3</v>
      </c>
      <c r="AU29" s="1">
        <v>1.014950063757682E-3</v>
      </c>
      <c r="AV29" s="1">
        <v>-6.7073014517181483E-5</v>
      </c>
    </row>
    <row r="30" spans="3:48" s="1" customFormat="1" ht="9.75" customHeight="1">
      <c r="C30" s="5" t="str">
        <f>IF(COUNTIF(C$4:C29,"免震層→")=0,IF(COUNT(S$3:S$6)=4,IF(COUNTBLANK(D30:Q30)=14,"免震層→","･"),"･"),"･")</f>
        <v>･</v>
      </c>
      <c r="D30" s="7"/>
      <c r="E30" s="113"/>
      <c r="F30" s="7"/>
      <c r="G30" s="113"/>
      <c r="H30" s="113"/>
      <c r="I30" s="7"/>
      <c r="J30" s="7"/>
      <c r="K30" s="113"/>
      <c r="L30" s="7"/>
      <c r="M30" s="7"/>
      <c r="N30" s="7"/>
      <c r="O30" s="113"/>
      <c r="P30" s="7"/>
      <c r="Q30" s="7"/>
      <c r="R30" s="10"/>
      <c r="S30" s="11"/>
      <c r="T30" s="10"/>
      <c r="U30" s="10"/>
      <c r="V30" s="10"/>
      <c r="X30" s="1" t="s">
        <v>215</v>
      </c>
      <c r="Y30" s="1">
        <v>0.12089999999999999</v>
      </c>
      <c r="Z30" s="1">
        <v>6.9504944566394656E-3</v>
      </c>
      <c r="AA30" s="1">
        <v>-0.11792807469371708</v>
      </c>
      <c r="AB30" s="1">
        <v>13</v>
      </c>
      <c r="AC30" s="1">
        <v>0.99405738276851652</v>
      </c>
      <c r="AD30" s="1">
        <v>0.1875831885337805</v>
      </c>
      <c r="AE30" s="1">
        <v>-0.28946600896153463</v>
      </c>
      <c r="AF30" s="1">
        <v>6.3264500653114092E-2</v>
      </c>
      <c r="AG30" s="1">
        <v>0.13867900519383641</v>
      </c>
      <c r="AH30" s="1">
        <v>-0.11724035223613272</v>
      </c>
      <c r="AI30" s="1">
        <v>-3.1012749770516192E-2</v>
      </c>
      <c r="AJ30" s="1">
        <v>9.8952799739728606E-2</v>
      </c>
      <c r="AK30" s="1">
        <v>-2.9506913796896926E-2</v>
      </c>
      <c r="AL30" s="1">
        <v>-5.3190220671992458E-2</v>
      </c>
      <c r="AM30" s="1">
        <v>4.1680480149788146E-2</v>
      </c>
      <c r="AN30" s="1">
        <v>2.1041969973121404E-2</v>
      </c>
      <c r="AO30" s="1">
        <v>-3.254311059970684E-2</v>
      </c>
      <c r="AP30" s="1">
        <v>-1.0111430446428205E-2</v>
      </c>
      <c r="AQ30" s="1">
        <v>2.2272746172588988E-2</v>
      </c>
      <c r="AR30" s="1">
        <v>9.6603296812775505E-3</v>
      </c>
      <c r="AS30" s="1">
        <v>-2.246324137672618E-2</v>
      </c>
      <c r="AT30" s="1">
        <v>1.0317799292347489E-2</v>
      </c>
      <c r="AU30" s="1">
        <v>-2.1485484464224725E-3</v>
      </c>
      <c r="AV30" s="1">
        <v>1.7237414825680683E-4</v>
      </c>
    </row>
    <row r="31" spans="3:48" s="1" customFormat="1" ht="9.75" customHeight="1">
      <c r="C31" s="5" t="str">
        <f>IF(COUNTIF(C$4:C30,"免震層→")=0,IF(COUNT(S$3:S$6)=4,IF(COUNTBLANK(D31:Q31)=14,"免震層→","･"),"･"),"･")</f>
        <v>･</v>
      </c>
      <c r="D31" s="7"/>
      <c r="E31" s="113"/>
      <c r="F31" s="7"/>
      <c r="G31" s="113"/>
      <c r="H31" s="113"/>
      <c r="I31" s="7"/>
      <c r="J31" s="7"/>
      <c r="K31" s="113"/>
      <c r="L31" s="7"/>
      <c r="M31" s="7"/>
      <c r="N31" s="7"/>
      <c r="O31" s="113"/>
      <c r="P31" s="7"/>
      <c r="Q31" s="7"/>
      <c r="R31" s="10"/>
      <c r="S31" s="10"/>
      <c r="T31" s="10"/>
      <c r="U31" s="10"/>
      <c r="V31" s="10"/>
      <c r="X31" s="1" t="s">
        <v>216</v>
      </c>
      <c r="Y31" s="1">
        <v>0.10639999999999999</v>
      </c>
      <c r="Z31" s="1">
        <v>4.7465915385846331E-3</v>
      </c>
      <c r="AA31" s="1">
        <v>0.10384238228299617</v>
      </c>
      <c r="AB31" s="1">
        <v>12</v>
      </c>
      <c r="AC31" s="1">
        <v>0.91795741759333649</v>
      </c>
      <c r="AD31" s="1">
        <v>0.29357494788780247</v>
      </c>
      <c r="AE31" s="1">
        <v>-0.26028229878358244</v>
      </c>
      <c r="AF31" s="1">
        <v>-5.5928940908653434E-2</v>
      </c>
      <c r="AG31" s="1">
        <v>0.17073937482665882</v>
      </c>
      <c r="AH31" s="1">
        <v>-1.5161149675393901E-2</v>
      </c>
      <c r="AI31" s="1">
        <v>-0.1122369436004152</v>
      </c>
      <c r="AJ31" s="1">
        <v>4.1835166180143719E-2</v>
      </c>
      <c r="AK31" s="1">
        <v>6.6972420543453093E-2</v>
      </c>
      <c r="AL31" s="1">
        <v>-4.3583333660538258E-2</v>
      </c>
      <c r="AM31" s="1">
        <v>-3.6925234280613936E-2</v>
      </c>
      <c r="AN31" s="1">
        <v>3.2278527078548967E-2</v>
      </c>
      <c r="AO31" s="1">
        <v>2.2963536260128082E-2</v>
      </c>
      <c r="AP31" s="1">
        <v>-1.5543192832531263E-2</v>
      </c>
      <c r="AQ31" s="1">
        <v>-2.1373829412474885E-2</v>
      </c>
      <c r="AR31" s="1">
        <v>5.1550583732760781E-3</v>
      </c>
      <c r="AS31" s="1">
        <v>2.162593277561993E-2</v>
      </c>
      <c r="AT31" s="1">
        <v>-1.598284953927669E-2</v>
      </c>
      <c r="AU31" s="1">
        <v>4.3424976275355416E-3</v>
      </c>
      <c r="AV31" s="1">
        <v>-4.2710645302323824E-4</v>
      </c>
    </row>
    <row r="32" spans="3:48" s="1" customFormat="1" ht="9.75" customHeight="1">
      <c r="C32" s="5" t="str">
        <f>IF(COUNTIF(C$4:C31,"免震層→")=0,IF(COUNT(S$3:S$6)=4,IF(COUNTBLANK(D32:Q32)=14,"免震層→","･"),"･"),"･")</f>
        <v>･</v>
      </c>
      <c r="D32" s="7"/>
      <c r="E32" s="113"/>
      <c r="F32" s="7"/>
      <c r="G32" s="113"/>
      <c r="H32" s="113"/>
      <c r="I32" s="7"/>
      <c r="J32" s="7"/>
      <c r="K32" s="113"/>
      <c r="L32" s="7"/>
      <c r="M32" s="7"/>
      <c r="N32" s="7"/>
      <c r="O32" s="113"/>
      <c r="P32" s="7"/>
      <c r="Q32" s="7"/>
      <c r="R32" s="10"/>
      <c r="S32" s="10"/>
      <c r="T32" s="10"/>
      <c r="U32" s="10"/>
      <c r="V32" s="10"/>
      <c r="X32" s="1" t="s">
        <v>217</v>
      </c>
      <c r="Y32" s="1">
        <v>9.5500000000000002E-2</v>
      </c>
      <c r="Z32" s="1">
        <v>3.299251190756366E-3</v>
      </c>
      <c r="AA32" s="1">
        <v>-8.1566742014008223E-2</v>
      </c>
      <c r="AB32" s="1">
        <v>11</v>
      </c>
      <c r="AC32" s="1">
        <v>0.84099179495347576</v>
      </c>
      <c r="AD32" s="1">
        <v>0.37876371844187395</v>
      </c>
      <c r="AE32" s="1">
        <v>-0.19457848940816677</v>
      </c>
      <c r="AF32" s="1">
        <v>-0.15244955954311912</v>
      </c>
      <c r="AG32" s="1">
        <v>0.12341577683932602</v>
      </c>
      <c r="AH32" s="1">
        <v>9.0735905491441018E-2</v>
      </c>
      <c r="AI32" s="1">
        <v>-8.7601351160957242E-2</v>
      </c>
      <c r="AJ32" s="1">
        <v>-6.0357153071228284E-2</v>
      </c>
      <c r="AK32" s="1">
        <v>6.1356916256782676E-2</v>
      </c>
      <c r="AL32" s="1">
        <v>4.0916963420090775E-2</v>
      </c>
      <c r="AM32" s="1">
        <v>-3.5903818978261913E-2</v>
      </c>
      <c r="AN32" s="1">
        <v>-3.2193597748740616E-2</v>
      </c>
      <c r="AO32" s="1">
        <v>1.5242076951160899E-2</v>
      </c>
      <c r="AP32" s="1">
        <v>2.3995668733375278E-2</v>
      </c>
      <c r="AQ32" s="1">
        <v>4.0002441998041151E-3</v>
      </c>
      <c r="AR32" s="1">
        <v>-1.6375580282919602E-2</v>
      </c>
      <c r="AS32" s="1">
        <v>-1.4388369957958832E-2</v>
      </c>
      <c r="AT32" s="1">
        <v>2.1269320356684048E-2</v>
      </c>
      <c r="AU32" s="1">
        <v>-7.7932703243581859E-3</v>
      </c>
      <c r="AV32" s="1">
        <v>9.5280483169672182E-4</v>
      </c>
    </row>
    <row r="33" spans="1:48" s="1" customFormat="1" ht="9.75" customHeight="1">
      <c r="C33" s="5" t="str">
        <f>IF(COUNTIF(C$4:C32,"免震層→")=0,IF(COUNT(S$3:S$6)=4,IF(COUNTBLANK(D33:Q33)=14,"免震層→","･"),"･"),"･")</f>
        <v>･</v>
      </c>
      <c r="D33" s="7"/>
      <c r="E33" s="7"/>
      <c r="F33" s="7"/>
      <c r="G33" s="113"/>
      <c r="H33" s="113"/>
      <c r="I33" s="7"/>
      <c r="J33" s="7"/>
      <c r="K33" s="7"/>
      <c r="L33" s="7"/>
      <c r="M33" s="7"/>
      <c r="N33" s="7"/>
      <c r="O33" s="7"/>
      <c r="P33" s="7"/>
      <c r="Q33" s="7"/>
      <c r="R33" s="10"/>
      <c r="S33" s="10"/>
      <c r="T33" s="10"/>
      <c r="U33" s="10"/>
      <c r="V33" s="10"/>
      <c r="X33" s="1" t="s">
        <v>218</v>
      </c>
      <c r="Y33" s="1">
        <v>8.6999999999999994E-2</v>
      </c>
      <c r="Z33" s="1">
        <v>2.1236788730307765E-3</v>
      </c>
      <c r="AA33" s="1">
        <v>-6.1626767037019539E-2</v>
      </c>
      <c r="AB33" s="1">
        <v>10</v>
      </c>
      <c r="AC33" s="1">
        <v>0.76263288556196229</v>
      </c>
      <c r="AD33" s="1">
        <v>0.44240242057979418</v>
      </c>
      <c r="AE33" s="1">
        <v>-0.10349145507530559</v>
      </c>
      <c r="AF33" s="1">
        <v>-0.2047663924757909</v>
      </c>
      <c r="AG33" s="1">
        <v>2.3963628095027705E-2</v>
      </c>
      <c r="AH33" s="1">
        <v>0.13472256271775446</v>
      </c>
      <c r="AI33" s="1">
        <v>1.2116207628953183E-2</v>
      </c>
      <c r="AJ33" s="1">
        <v>-9.1476019560821048E-2</v>
      </c>
      <c r="AK33" s="1">
        <v>-2.8987996774316172E-2</v>
      </c>
      <c r="AL33" s="1">
        <v>5.3977448849579168E-2</v>
      </c>
      <c r="AM33" s="1">
        <v>3.5238902282088022E-2</v>
      </c>
      <c r="AN33" s="1">
        <v>-2.2247251119043455E-2</v>
      </c>
      <c r="AO33" s="1">
        <v>-3.0471505706510589E-2</v>
      </c>
      <c r="AP33" s="1">
        <v>-4.3371022199680045E-3</v>
      </c>
      <c r="AQ33" s="1">
        <v>1.6484801435762534E-2</v>
      </c>
      <c r="AR33" s="1">
        <v>1.582181765309584E-2</v>
      </c>
      <c r="AS33" s="1">
        <v>5.5379186824582581E-4</v>
      </c>
      <c r="AT33" s="1">
        <v>-2.2286357341495412E-2</v>
      </c>
      <c r="AU33" s="1">
        <v>1.2044945306600104E-2</v>
      </c>
      <c r="AV33" s="1">
        <v>-1.8953317056122636E-3</v>
      </c>
    </row>
    <row r="34" spans="1:48" s="1" customFormat="1" ht="9.75" customHeight="1">
      <c r="C34" s="5" t="str">
        <f>IF(COUNTIF(C$4:C33,"免震層→")=0,IF(COUNT(S$3:S$6)=4,IF(COUNTBLANK(D34:Q34)=14,"免震層→","･"),"･"),"･")</f>
        <v>･</v>
      </c>
      <c r="D34" s="7"/>
      <c r="E34" s="7"/>
      <c r="F34" s="7"/>
      <c r="G34" s="113"/>
      <c r="H34" s="7"/>
      <c r="I34" s="7"/>
      <c r="J34" s="7"/>
      <c r="K34" s="7"/>
      <c r="L34" s="7"/>
      <c r="M34" s="7"/>
      <c r="N34" s="7"/>
      <c r="O34" s="7"/>
      <c r="P34" s="7"/>
      <c r="Q34" s="7"/>
      <c r="R34" s="10"/>
      <c r="S34" s="10"/>
      <c r="T34" s="10"/>
      <c r="U34" s="10"/>
      <c r="V34" s="10"/>
      <c r="X34" s="1" t="s">
        <v>219</v>
      </c>
      <c r="Y34" s="1">
        <v>8.0399999999999999E-2</v>
      </c>
      <c r="Z34" s="1">
        <v>1.4033027708146707E-3</v>
      </c>
      <c r="AA34" s="1">
        <v>5.7581023568364947E-2</v>
      </c>
      <c r="AB34" s="1">
        <v>9</v>
      </c>
      <c r="AC34" s="1">
        <v>0.68274458665720961</v>
      </c>
      <c r="AD34" s="1">
        <v>0.48332484714421881</v>
      </c>
      <c r="AE34" s="1">
        <v>3.4130287597642001E-4</v>
      </c>
      <c r="AF34" s="1">
        <v>-0.20245300116984655</v>
      </c>
      <c r="AG34" s="1">
        <v>-8.3398278800195319E-2</v>
      </c>
      <c r="AH34" s="1">
        <v>9.3420610383717947E-2</v>
      </c>
      <c r="AI34" s="1">
        <v>9.9558355751908356E-2</v>
      </c>
      <c r="AJ34" s="1">
        <v>-2.2021212510930695E-2</v>
      </c>
      <c r="AK34" s="1">
        <v>-7.7984978041623229E-2</v>
      </c>
      <c r="AL34" s="1">
        <v>-2.1490372569019148E-2</v>
      </c>
      <c r="AM34" s="1">
        <v>3.7551593129824937E-2</v>
      </c>
      <c r="AN34" s="1">
        <v>3.6206702957556798E-2</v>
      </c>
      <c r="AO34" s="1">
        <v>-2.580345568235227E-4</v>
      </c>
      <c r="AP34" s="1">
        <v>-2.0329771263987228E-2</v>
      </c>
      <c r="AQ34" s="1">
        <v>-1.9560274503199984E-2</v>
      </c>
      <c r="AR34" s="1">
        <v>-2.7338835428898749E-3</v>
      </c>
      <c r="AS34" s="1">
        <v>1.3307995640749654E-2</v>
      </c>
      <c r="AT34" s="1">
        <v>1.6555537624558643E-2</v>
      </c>
      <c r="AU34" s="1">
        <v>-1.6230944498137761E-2</v>
      </c>
      <c r="AV34" s="1">
        <v>3.4492192909319919E-3</v>
      </c>
    </row>
    <row r="35" spans="1:48" s="1" customFormat="1" ht="9.75" customHeight="1">
      <c r="C35" s="5" t="str">
        <f>IF(COUNTIF(C$4:C34,"免震層→")=0,IF(COUNT(S$3:S$6)=4,IF(COUNTBLANK(D35:Q35)=14,"免震層→","･"),"･"),"･")</f>
        <v>･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0"/>
      <c r="S35" s="10"/>
      <c r="T35" s="10"/>
      <c r="U35" s="10"/>
      <c r="V35" s="10"/>
      <c r="X35" s="1" t="s">
        <v>220</v>
      </c>
      <c r="Y35" s="1">
        <v>7.51E-2</v>
      </c>
      <c r="Z35" s="1">
        <v>9.2726152338178124E-4</v>
      </c>
      <c r="AA35" s="1">
        <v>4.9488969717345038E-2</v>
      </c>
      <c r="AB35" s="1">
        <v>8</v>
      </c>
      <c r="AC35" s="1">
        <v>0.60238911021646002</v>
      </c>
      <c r="AD35" s="1">
        <v>0.50056779705204513</v>
      </c>
      <c r="AE35" s="1">
        <v>0.10167303125472729</v>
      </c>
      <c r="AF35" s="1">
        <v>-0.14873030144463362</v>
      </c>
      <c r="AG35" s="1">
        <v>-0.1528145268498049</v>
      </c>
      <c r="AH35" s="1">
        <v>-3.6315312221104337E-3</v>
      </c>
      <c r="AI35" s="1">
        <v>0.1026453123393888</v>
      </c>
      <c r="AJ35" s="1">
        <v>6.8827030097599454E-2</v>
      </c>
      <c r="AK35" s="1">
        <v>-2.2710668636256631E-2</v>
      </c>
      <c r="AL35" s="1">
        <v>-6.0788234029838753E-2</v>
      </c>
      <c r="AM35" s="1">
        <v>-2.9939244569340231E-2</v>
      </c>
      <c r="AN35" s="1">
        <v>1.5866422842632455E-2</v>
      </c>
      <c r="AO35" s="1">
        <v>2.9757122317672031E-2</v>
      </c>
      <c r="AP35" s="1">
        <v>1.7646749631683781E-2</v>
      </c>
      <c r="AQ35" s="1">
        <v>1.086593230302364E-3</v>
      </c>
      <c r="AR35" s="1">
        <v>-1.2367553531291708E-2</v>
      </c>
      <c r="AS35" s="1">
        <v>-1.797357992140175E-2</v>
      </c>
      <c r="AT35" s="1">
        <v>-4.5184176439660977E-3</v>
      </c>
      <c r="AU35" s="1">
        <v>1.8757816956264314E-2</v>
      </c>
      <c r="AV35" s="1">
        <v>-5.7429280901315771E-3</v>
      </c>
    </row>
    <row r="36" spans="1:48" s="1" customFormat="1" ht="9.75" customHeight="1">
      <c r="C36" s="5" t="str">
        <f>IF(COUNTIF(C$4:C35,"免震層→")=0,IF(COUNT(S$3:S$6)=4,IF(COUNTBLANK(D36:Q36)=14,"免震層→","･"),"･"),"･")</f>
        <v>･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0"/>
      <c r="S36" s="10"/>
      <c r="T36" s="10"/>
      <c r="U36" s="10"/>
      <c r="V36" s="10"/>
      <c r="X36" s="1" t="s">
        <v>221</v>
      </c>
      <c r="Y36" s="1">
        <v>7.0900000000000005E-2</v>
      </c>
      <c r="Z36" s="1">
        <v>5.6225550719944835E-4</v>
      </c>
      <c r="AA36" s="1">
        <v>-3.9971205668615901E-2</v>
      </c>
      <c r="AB36" s="1">
        <v>7</v>
      </c>
      <c r="AC36" s="1">
        <v>0.52086176074323143</v>
      </c>
      <c r="AD36" s="1">
        <v>0.49431818340937467</v>
      </c>
      <c r="AE36" s="1">
        <v>0.18918037531611834</v>
      </c>
      <c r="AF36" s="1">
        <v>-5.7951280552661022E-2</v>
      </c>
      <c r="AG36" s="1">
        <v>-0.15826005772544022</v>
      </c>
      <c r="AH36" s="1">
        <v>-9.796790752544253E-2</v>
      </c>
      <c r="AI36" s="1">
        <v>2.1838110233634907E-2</v>
      </c>
      <c r="AJ36" s="1">
        <v>8.6279951917163145E-2</v>
      </c>
      <c r="AK36" s="1">
        <v>6.2019294523092038E-2</v>
      </c>
      <c r="AL36" s="1">
        <v>-3.9972941502471517E-3</v>
      </c>
      <c r="AM36" s="1">
        <v>-4.1663057946220813E-2</v>
      </c>
      <c r="AN36" s="1">
        <v>-3.7938654518968065E-2</v>
      </c>
      <c r="AO36" s="1">
        <v>-1.1052310234517148E-2</v>
      </c>
      <c r="AP36" s="1">
        <v>9.1924482477993407E-3</v>
      </c>
      <c r="AQ36" s="1">
        <v>1.8525525578931706E-2</v>
      </c>
      <c r="AR36" s="1">
        <v>1.5844198819816802E-2</v>
      </c>
      <c r="AS36" s="1">
        <v>9.5548441402882253E-3</v>
      </c>
      <c r="AT36" s="1">
        <v>-9.4998399315713369E-3</v>
      </c>
      <c r="AU36" s="1">
        <v>-1.8203405112305795E-2</v>
      </c>
      <c r="AV36" s="1">
        <v>8.9191147679234233E-3</v>
      </c>
    </row>
    <row r="37" spans="1:48" s="1" customFormat="1" ht="9.75" customHeight="1">
      <c r="C37" s="5" t="str">
        <f>IF(COUNTIF(C$4:C36,"免震層→")=0,IF(COUNT(S$3:S$6)=4,IF(COUNTBLANK(D37:Q37)=14,"免震層→","･"),"･"),"･")</f>
        <v>･</v>
      </c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0"/>
      <c r="S37" s="10"/>
      <c r="T37" s="10"/>
      <c r="U37" s="10"/>
      <c r="V37" s="10"/>
      <c r="X37" s="1" t="s">
        <v>222</v>
      </c>
      <c r="Y37" s="1">
        <v>6.7500000000000004E-2</v>
      </c>
      <c r="Z37" s="1">
        <v>3.578010555429732E-4</v>
      </c>
      <c r="AA37" s="1">
        <v>-3.433113836559603E-2</v>
      </c>
      <c r="AB37" s="1">
        <v>6</v>
      </c>
      <c r="AC37" s="1">
        <v>0.4387724430810071</v>
      </c>
      <c r="AD37" s="1">
        <v>0.4651781812743625</v>
      </c>
      <c r="AE37" s="1">
        <v>0.25148169290810207</v>
      </c>
      <c r="AF37" s="1">
        <v>4.653167386459732E-2</v>
      </c>
      <c r="AG37" s="1">
        <v>-9.8365247338654038E-2</v>
      </c>
      <c r="AH37" s="1">
        <v>-0.13307898528698492</v>
      </c>
      <c r="AI37" s="1">
        <v>-7.6030533126688893E-2</v>
      </c>
      <c r="AJ37" s="1">
        <v>1.3043175665637615E-2</v>
      </c>
      <c r="AK37" s="1">
        <v>6.5616692709826993E-2</v>
      </c>
      <c r="AL37" s="1">
        <v>5.859806674735385E-2</v>
      </c>
      <c r="AM37" s="1">
        <v>2.3104790900247064E-2</v>
      </c>
      <c r="AN37" s="1">
        <v>-1.1679968384175116E-2</v>
      </c>
      <c r="AO37" s="1">
        <v>-2.5496907110806204E-2</v>
      </c>
      <c r="AP37" s="1">
        <v>-2.309734175284044E-2</v>
      </c>
      <c r="AQ37" s="1">
        <v>-1.6165955788691254E-2</v>
      </c>
      <c r="AR37" s="1">
        <v>-4.2127983375738415E-3</v>
      </c>
      <c r="AS37" s="1">
        <v>5.9630372643683129E-3</v>
      </c>
      <c r="AT37" s="1">
        <v>1.8852082638378072E-2</v>
      </c>
      <c r="AU37" s="1">
        <v>1.420094390139537E-2</v>
      </c>
      <c r="AV37" s="1">
        <v>-1.321504382886194E-2</v>
      </c>
    </row>
    <row r="38" spans="1:48" s="1" customFormat="1" ht="9.75" customHeight="1">
      <c r="C38" s="5" t="str">
        <f>IF(COUNTIF(C$4:C37,"免震層→")=0,IF(COUNT(S$3:S$6)=4,IF(COUNTBLANK(D38:Q38)=14,"免震層→","･"),"･"),"･")</f>
        <v>･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0"/>
      <c r="S38" s="10"/>
      <c r="T38" s="10"/>
      <c r="U38" s="10"/>
      <c r="V38" s="10"/>
      <c r="X38" s="1" t="s">
        <v>223</v>
      </c>
      <c r="Y38" s="1">
        <v>6.4899999999999999E-2</v>
      </c>
      <c r="Z38" s="1">
        <v>2.7006170559649208E-4</v>
      </c>
      <c r="AA38" s="1">
        <v>-2.7751652693847689E-2</v>
      </c>
      <c r="AB38" s="1">
        <v>5</v>
      </c>
      <c r="AC38" s="1">
        <v>0.35673486240759905</v>
      </c>
      <c r="AD38" s="1">
        <v>0.41476902671186283</v>
      </c>
      <c r="AE38" s="1">
        <v>0.2807315832632728</v>
      </c>
      <c r="AF38" s="1">
        <v>0.13840630517159033</v>
      </c>
      <c r="AG38" s="1">
        <v>1.5298459036494434E-3</v>
      </c>
      <c r="AH38" s="1">
        <v>-8.8860947060522763E-2</v>
      </c>
      <c r="AI38" s="1">
        <v>-0.11170904849914316</v>
      </c>
      <c r="AJ38" s="1">
        <v>-7.3386613133940348E-2</v>
      </c>
      <c r="AK38" s="1">
        <v>-1.5463201204845683E-2</v>
      </c>
      <c r="AL38" s="1">
        <v>2.9519791037785095E-2</v>
      </c>
      <c r="AM38" s="1">
        <v>4.5421247282141357E-2</v>
      </c>
      <c r="AN38" s="1">
        <v>3.8746652304288309E-2</v>
      </c>
      <c r="AO38" s="1">
        <v>1.989109161056922E-2</v>
      </c>
      <c r="AP38" s="1">
        <v>4.403143314477641E-3</v>
      </c>
      <c r="AQ38" s="1">
        <v>-5.5310114134782332E-3</v>
      </c>
      <c r="AR38" s="1">
        <v>-1.1441379382438648E-2</v>
      </c>
      <c r="AS38" s="1">
        <v>-1.6776055177686176E-2</v>
      </c>
      <c r="AT38" s="1">
        <v>-1.8621699571363365E-2</v>
      </c>
      <c r="AU38" s="1">
        <v>-7.1658541443714655E-3</v>
      </c>
      <c r="AV38" s="1">
        <v>1.8802260580553318E-2</v>
      </c>
    </row>
    <row r="39" spans="1:48" s="1" customFormat="1" ht="9.75" customHeight="1">
      <c r="A39" s="143" t="s">
        <v>38</v>
      </c>
      <c r="B39" s="143" t="s">
        <v>39</v>
      </c>
      <c r="C39" s="5" t="str">
        <f>IF(COUNTIF(C$4:C38,"免震層→")=0,IF(COUNT(S$3:S$6)=4,IF(COUNTBLANK(D39:Q39)=14,"免震層→","･"),"･"),"･")</f>
        <v>･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0"/>
      <c r="S39" s="10"/>
      <c r="T39" s="10"/>
      <c r="U39" s="10"/>
      <c r="V39" s="10"/>
      <c r="X39" s="1" t="s">
        <v>224</v>
      </c>
      <c r="Y39" s="1">
        <v>6.25E-2</v>
      </c>
      <c r="Z39" s="1">
        <v>1.7896791184995577E-4</v>
      </c>
      <c r="AA39" s="1">
        <v>2.5053069200207827E-2</v>
      </c>
      <c r="AB39" s="1">
        <v>4</v>
      </c>
      <c r="AC39" s="1">
        <v>0.27673432777348334</v>
      </c>
      <c r="AD39" s="1">
        <v>0.34709221746708696</v>
      </c>
      <c r="AE39" s="1">
        <v>0.27369282880295726</v>
      </c>
      <c r="AF39" s="1">
        <v>0.19394963046511193</v>
      </c>
      <c r="AG39" s="1">
        <v>9.840601109720476E-2</v>
      </c>
      <c r="AH39" s="1">
        <v>5.587958202855881E-3</v>
      </c>
      <c r="AI39" s="1">
        <v>-5.8501906764751359E-2</v>
      </c>
      <c r="AJ39" s="1">
        <v>-8.3217315006521714E-2</v>
      </c>
      <c r="AK39" s="1">
        <v>-7.4862317004174284E-2</v>
      </c>
      <c r="AL39" s="1">
        <v>-4.3565420252299973E-2</v>
      </c>
      <c r="AM39" s="1">
        <v>-1.3306899020700232E-2</v>
      </c>
      <c r="AN39" s="1">
        <v>9.0770942280408457E-3</v>
      </c>
      <c r="AO39" s="1">
        <v>1.8751962055108557E-2</v>
      </c>
      <c r="AP39" s="1">
        <v>2.0102482870251754E-2</v>
      </c>
      <c r="AQ39" s="1">
        <v>1.9844773030422123E-2</v>
      </c>
      <c r="AR39" s="1">
        <v>1.5084206654226299E-2</v>
      </c>
      <c r="AS39" s="1">
        <v>1.3606263410156917E-2</v>
      </c>
      <c r="AT39" s="1">
        <v>8.011159501008799E-3</v>
      </c>
      <c r="AU39" s="1">
        <v>-1.6607637357802644E-3</v>
      </c>
      <c r="AV39" s="1">
        <v>-2.4826293773687728E-2</v>
      </c>
    </row>
    <row r="40" spans="1:48" s="1" customFormat="1" ht="9.75" customHeight="1">
      <c r="A40" s="143"/>
      <c r="B40" s="143"/>
      <c r="C40" s="5" t="str">
        <f>IF(COUNTIF(C$4:C39,"免震層→")=0,IF(COUNT(S$3:S$6)=4,IF(COUNTBLANK(D40:Q40)=14,"免震層→","･"),"･"),"･")</f>
        <v>･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0"/>
      <c r="S40" s="10"/>
      <c r="T40" s="10"/>
      <c r="U40" s="10"/>
      <c r="V40" s="10"/>
      <c r="X40" s="1" t="s">
        <v>225</v>
      </c>
      <c r="Y40" s="1">
        <v>6.0499999999999998E-2</v>
      </c>
      <c r="Z40" s="1">
        <v>1.644740026945088E-4</v>
      </c>
      <c r="AA40" s="1">
        <v>-2.246324137672618E-2</v>
      </c>
      <c r="AB40" s="1">
        <v>3</v>
      </c>
      <c r="AC40" s="1">
        <v>0.19972588927798876</v>
      </c>
      <c r="AD40" s="1">
        <v>0.26644985217234401</v>
      </c>
      <c r="AE40" s="1">
        <v>0.23335904940702984</v>
      </c>
      <c r="AF40" s="1">
        <v>0.20179597094228252</v>
      </c>
      <c r="AG40" s="1">
        <v>0.15452606470531371</v>
      </c>
      <c r="AH40" s="1">
        <v>9.3774909092354114E-2</v>
      </c>
      <c r="AI40" s="1">
        <v>3.7646583237888935E-2</v>
      </c>
      <c r="AJ40" s="1">
        <v>-1.1146108035336368E-2</v>
      </c>
      <c r="AK40" s="1">
        <v>-4.1141363119769472E-2</v>
      </c>
      <c r="AL40" s="1">
        <v>-5.0477809498603914E-2</v>
      </c>
      <c r="AM40" s="1">
        <v>-4.7279846450698416E-2</v>
      </c>
      <c r="AN40" s="1">
        <v>-3.7521432610718004E-2</v>
      </c>
      <c r="AO40" s="1">
        <v>-2.3710650026765485E-2</v>
      </c>
      <c r="AP40" s="1">
        <v>-1.3586976343711992E-2</v>
      </c>
      <c r="AQ40" s="1">
        <v>-7.7410602719396081E-3</v>
      </c>
      <c r="AR40" s="1">
        <v>-2.0789054068430925E-3</v>
      </c>
      <c r="AS40" s="1">
        <v>1.7867424637975898E-3</v>
      </c>
      <c r="AT40" s="1">
        <v>7.5070041856713657E-3</v>
      </c>
      <c r="AU40" s="1">
        <v>9.568841085990697E-3</v>
      </c>
      <c r="AV40" s="1">
        <v>2.8543245193725073E-2</v>
      </c>
    </row>
    <row r="41" spans="1:48" s="1" customFormat="1" ht="9.75" customHeight="1">
      <c r="C41" s="5" t="str">
        <f>IF(COUNTIF(C$4:C40,"免震層→")=0,IF(COUNT(S$3:S$6)=4,IF(COUNTBLANK(D41:Q41)=14,"免震層→","･"),"･"),"･")</f>
        <v>･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0"/>
      <c r="S41" s="10"/>
      <c r="T41" s="10"/>
      <c r="U41" s="10"/>
      <c r="V41" s="10"/>
      <c r="X41" s="1" t="s">
        <v>226</v>
      </c>
      <c r="Y41" s="1">
        <v>5.8099999999999999E-2</v>
      </c>
      <c r="Z41" s="1">
        <v>1.4391736734807391E-4</v>
      </c>
      <c r="AA41" s="1">
        <v>-2.2286357341495412E-2</v>
      </c>
      <c r="AB41" s="1">
        <v>2</v>
      </c>
      <c r="AC41" s="1">
        <v>0.1277502776935312</v>
      </c>
      <c r="AD41" s="1">
        <v>0.17916403870532863</v>
      </c>
      <c r="AE41" s="1">
        <v>0.16823434660545761</v>
      </c>
      <c r="AF41" s="1">
        <v>0.16404973253017083</v>
      </c>
      <c r="AG41" s="1">
        <v>0.15154357584384151</v>
      </c>
      <c r="AH41" s="1">
        <v>0.12730455204199403</v>
      </c>
      <c r="AI41" s="1">
        <v>0.10158179864014068</v>
      </c>
      <c r="AJ41" s="1">
        <v>6.7265746579665844E-2</v>
      </c>
      <c r="AK41" s="1">
        <v>3.8179570572278165E-2</v>
      </c>
      <c r="AL41" s="1">
        <v>1.2932706678417836E-2</v>
      </c>
      <c r="AM41" s="1">
        <v>-2.6626290536133062E-3</v>
      </c>
      <c r="AN41" s="1">
        <v>-1.1814957975690812E-2</v>
      </c>
      <c r="AO41" s="1">
        <v>-1.4359285291480802E-2</v>
      </c>
      <c r="AP41" s="1">
        <v>-1.4217645221285604E-2</v>
      </c>
      <c r="AQ41" s="1">
        <v>-1.4580704812828204E-2</v>
      </c>
      <c r="AR41" s="1">
        <v>-1.2726063829761998E-2</v>
      </c>
      <c r="AS41" s="1">
        <v>-1.4505059634745174E-2</v>
      </c>
      <c r="AT41" s="1">
        <v>-1.6256465670809125E-2</v>
      </c>
      <c r="AU41" s="1">
        <v>-1.1964174263669389E-2</v>
      </c>
      <c r="AV41" s="1">
        <v>-2.4919360136941928E-2</v>
      </c>
    </row>
    <row r="42" spans="1:48" s="1" customFormat="1" ht="9.75" customHeight="1">
      <c r="C42" s="5" t="str">
        <f>IF(COUNTIF(C$4:C41,"免震層→")=0,IF(COUNT(S$3:S$6)=4,IF(COUNTBLANK(D42:Q42)=14,"免震層→","･"),"･"),"･")</f>
        <v>･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0"/>
      <c r="S42" s="10"/>
      <c r="T42" s="10"/>
      <c r="U42" s="10"/>
      <c r="V42" s="10"/>
      <c r="X42" s="1" t="s">
        <v>227</v>
      </c>
      <c r="Y42" s="1">
        <v>5.5800000000000002E-2</v>
      </c>
      <c r="Z42" s="1">
        <v>8.3680046606464495E-5</v>
      </c>
      <c r="AA42" s="1">
        <v>1.8757816956264314E-2</v>
      </c>
      <c r="AB42" s="1">
        <v>1</v>
      </c>
      <c r="AC42" s="1">
        <v>6.2724811100708475E-2</v>
      </c>
      <c r="AD42" s="1">
        <v>9.174964090630966E-2</v>
      </c>
      <c r="AE42" s="1">
        <v>9.0351546001969776E-2</v>
      </c>
      <c r="AF42" s="1">
        <v>9.5342134485351226E-2</v>
      </c>
      <c r="AG42" s="1">
        <v>9.8109682528757278E-2</v>
      </c>
      <c r="AH42" s="1">
        <v>9.5821378472592075E-2</v>
      </c>
      <c r="AI42" s="1">
        <v>9.3221395683510025E-2</v>
      </c>
      <c r="AJ42" s="1">
        <v>8.1908495116954111E-2</v>
      </c>
      <c r="AK42" s="1">
        <v>7.0855685461816864E-2</v>
      </c>
      <c r="AL42" s="1">
        <v>5.4803316853198371E-2</v>
      </c>
      <c r="AM42" s="1">
        <v>4.2487126142242031E-2</v>
      </c>
      <c r="AN42" s="1">
        <v>3.2118548132411995E-2</v>
      </c>
      <c r="AO42" s="1">
        <v>2.1905125547314483E-2</v>
      </c>
      <c r="AP42" s="1">
        <v>1.5319972469157284E-2</v>
      </c>
      <c r="AQ42" s="1">
        <v>1.252208774970226E-2</v>
      </c>
      <c r="AR42" s="1">
        <v>8.9584361243942451E-3</v>
      </c>
      <c r="AS42" s="1">
        <v>8.791748557145998E-3</v>
      </c>
      <c r="AT42" s="1">
        <v>8.3261503479449689E-3</v>
      </c>
      <c r="AU42" s="1">
        <v>5.2438080513653876E-3</v>
      </c>
      <c r="AV42" s="1">
        <v>9.4389102671535545E-3</v>
      </c>
    </row>
    <row r="43" spans="1:48" s="1" customFormat="1" ht="9.75" customHeight="1">
      <c r="C43" s="5" t="str">
        <f>IF(COUNTIF(C$4:C42,"免震層→")=0,IF(COUNT(S$3:S$6)=4,IF(COUNTBLANK(D43:Q43)=14,"免震層→","･"),"･"),"･")</f>
        <v>･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0"/>
      <c r="S43" s="10"/>
      <c r="T43" s="10"/>
      <c r="U43" s="10"/>
      <c r="V43" s="10"/>
      <c r="X43" s="1" t="s">
        <v>228</v>
      </c>
      <c r="Y43" s="1">
        <v>5.3600000000000002E-2</v>
      </c>
      <c r="Z43" s="1">
        <v>1.3896286689456258E-4</v>
      </c>
      <c r="AA43" s="1">
        <v>2.8543245193725073E-2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</row>
    <row r="44" spans="1:48" s="1" customFormat="1" ht="9.75" customHeight="1">
      <c r="C44" s="5" t="str">
        <f>IF(COUNTIF(C$4:C43,"免震層→")=0,IF(COUNT(S$3:S$6)=4,IF(COUNTBLANK(D44:Q44)=14,"免震層→","･"),"･"),"･")</f>
        <v>･</v>
      </c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0"/>
      <c r="S44" s="10"/>
      <c r="T44" s="10"/>
      <c r="U44" s="10"/>
      <c r="V44" s="10"/>
      <c r="X44" s="1" t="s">
        <v>166</v>
      </c>
      <c r="AB44" s="1">
        <v>20</v>
      </c>
      <c r="AC44" s="1">
        <v>1.3566993721774494</v>
      </c>
      <c r="AD44" s="1">
        <v>-0.53282114209019749</v>
      </c>
      <c r="AE44" s="1">
        <v>0.30202853482924114</v>
      </c>
      <c r="AF44" s="1">
        <v>-0.21681504736961629</v>
      </c>
      <c r="AG44" s="1">
        <v>0.16342343974113779</v>
      </c>
      <c r="AH44" s="1">
        <v>-0.13088033482633846</v>
      </c>
      <c r="AI44" s="1">
        <v>0.10482808234553583</v>
      </c>
      <c r="AJ44" s="1">
        <v>-8.2362334273765672E-2</v>
      </c>
      <c r="AK44" s="1">
        <v>6.3716914064350622E-2</v>
      </c>
      <c r="AL44" s="1">
        <v>-4.8483068642959981E-2</v>
      </c>
      <c r="AM44" s="1">
        <v>3.5649412944350804E-2</v>
      </c>
      <c r="AN44" s="1">
        <v>-2.4900775601455351E-2</v>
      </c>
      <c r="AO44" s="1">
        <v>1.6426998046008251E-2</v>
      </c>
      <c r="AP44" s="1">
        <v>-9.9630432407473539E-3</v>
      </c>
      <c r="AQ44" s="1">
        <v>4.5617291985723778E-3</v>
      </c>
      <c r="AR44" s="1">
        <v>-1.3897858272903583E-3</v>
      </c>
      <c r="AS44" s="1">
        <v>3.0724702130981602E-4</v>
      </c>
      <c r="AT44" s="1">
        <v>-3.0113731775775102E-5</v>
      </c>
      <c r="AU44" s="1">
        <v>3.7643580980575806E-6</v>
      </c>
      <c r="AV44" s="1">
        <v>1.5087809363870829E-7</v>
      </c>
    </row>
    <row r="45" spans="1:48" s="1" customFormat="1" ht="9.75" customHeight="1">
      <c r="C45" s="5" t="str">
        <f>IF(COUNTIF(C$4:C44,"免震層→")=0,IF(COUNT(S$3:S$6)=4,IF(COUNTBLANK(D45:Q45)=14,"免震層→","･"),"･"),"･")</f>
        <v>･</v>
      </c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0"/>
      <c r="S45" s="10"/>
      <c r="T45" s="10"/>
      <c r="U45" s="10"/>
      <c r="V45" s="10"/>
      <c r="X45" s="1" t="s">
        <v>13</v>
      </c>
      <c r="Y45" s="1">
        <v>1.5375000000000001</v>
      </c>
      <c r="Z45" s="1">
        <v>0.76836944914326544</v>
      </c>
      <c r="AA45" s="1">
        <v>1.3566993721774494</v>
      </c>
      <c r="AB45" s="1">
        <v>19</v>
      </c>
      <c r="AC45" s="1">
        <v>1.3301000492995052</v>
      </c>
      <c r="AD45" s="1">
        <v>-0.48277103062335874</v>
      </c>
      <c r="AE45" s="1">
        <v>0.23994522552667358</v>
      </c>
      <c r="AF45" s="1">
        <v>-0.13398960664879145</v>
      </c>
      <c r="AG45" s="1">
        <v>6.4610877356157378E-2</v>
      </c>
      <c r="AH45" s="1">
        <v>-1.647258078275441E-2</v>
      </c>
      <c r="AI45" s="1">
        <v>-1.8296252686462601E-2</v>
      </c>
      <c r="AJ45" s="1">
        <v>4.2195910081779073E-2</v>
      </c>
      <c r="AK45" s="1">
        <v>-5.550061376389015E-2</v>
      </c>
      <c r="AL45" s="1">
        <v>6.0350366198617202E-2</v>
      </c>
      <c r="AM45" s="1">
        <v>-5.7857987141107001E-2</v>
      </c>
      <c r="AN45" s="1">
        <v>4.9772972454585486E-2</v>
      </c>
      <c r="AO45" s="1">
        <v>-3.8968499210704284E-2</v>
      </c>
      <c r="AP45" s="1">
        <v>2.7006435182335291E-2</v>
      </c>
      <c r="AQ45" s="1">
        <v>-1.3770747918449722E-2</v>
      </c>
      <c r="AR45" s="1">
        <v>4.6694878090155966E-3</v>
      </c>
      <c r="AS45" s="1">
        <v>-1.1303575658915879E-3</v>
      </c>
      <c r="AT45" s="1">
        <v>1.1432178854844366E-4</v>
      </c>
      <c r="AU45" s="1">
        <v>-8.0961852583814928E-6</v>
      </c>
      <c r="AV45" s="1">
        <v>1.2682944989051019E-7</v>
      </c>
    </row>
    <row r="46" spans="1:48" s="1" customFormat="1" ht="9.75" customHeight="1">
      <c r="C46" s="5" t="str">
        <f>IF(COUNTIF(C$4:C45,"免震層→")=0,IF(COUNT(S$3:S$6)=4,IF(COUNTBLANK(D46:Q46)=14,"免震層→","･"),"･"),"･")</f>
        <v>･</v>
      </c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0"/>
      <c r="S46" s="10"/>
      <c r="T46" s="10"/>
      <c r="U46" s="10"/>
      <c r="V46" s="10"/>
      <c r="X46" s="1" t="s">
        <v>15</v>
      </c>
      <c r="Y46" s="1">
        <v>0.5222</v>
      </c>
      <c r="Z46" s="1">
        <v>0.12165540664388624</v>
      </c>
      <c r="AA46" s="1">
        <v>-0.53282114209019749</v>
      </c>
      <c r="AB46" s="1">
        <v>18</v>
      </c>
      <c r="AC46" s="1">
        <v>1.2939910259139713</v>
      </c>
      <c r="AD46" s="1">
        <v>-0.4028262666743348</v>
      </c>
      <c r="AE46" s="1">
        <v>0.13432810954029231</v>
      </c>
      <c r="AF46" s="1">
        <v>-4.8549392295136346E-3</v>
      </c>
      <c r="AG46" s="1">
        <v>-7.0340226852104365E-2</v>
      </c>
      <c r="AH46" s="1">
        <v>0.11049243521791358</v>
      </c>
      <c r="AI46" s="1">
        <v>-0.1191299070397225</v>
      </c>
      <c r="AJ46" s="1">
        <v>0.10326278604269998</v>
      </c>
      <c r="AK46" s="1">
        <v>-7.1912818048304739E-2</v>
      </c>
      <c r="AL46" s="1">
        <v>3.5381084578588913E-2</v>
      </c>
      <c r="AM46" s="1">
        <v>-1.3737695132476258E-3</v>
      </c>
      <c r="AN46" s="1">
        <v>-2.3007864727523634E-2</v>
      </c>
      <c r="AO46" s="1">
        <v>3.5410908532544055E-2</v>
      </c>
      <c r="AP46" s="1">
        <v>-3.4956459518206105E-2</v>
      </c>
      <c r="AQ46" s="1">
        <v>2.2503610654298862E-2</v>
      </c>
      <c r="AR46" s="1">
        <v>-9.2929495879435688E-3</v>
      </c>
      <c r="AS46" s="1">
        <v>2.6110343663563358E-3</v>
      </c>
      <c r="AT46" s="1">
        <v>-3.0882431292041579E-4</v>
      </c>
      <c r="AU46" s="1">
        <v>2.3657706699646912E-5</v>
      </c>
      <c r="AV46" s="1">
        <v>-6.2704954389644666E-7</v>
      </c>
    </row>
    <row r="47" spans="1:48" s="1" customFormat="1" ht="9.75" customHeight="1">
      <c r="C47" s="5" t="str">
        <f>IF(COUNTIF(C$4:C46,"免震層→")=0,IF(COUNT(S$3:S$6)=4,IF(COUNTBLANK(D47:Q47)=14,"免震層→","･"),"･"),"･")</f>
        <v>･</v>
      </c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10"/>
      <c r="S47" s="10"/>
      <c r="T47" s="10"/>
      <c r="U47" s="10"/>
      <c r="V47" s="10"/>
      <c r="X47" s="1" t="s">
        <v>17</v>
      </c>
      <c r="Y47" s="1">
        <v>0.30480000000000002</v>
      </c>
      <c r="Z47" s="1">
        <v>4.1721704372395668E-2</v>
      </c>
      <c r="AA47" s="1">
        <v>0.30202853482924114</v>
      </c>
      <c r="AB47" s="1">
        <v>17</v>
      </c>
      <c r="AC47" s="1">
        <v>1.2496638313174195</v>
      </c>
      <c r="AD47" s="1">
        <v>-0.30115967856487674</v>
      </c>
      <c r="AE47" s="1">
        <v>8.9748828328683038E-3</v>
      </c>
      <c r="AF47" s="1">
        <v>0.12088563920419387</v>
      </c>
      <c r="AG47" s="1">
        <v>-0.16090486826076009</v>
      </c>
      <c r="AH47" s="1">
        <v>0.14297756430880512</v>
      </c>
      <c r="AI47" s="1">
        <v>-8.503973416253631E-2</v>
      </c>
      <c r="AJ47" s="1">
        <v>1.5672687478149209E-2</v>
      </c>
      <c r="AK47" s="1">
        <v>3.8892419423775998E-2</v>
      </c>
      <c r="AL47" s="1">
        <v>-6.3479513122069869E-2</v>
      </c>
      <c r="AM47" s="1">
        <v>5.6392451109541129E-2</v>
      </c>
      <c r="AN47" s="1">
        <v>-2.7816586522622918E-2</v>
      </c>
      <c r="AO47" s="1">
        <v>-5.9649420632866641E-3</v>
      </c>
      <c r="AP47" s="1">
        <v>2.8138035586023614E-2</v>
      </c>
      <c r="AQ47" s="1">
        <v>-2.8142881872000584E-2</v>
      </c>
      <c r="AR47" s="1">
        <v>1.5486729449509426E-2</v>
      </c>
      <c r="AS47" s="1">
        <v>-5.2654866021342702E-3</v>
      </c>
      <c r="AT47" s="1">
        <v>7.5464773478215764E-4</v>
      </c>
      <c r="AU47" s="1">
        <v>-6.7402369813527623E-5</v>
      </c>
      <c r="AV47" s="1">
        <v>2.2050950336721409E-6</v>
      </c>
    </row>
    <row r="48" spans="1:48" s="1" customFormat="1" ht="9.75" customHeight="1">
      <c r="C48" s="5" t="str">
        <f>IF(COUNTIF(C$4:C47,"免震層→")=0,IF(COUNT(S$3:S$6)=4,IF(COUNTBLANK(D48:Q48)=14,"免震層→","･"),"･"),"･")</f>
        <v>･</v>
      </c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0"/>
      <c r="S48" s="10"/>
      <c r="T48" s="10"/>
      <c r="U48" s="10"/>
      <c r="V48" s="10"/>
      <c r="X48" s="1" t="s">
        <v>19</v>
      </c>
      <c r="Y48" s="1">
        <v>0.2203</v>
      </c>
      <c r="Z48" s="1">
        <v>2.3038050780697112E-2</v>
      </c>
      <c r="AA48" s="1">
        <v>0.21685549398023965</v>
      </c>
      <c r="AB48" s="1">
        <v>16</v>
      </c>
      <c r="AC48" s="1">
        <v>1.1977410970423137</v>
      </c>
      <c r="AD48" s="1">
        <v>-0.18449553460077389</v>
      </c>
      <c r="AE48" s="1">
        <v>-0.11415365893076891</v>
      </c>
      <c r="AF48" s="1">
        <v>0.20293343426915131</v>
      </c>
      <c r="AG48" s="1">
        <v>-0.16179444781498012</v>
      </c>
      <c r="AH48" s="1">
        <v>6.1781278199315781E-2</v>
      </c>
      <c r="AI48" s="1">
        <v>3.9117799811622452E-2</v>
      </c>
      <c r="AJ48" s="1">
        <v>-9.1134433413380414E-2</v>
      </c>
      <c r="AK48" s="1">
        <v>8.0134842300309289E-2</v>
      </c>
      <c r="AL48" s="1">
        <v>-2.9142018143885371E-2</v>
      </c>
      <c r="AM48" s="1">
        <v>-2.32394846708429E-2</v>
      </c>
      <c r="AN48" s="1">
        <v>4.4146643086578174E-2</v>
      </c>
      <c r="AO48" s="1">
        <v>-2.767995785036766E-2</v>
      </c>
      <c r="AP48" s="1">
        <v>-6.5573612732503905E-3</v>
      </c>
      <c r="AQ48" s="1">
        <v>2.66292710465671E-2</v>
      </c>
      <c r="AR48" s="1">
        <v>-2.2331779273029144E-2</v>
      </c>
      <c r="AS48" s="1">
        <v>9.5751316995471986E-3</v>
      </c>
      <c r="AT48" s="1">
        <v>-1.7059550616031285E-3</v>
      </c>
      <c r="AU48" s="1">
        <v>1.8218518073212807E-4</v>
      </c>
      <c r="AV48" s="1">
        <v>-7.0516032560429144E-6</v>
      </c>
    </row>
    <row r="49" spans="3:48" s="1" customFormat="1" ht="9.75" customHeight="1">
      <c r="C49" s="5" t="str">
        <f>IF(COUNTIF(C$4:C48,"免震層→")=0,IF(COUNT(S$3:S$6)=4,IF(COUNTBLANK(D49:Q49)=14,"免震層→","･"),"･"),"･")</f>
        <v>･</v>
      </c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0"/>
      <c r="S49" s="10"/>
      <c r="T49" s="10"/>
      <c r="U49" s="10"/>
      <c r="V49" s="10"/>
      <c r="X49" s="1" t="s">
        <v>20</v>
      </c>
      <c r="Y49" s="1">
        <v>0.17230000000000001</v>
      </c>
      <c r="Z49" s="1">
        <v>1.4247887046344439E-2</v>
      </c>
      <c r="AA49" s="1">
        <v>0.16883953361513987</v>
      </c>
      <c r="AB49" s="1">
        <v>15</v>
      </c>
      <c r="AC49" s="1">
        <v>1.1405071362157264</v>
      </c>
      <c r="AD49" s="1">
        <v>-6.4255666838858319E-2</v>
      </c>
      <c r="AE49" s="1">
        <v>-0.21101502409350439</v>
      </c>
      <c r="AF49" s="1">
        <v>0.21685549398023965</v>
      </c>
      <c r="AG49" s="1">
        <v>-8.0393087778676361E-2</v>
      </c>
      <c r="AH49" s="1">
        <v>-6.0229868193585376E-2</v>
      </c>
      <c r="AI49" s="1">
        <v>0.11648868615517702</v>
      </c>
      <c r="AJ49" s="1">
        <v>-7.3569306169272861E-2</v>
      </c>
      <c r="AK49" s="1">
        <v>-9.8798143761380311E-3</v>
      </c>
      <c r="AL49" s="1">
        <v>5.9361866716001521E-2</v>
      </c>
      <c r="AM49" s="1">
        <v>-4.5443409652528209E-2</v>
      </c>
      <c r="AN49" s="1">
        <v>-2.5434490614587237E-3</v>
      </c>
      <c r="AO49" s="1">
        <v>3.2537133653277595E-2</v>
      </c>
      <c r="AP49" s="1">
        <v>-1.8126848046163029E-2</v>
      </c>
      <c r="AQ49" s="1">
        <v>-1.4356834124090469E-2</v>
      </c>
      <c r="AR49" s="1">
        <v>2.5993003664116488E-2</v>
      </c>
      <c r="AS49" s="1">
        <v>-1.4911250688985783E-2</v>
      </c>
      <c r="AT49" s="1">
        <v>3.401178564738348E-3</v>
      </c>
      <c r="AU49" s="1">
        <v>-4.4040928775985935E-4</v>
      </c>
      <c r="AV49" s="1">
        <v>2.0469361745249973E-5</v>
      </c>
    </row>
    <row r="50" spans="3:48" s="1" customFormat="1" ht="9.75" customHeight="1">
      <c r="C50" s="5" t="str">
        <f>IF(COUNTIF(C$4:C49,"免震層→")=0,IF(COUNT(S$3:S$6)=4,IF(COUNTBLANK(D50:Q50)=14,"免震層→","･"),"･"),"･")</f>
        <v>･</v>
      </c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0"/>
      <c r="S50" s="10"/>
      <c r="T50" s="10"/>
      <c r="U50" s="10"/>
      <c r="V50" s="10"/>
      <c r="X50" s="1" t="s">
        <v>22</v>
      </c>
      <c r="Y50" s="1">
        <v>0.1426</v>
      </c>
      <c r="Z50" s="1">
        <v>9.5867474548624026E-3</v>
      </c>
      <c r="AA50" s="1">
        <v>0.14297756430880512</v>
      </c>
      <c r="AB50" s="1">
        <v>14</v>
      </c>
      <c r="AC50" s="1">
        <v>1.0770575750578781</v>
      </c>
      <c r="AD50" s="1">
        <v>5.7059420764167972E-2</v>
      </c>
      <c r="AE50" s="1">
        <v>-0.27199530302335373</v>
      </c>
      <c r="AF50" s="1">
        <v>0.16403452742153526</v>
      </c>
      <c r="AG50" s="1">
        <v>3.991135603379517E-2</v>
      </c>
      <c r="AH50" s="1">
        <v>-0.13645205203740435</v>
      </c>
      <c r="AI50" s="1">
        <v>7.7670467798197168E-2</v>
      </c>
      <c r="AJ50" s="1">
        <v>3.7154391341863165E-2</v>
      </c>
      <c r="AK50" s="1">
        <v>-8.2683639064396186E-2</v>
      </c>
      <c r="AL50" s="1">
        <v>3.3653457309091382E-2</v>
      </c>
      <c r="AM50" s="1">
        <v>3.3811679841754635E-2</v>
      </c>
      <c r="AN50" s="1">
        <v>-4.1988042987575844E-2</v>
      </c>
      <c r="AO50" s="1">
        <v>-1.3923757284363023E-3</v>
      </c>
      <c r="AP50" s="1">
        <v>2.759677617642893E-2</v>
      </c>
      <c r="AQ50" s="1">
        <v>-5.6565236828694295E-3</v>
      </c>
      <c r="AR50" s="1">
        <v>-2.2430435956027638E-2</v>
      </c>
      <c r="AS50" s="1">
        <v>1.9835787567018679E-2</v>
      </c>
      <c r="AT50" s="1">
        <v>-6.1169953295494963E-3</v>
      </c>
      <c r="AU50" s="1">
        <v>9.8554618542076654E-4</v>
      </c>
      <c r="AV50" s="1">
        <v>-5.5617687539149392E-5</v>
      </c>
    </row>
    <row r="51" spans="3:48" s="1" customFormat="1" ht="9.75" customHeight="1">
      <c r="C51" s="5" t="str">
        <f>IF(COUNTIF(C$4:C50,"免震層→")=0,IF(COUNT(S$3:S$6)=4,IF(COUNTBLANK(D51:Q51)=14,"免震層→","･"),"･"),"･")</f>
        <v>･</v>
      </c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0"/>
      <c r="S51" s="10"/>
      <c r="T51" s="10"/>
      <c r="U51" s="10"/>
      <c r="V51" s="10"/>
      <c r="X51" s="1" t="s">
        <v>215</v>
      </c>
      <c r="Y51" s="1">
        <v>0.12239999999999999</v>
      </c>
      <c r="Z51" s="1">
        <v>6.8784708185106146E-3</v>
      </c>
      <c r="AA51" s="1">
        <v>-0.1191299070397225</v>
      </c>
      <c r="AB51" s="1">
        <v>13</v>
      </c>
      <c r="AC51" s="1">
        <v>1.0080746429814753</v>
      </c>
      <c r="AD51" s="1">
        <v>0.17276271182270622</v>
      </c>
      <c r="AE51" s="1">
        <v>-0.28865839164567747</v>
      </c>
      <c r="AF51" s="1">
        <v>6.2592042548529347E-2</v>
      </c>
      <c r="AG51" s="1">
        <v>0.13874961024615995</v>
      </c>
      <c r="AH51" s="1">
        <v>-0.11389505221496882</v>
      </c>
      <c r="AI51" s="1">
        <v>-3.5763309846986148E-2</v>
      </c>
      <c r="AJ51" s="1">
        <v>9.9490260896449356E-2</v>
      </c>
      <c r="AK51" s="1">
        <v>-2.5798150322115888E-2</v>
      </c>
      <c r="AL51" s="1">
        <v>-5.4462404692132399E-2</v>
      </c>
      <c r="AM51" s="1">
        <v>3.7853140449639014E-2</v>
      </c>
      <c r="AN51" s="1">
        <v>2.4237021035042806E-2</v>
      </c>
      <c r="AO51" s="1">
        <v>-3.0817845022811818E-2</v>
      </c>
      <c r="AP51" s="1">
        <v>-1.2938566737162843E-2</v>
      </c>
      <c r="AQ51" s="1">
        <v>2.1877392026598365E-2</v>
      </c>
      <c r="AR51" s="1">
        <v>1.134014534075972E-2</v>
      </c>
      <c r="AS51" s="1">
        <v>-2.2924062863988768E-2</v>
      </c>
      <c r="AT51" s="1">
        <v>1.0231145403574695E-2</v>
      </c>
      <c r="AU51" s="1">
        <v>-2.095512753834833E-3</v>
      </c>
      <c r="AV51" s="1">
        <v>1.4518334874444633E-4</v>
      </c>
    </row>
    <row r="52" spans="3:48" s="1" customFormat="1" ht="9.75" customHeight="1">
      <c r="C52" s="5" t="str">
        <f>IF(COUNTIF(C$4:C51,"免震層→")=0,IF(COUNT(S$3:S$6)=4,IF(COUNTBLANK(D52:Q52)=14,"免震層→","･"),"･"),"･")</f>
        <v>･</v>
      </c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10"/>
      <c r="S52" s="10"/>
      <c r="T52" s="10"/>
      <c r="U52" s="10"/>
      <c r="V52" s="10"/>
      <c r="X52" s="1" t="s">
        <v>216</v>
      </c>
      <c r="Y52" s="1">
        <v>0.10780000000000001</v>
      </c>
      <c r="Z52" s="1">
        <v>4.820457297100178E-3</v>
      </c>
      <c r="AA52" s="1">
        <v>0.10326278604269998</v>
      </c>
      <c r="AB52" s="1">
        <v>12</v>
      </c>
      <c r="AC52" s="1">
        <v>0.93473275826283442</v>
      </c>
      <c r="AD52" s="1">
        <v>0.27604380954675944</v>
      </c>
      <c r="AE52" s="1">
        <v>-0.26011897721286603</v>
      </c>
      <c r="AF52" s="1">
        <v>-5.4872436926373967E-2</v>
      </c>
      <c r="AG52" s="1">
        <v>0.16883953361513987</v>
      </c>
      <c r="AH52" s="1">
        <v>-1.2511392557036715E-2</v>
      </c>
      <c r="AI52" s="1">
        <v>-0.11245609270020369</v>
      </c>
      <c r="AJ52" s="1">
        <v>3.8905411113642839E-2</v>
      </c>
      <c r="AK52" s="1">
        <v>6.8824487504724877E-2</v>
      </c>
      <c r="AL52" s="1">
        <v>-4.1331550554095958E-2</v>
      </c>
      <c r="AM52" s="1">
        <v>-3.8892383912673384E-2</v>
      </c>
      <c r="AN52" s="1">
        <v>2.9676253316193755E-2</v>
      </c>
      <c r="AO52" s="1">
        <v>2.5091790714521511E-2</v>
      </c>
      <c r="AP52" s="1">
        <v>-1.3394784267415822E-2</v>
      </c>
      <c r="AQ52" s="1">
        <v>-2.2838842639511012E-2</v>
      </c>
      <c r="AR52" s="1">
        <v>4.1450455461970971E-3</v>
      </c>
      <c r="AS52" s="1">
        <v>2.2082784101364977E-2</v>
      </c>
      <c r="AT52" s="1">
        <v>-1.5762547007123776E-2</v>
      </c>
      <c r="AU52" s="1">
        <v>4.1977557025743564E-3</v>
      </c>
      <c r="AV52" s="1">
        <v>-3.6062164665244539E-4</v>
      </c>
    </row>
    <row r="53" spans="3:48" s="1" customFormat="1" ht="9.75" customHeight="1">
      <c r="C53" s="10"/>
      <c r="D53" s="114" t="str">
        <f>IF(ISNUMBER(D3),IF(LEN(D54)&gt;1,"D3:D"&amp;MID(D54,2,FIND(":",D54)-2)-2,"D3:D52"),"･")</f>
        <v>･</v>
      </c>
      <c r="E53" s="115"/>
      <c r="F53" s="114" t="str">
        <f ca="1">IF(COUNT(INDIRECT(D53))&gt;0,IF(AND(
COUNT(INDIRECT(SUBSTITUTE(D53,"D","E")))=COUNT(INDIRECT(D53)),
COUNT(INDIRECT(SUBSTITUTE(D53,"D","F")))=COUNT(INDIRECT(D53))),IF(AND(
COUNT(INDIRECT(SUBSTITUTE(D53,"D","J")))=0,
COUNT(INDIRECT(SUBSTITUTE(D53,"D","N")))=0),IF(F54="○","◎","○"),"×"),IF(
COUNT(INDIRECT(SUBSTITUTE(D53,"D","F")))=0,"･","×")),"･")</f>
        <v>･</v>
      </c>
      <c r="G53" s="114" t="str">
        <f ca="1">IF(COUNT(INDIRECT(D53))&gt;0,IF(AND(
COUNT(INDIRECT(SUBSTITUTE(D53,"D","E")))=COUNT(INDIRECT(D53)),
COUNT(INDIRECT(SUBSTITUTE(D53,"D","G")))=COUNT(INDIRECT(D53))),IF(AND(
COUNT(INDIRECT(SUBSTITUTE(D53,"D","K")))=0,
COUNT(INDIRECT(SUBSTITUTE(D53,"D","O")))=0),IF(G54="○","◎","○"),"×"),IF(
COUNT(INDIRECT(SUBSTITUTE(D53,"D","G")))=0,"･","×")),"･")</f>
        <v>･</v>
      </c>
      <c r="H53" s="114" t="str">
        <f ca="1">IF(COUNT(INDIRECT(D53))&gt;0,IF(AND(
COUNT(INDIRECT(SUBSTITUTE(D53,"D","E")))=COUNT(INDIRECT(D53)),
COUNT(INDIRECT(SUBSTITUTE(D53,"D","H")))=COUNT(INDIRECT(D53))),IF(AND(
COUNT(INDIRECT(SUBSTITUTE(D53,"D","L")))=0,
COUNT(INDIRECT(SUBSTITUTE(D53,"D","P")))=0),IF(H54="○","◎","○"),"×"),IF(
COUNT(INDIRECT(SUBSTITUTE(D53,"D","H")))=0,"･","×")),"･")</f>
        <v>･</v>
      </c>
      <c r="I53" s="114" t="str">
        <f ca="1">IF(COUNT(INDIRECT(D53))&gt;0,IF(AND(
COUNT(INDIRECT(SUBSTITUTE(D53,"D","E")))=COUNT(INDIRECT(D53)),
COUNT(INDIRECT(SUBSTITUTE(D53,"D","I")))=COUNT(INDIRECT(D53))),IF(AND(
COUNT(INDIRECT(SUBSTITUTE(D53,"D","M")))=0,
COUNT(INDIRECT(SUBSTITUTE(D53,"D","Q")))=0),IF(I54="○","◎","○"),"×"),IF(
COUNT(INDIRECT(SUBSTITUTE(D53,"D","I")))=0,"･","×")),"･")</f>
        <v>･</v>
      </c>
      <c r="J53" s="12"/>
      <c r="K53" s="12"/>
      <c r="L53" s="12"/>
      <c r="M53" s="12"/>
      <c r="N53" s="114" t="str">
        <f ca="1">IF(COUNT(INDIRECT(D53))&gt;0,IF(AND(
COUNT(INDIRECT(SUBSTITUTE(D53,"D","E")))=COUNT(INDIRECT(D53)),
COUNT(INDIRECT(SUBSTITUTE(D53,"D","J")))=COUNT(INDIRECT(D53)),
COUNT(INDIRECT(SUBSTITUTE(D53,"D","N")))=COUNT(INDIRECT(D53))),IF(
COUNT(INDIRECT(SUBSTITUTE(D53,"D","F")))=0,IF(N54="○","◎","○"),"×"),IF(AND(
COUNT(INDIRECT(SUBSTITUTE(D53,"D","J")))=0,
COUNT(INDIRECT(SUBSTITUTE(D53,"D","N")))=0),"･","×")),"･")</f>
        <v>･</v>
      </c>
      <c r="O53" s="114" t="str">
        <f ca="1">IF(COUNT(INDIRECT(D53))&gt;0,IF(AND(
COUNT(INDIRECT(SUBSTITUTE(D53,"D","E")))=COUNT(INDIRECT(D53)),
COUNT(INDIRECT(SUBSTITUTE(D53,"D","K")))=COUNT(INDIRECT(D53)),
COUNT(INDIRECT(SUBSTITUTE(D53,"D","O")))=COUNT(INDIRECT(D53))),IF(
COUNT(INDIRECT(SUBSTITUTE(D53,"D","G")))=0,IF(O54="○","◎","○"),"×"),IF(AND(
COUNT(INDIRECT(SUBSTITUTE(D53,"D","K")))=0,
COUNT(INDIRECT(SUBSTITUTE(D53,"D","O")))=0),"･","×")),"･")</f>
        <v>･</v>
      </c>
      <c r="P53" s="114" t="str">
        <f ca="1">IF(COUNT(INDIRECT(D53))&gt;0,IF(AND(
COUNT(INDIRECT(SUBSTITUTE(D53,"D","E")))=COUNT(INDIRECT(D53)),
COUNT(INDIRECT(SUBSTITUTE(D53,"D","L")))=COUNT(INDIRECT(D53)),
COUNT(INDIRECT(SUBSTITUTE(D53,"D","P")))=COUNT(INDIRECT(D53))),IF(
COUNT(INDIRECT(SUBSTITUTE(D53,"D","H")))=0,IF(P54="○","◎","○"),"×"),IF(AND(
COUNT(INDIRECT(SUBSTITUTE(D53,"D","L")))=0,
COUNT(INDIRECT(SUBSTITUTE(D53,"D","P")))=0),"･","×")),"･")</f>
        <v>･</v>
      </c>
      <c r="Q53" s="114" t="str">
        <f ca="1">IF(COUNT(INDIRECT(D53))&gt;0,IF(AND(
COUNT(INDIRECT(SUBSTITUTE(D53,"D","E")))=COUNT(INDIRECT(D53)),
COUNT(INDIRECT(SUBSTITUTE(D53,"D","M")))=COUNT(INDIRECT(D53)),
COUNT(INDIRECT(SUBSTITUTE(D53,"D","Q")))=COUNT(INDIRECT(D53))),IF(
COUNT(INDIRECT(SUBSTITUTE(D53,"D","I")))=0,IF(Q54="○","◎","○"),"×"),IF(AND(
COUNT(INDIRECT(SUBSTITUTE(D53,"D","M")))=0,
COUNT(INDIRECT(SUBSTITUTE(D53,"D","Q")))=0),"･","×")),"･")</f>
        <v>･</v>
      </c>
      <c r="X53" s="1" t="s">
        <v>217</v>
      </c>
      <c r="Y53" s="1">
        <v>9.6699999999999994E-2</v>
      </c>
      <c r="Z53" s="1">
        <v>3.354444816433886E-3</v>
      </c>
      <c r="AA53" s="1">
        <v>-8.2683639064396186E-2</v>
      </c>
      <c r="AB53" s="1">
        <v>11</v>
      </c>
      <c r="AC53" s="1">
        <v>0.85923452627385122</v>
      </c>
      <c r="AD53" s="1">
        <v>0.36033562224801424</v>
      </c>
      <c r="AE53" s="1">
        <v>-0.19442146864805998</v>
      </c>
      <c r="AF53" s="1">
        <v>-0.15157584605043259</v>
      </c>
      <c r="AG53" s="1">
        <v>0.12052421406062749</v>
      </c>
      <c r="AH53" s="1">
        <v>9.239142671202781E-2</v>
      </c>
      <c r="AI53" s="1">
        <v>-8.4008466642318508E-2</v>
      </c>
      <c r="AJ53" s="1">
        <v>-6.4100954722717027E-2</v>
      </c>
      <c r="AK53" s="1">
        <v>5.968080354893316E-2</v>
      </c>
      <c r="AL53" s="1">
        <v>4.2859361856842138E-2</v>
      </c>
      <c r="AM53" s="1">
        <v>-3.2967788611729526E-2</v>
      </c>
      <c r="AN53" s="1">
        <v>-3.4168989062813931E-2</v>
      </c>
      <c r="AO53" s="1">
        <v>1.2735821200024939E-2</v>
      </c>
      <c r="AP53" s="1">
        <v>2.4738188534413567E-2</v>
      </c>
      <c r="AQ53" s="1">
        <v>5.7683601417929812E-3</v>
      </c>
      <c r="AR53" s="1">
        <v>-1.6695910940678665E-2</v>
      </c>
      <c r="AS53" s="1">
        <v>-1.4638228281989045E-2</v>
      </c>
      <c r="AT53" s="1">
        <v>2.1047636781593545E-2</v>
      </c>
      <c r="AU53" s="1">
        <v>-7.5569214274910507E-3</v>
      </c>
      <c r="AV53" s="1">
        <v>8.1861303010977572E-4</v>
      </c>
    </row>
    <row r="54" spans="3:48" s="1" customFormat="1" ht="9.75" customHeight="1">
      <c r="C54" s="10"/>
      <c r="D54" s="114" t="str">
        <f>IF(COUNTIF(C1:C52,"免震層→")&gt;0,"D"&amp;MATCH("免震層→",C1:C52,0)+1&amp;":D52","･")</f>
        <v>･</v>
      </c>
      <c r="E54" s="115"/>
      <c r="F54" s="114" t="str">
        <f ca="1">IF(COUNT(INDIRECT(D54))&gt;0,IF(AND(
COUNT(INDIRECT(SUBSTITUTE(D54,"D","E")))=COUNT(INDIRECT(D54)),
COUNT(INDIRECT(SUBSTITUTE(D54,"D","F")))=COUNT(INDIRECT(D54))),IF(AND(
COUNT(INDIRECT(SUBSTITUTE(D54,"D","J")))=0,
COUNT(INDIRECT(SUBSTITUTE(D54,"D","N")))=0),"○","×"),IF(
COUNT(INDIRECT(SUBSTITUTE(D54,"D","F")))=0,"･","×")),"･")</f>
        <v>･</v>
      </c>
      <c r="G54" s="114" t="str">
        <f ca="1">IF(COUNT(INDIRECT(D54))&gt;0,IF(AND(
COUNT(INDIRECT(SUBSTITUTE(D54,"D","E")))=COUNT(INDIRECT(D54)),
COUNT(INDIRECT(SUBSTITUTE(D54,"D","G")))=COUNT(INDIRECT(D54))),IF(AND(
COUNT(INDIRECT(SUBSTITUTE(D54,"D","K")))=0,
COUNT(INDIRECT(SUBSTITUTE(D54,"D","O")))=0),"○","×"),IF(
COUNT(INDIRECT(SUBSTITUTE(D54,"D","G")))=0,"･","×")),"･")</f>
        <v>･</v>
      </c>
      <c r="H54" s="114" t="str">
        <f ca="1">IF(COUNT(INDIRECT(D54))&gt;0,IF(AND(
COUNT(INDIRECT(SUBSTITUTE(D54,"D","E")))=COUNT(INDIRECT(D54)),
COUNT(INDIRECT(SUBSTITUTE(D54,"D","H")))=COUNT(INDIRECT(D54))),IF(AND(
COUNT(INDIRECT(SUBSTITUTE(D54,"D","L")))=0,
COUNT(INDIRECT(SUBSTITUTE(D54,"D","P")))=0),"○","×"),IF(
COUNT(INDIRECT(SUBSTITUTE(D54,"D","H")))=0,"･","×")),"･")</f>
        <v>･</v>
      </c>
      <c r="I54" s="114" t="str">
        <f ca="1">IF(COUNT(INDIRECT(D54))&gt;0,IF(AND(
COUNT(INDIRECT(SUBSTITUTE(D54,"D","E")))=COUNT(INDIRECT(D54)),
COUNT(INDIRECT(SUBSTITUTE(D54,"D","I")))=COUNT(INDIRECT(D54))),IF(AND(
COUNT(INDIRECT(SUBSTITUTE(D54,"D","M")))=0,
COUNT(INDIRECT(SUBSTITUTE(D54,"D","Q")))=0),"○","×"),IF(
COUNT(INDIRECT(SUBSTITUTE(D54,"D","I")))=0,"･","×")),"･")</f>
        <v>･</v>
      </c>
      <c r="J54" s="12"/>
      <c r="K54" s="12"/>
      <c r="L54" s="12"/>
      <c r="M54" s="12"/>
      <c r="N54" s="114" t="str">
        <f ca="1">IF(COUNT(INDIRECT(D54))&gt;0,IF(AND(
COUNT(INDIRECT(SUBSTITUTE(D54,"D","E")))=COUNT(INDIRECT(D54)),
COUNT(INDIRECT(SUBSTITUTE(D54,"D","J")))=COUNT(INDIRECT(D54)),
COUNT(INDIRECT(SUBSTITUTE(D54,"D","N")))=COUNT(INDIRECT(D54))),IF(
COUNT(INDIRECT(SUBSTITUTE(D54,"D","F")))=0,"○","×"),IF(AND(
COUNT(INDIRECT(SUBSTITUTE(D54,"D","J")))=0,
COUNT(INDIRECT(SUBSTITUTE(D54,"D","N")))=0),"･","×")),"･")</f>
        <v>･</v>
      </c>
      <c r="O54" s="114" t="str">
        <f ca="1">IF(COUNT(INDIRECT(D54))&gt;0,IF(AND(
COUNT(INDIRECT(SUBSTITUTE(D54,"D","E")))=COUNT(INDIRECT(D54)),
COUNT(INDIRECT(SUBSTITUTE(D54,"D","K")))=COUNT(INDIRECT(D54)),
COUNT(INDIRECT(SUBSTITUTE(D54,"D","O")))=COUNT(INDIRECT(D54))),IF(
COUNT(INDIRECT(SUBSTITUTE(D54,"D","G")))=0,"○","×"),IF(AND(
COUNT(INDIRECT(SUBSTITUTE(D54,"D","K")))=0,
COUNT(INDIRECT(SUBSTITUTE(D54,"D","O")))=0),"･","×")),"･")</f>
        <v>･</v>
      </c>
      <c r="P54" s="114" t="str">
        <f ca="1">IF(COUNT(INDIRECT(D54))&gt;0,IF(AND(
COUNT(INDIRECT(SUBSTITUTE(D54,"D","E")))=COUNT(INDIRECT(D54)),
COUNT(INDIRECT(SUBSTITUTE(D54,"D","L")))=COUNT(INDIRECT(D54)),
COUNT(INDIRECT(SUBSTITUTE(D54,"D","P")))=COUNT(INDIRECT(D54))),IF(
COUNT(INDIRECT(SUBSTITUTE(D54,"D","H")))=0,"○","×"),IF(AND(
COUNT(INDIRECT(SUBSTITUTE(D54,"D","L")))=0,
COUNT(INDIRECT(SUBSTITUTE(D54,"D","P")))=0),"･","×")),"･")</f>
        <v>･</v>
      </c>
      <c r="Q54" s="114" t="str">
        <f ca="1">IF(COUNT(INDIRECT(D54))&gt;0,IF(AND(
COUNT(INDIRECT(SUBSTITUTE(D54,"D","E")))=COUNT(INDIRECT(D54)),
COUNT(INDIRECT(SUBSTITUTE(D54,"D","M")))=COUNT(INDIRECT(D54)),
COUNT(INDIRECT(SUBSTITUTE(D54,"D","Q")))=COUNT(INDIRECT(D54))),IF(
COUNT(INDIRECT(SUBSTITUTE(D54,"D","I")))=0,"○","×"),IF(AND(
COUNT(INDIRECT(SUBSTITUTE(D54,"D","M")))=0,
COUNT(INDIRECT(SUBSTITUTE(D54,"D","Q")))=0),"･","×")),"･")</f>
        <v>･</v>
      </c>
      <c r="X54" s="1" t="s">
        <v>218</v>
      </c>
      <c r="Y54" s="1">
        <v>8.8300000000000003E-2</v>
      </c>
      <c r="Z54" s="1">
        <v>2.1082628453110491E-3</v>
      </c>
      <c r="AA54" s="1">
        <v>-6.3479513122069869E-2</v>
      </c>
      <c r="AB54" s="1">
        <v>10</v>
      </c>
      <c r="AC54" s="1">
        <v>0.78279474998163479</v>
      </c>
      <c r="AD54" s="1">
        <v>0.42274760090599056</v>
      </c>
      <c r="AE54" s="1">
        <v>-0.10474261402626597</v>
      </c>
      <c r="AF54" s="1">
        <v>-0.20312599226934311</v>
      </c>
      <c r="AG54" s="1">
        <v>2.261060684931044E-2</v>
      </c>
      <c r="AH54" s="1">
        <v>0.13352252502170195</v>
      </c>
      <c r="AI54" s="1">
        <v>1.4918186207025589E-2</v>
      </c>
      <c r="AJ54" s="1">
        <v>-9.1147081242633821E-2</v>
      </c>
      <c r="AK54" s="1">
        <v>-3.0658850361774556E-2</v>
      </c>
      <c r="AL54" s="1">
        <v>5.2159773987928308E-2</v>
      </c>
      <c r="AM54" s="1">
        <v>3.6208096275526701E-2</v>
      </c>
      <c r="AN54" s="1">
        <v>-1.9365234911366061E-2</v>
      </c>
      <c r="AO54" s="1">
        <v>-3.0568351832623415E-2</v>
      </c>
      <c r="AP54" s="1">
        <v>-6.6617287672817204E-3</v>
      </c>
      <c r="AQ54" s="1">
        <v>1.5838604713029784E-2</v>
      </c>
      <c r="AR54" s="1">
        <v>1.6943583964108236E-2</v>
      </c>
      <c r="AS54" s="1">
        <v>5.8803934365175392E-4</v>
      </c>
      <c r="AT54" s="1">
        <v>-2.2025576139815851E-2</v>
      </c>
      <c r="AU54" s="1">
        <v>1.1602556097096407E-2</v>
      </c>
      <c r="AV54" s="1">
        <v>-1.638893795899957E-3</v>
      </c>
    </row>
    <row r="55" spans="3:48" s="1" customFormat="1" ht="9.75" customHeight="1">
      <c r="C55" s="14"/>
      <c r="D55" s="15"/>
      <c r="E55" s="2" t="s">
        <v>40</v>
      </c>
      <c r="F55" s="146" t="s">
        <v>41</v>
      </c>
      <c r="G55" s="147"/>
      <c r="H55" s="147"/>
      <c r="I55" s="148"/>
      <c r="J55" s="146" t="s">
        <v>42</v>
      </c>
      <c r="K55" s="147"/>
      <c r="L55" s="147"/>
      <c r="M55" s="148"/>
      <c r="N55" s="146" t="s">
        <v>43</v>
      </c>
      <c r="O55" s="147"/>
      <c r="P55" s="147"/>
      <c r="Q55" s="148"/>
      <c r="S55" s="149" t="s">
        <v>44</v>
      </c>
      <c r="T55" s="150"/>
      <c r="U55" s="150"/>
      <c r="V55" s="151"/>
      <c r="X55" s="1" t="s">
        <v>219</v>
      </c>
      <c r="Y55" s="1">
        <v>8.1500000000000003E-2</v>
      </c>
      <c r="Z55" s="1">
        <v>1.3711250667976717E-3</v>
      </c>
      <c r="AA55" s="1">
        <v>-5.7857987141107001E-2</v>
      </c>
      <c r="AB55" s="1">
        <v>9</v>
      </c>
      <c r="AC55" s="1">
        <v>0.70377889212051226</v>
      </c>
      <c r="AD55" s="1">
        <v>0.46353539662841176</v>
      </c>
      <c r="AE55" s="1">
        <v>-1.6625014868339508E-3</v>
      </c>
      <c r="AF55" s="1">
        <v>-0.2009687484590465</v>
      </c>
      <c r="AG55" s="1">
        <v>-8.3355775052383535E-2</v>
      </c>
      <c r="AH55" s="1">
        <v>9.0921096363089551E-2</v>
      </c>
      <c r="AI55" s="1">
        <v>9.9913896616240699E-2</v>
      </c>
      <c r="AJ55" s="1">
        <v>-1.8866710964857748E-2</v>
      </c>
      <c r="AK55" s="1">
        <v>-7.8239403972014759E-2</v>
      </c>
      <c r="AL55" s="1">
        <v>-2.3276410259699266E-2</v>
      </c>
      <c r="AM55" s="1">
        <v>3.5635842924960012E-2</v>
      </c>
      <c r="AN55" s="1">
        <v>3.728212551162588E-2</v>
      </c>
      <c r="AO55" s="1">
        <v>1.5121191245331094E-3</v>
      </c>
      <c r="AP55" s="1">
        <v>-1.9687314057490201E-2</v>
      </c>
      <c r="AQ55" s="1">
        <v>-2.0384243220097277E-2</v>
      </c>
      <c r="AR55" s="1">
        <v>-3.3146806813939577E-3</v>
      </c>
      <c r="AS55" s="1">
        <v>1.361150183119535E-2</v>
      </c>
      <c r="AT55" s="1">
        <v>1.5938092184702657E-2</v>
      </c>
      <c r="AU55" s="1">
        <v>-1.5366956215223434E-2</v>
      </c>
      <c r="AV55" s="1">
        <v>2.9937810637685309E-3</v>
      </c>
    </row>
    <row r="56" spans="3:48" s="1" customFormat="1" ht="9.75" customHeight="1">
      <c r="C56" s="10"/>
      <c r="D56" s="16"/>
      <c r="E56" s="17" t="s">
        <v>256</v>
      </c>
      <c r="F56" s="3" t="s">
        <v>245</v>
      </c>
      <c r="G56" s="3" t="s">
        <v>3</v>
      </c>
      <c r="H56" s="3" t="s">
        <v>4</v>
      </c>
      <c r="I56" s="3" t="s">
        <v>5</v>
      </c>
      <c r="J56" s="3" t="s">
        <v>109</v>
      </c>
      <c r="K56" s="3" t="s">
        <v>6</v>
      </c>
      <c r="L56" s="3" t="s">
        <v>7</v>
      </c>
      <c r="M56" s="3" t="s">
        <v>8</v>
      </c>
      <c r="N56" s="3" t="s">
        <v>109</v>
      </c>
      <c r="O56" s="3" t="s">
        <v>6</v>
      </c>
      <c r="P56" s="3" t="s">
        <v>7</v>
      </c>
      <c r="Q56" s="3" t="s">
        <v>8</v>
      </c>
      <c r="S56" s="18" t="s">
        <v>2</v>
      </c>
      <c r="T56" s="18" t="s">
        <v>6</v>
      </c>
      <c r="U56" s="18" t="s">
        <v>7</v>
      </c>
      <c r="V56" s="18" t="s">
        <v>8</v>
      </c>
      <c r="X56" s="1" t="s">
        <v>220</v>
      </c>
      <c r="Y56" s="1">
        <v>7.6200000000000004E-2</v>
      </c>
      <c r="Z56" s="1">
        <v>9.2300000378762526E-4</v>
      </c>
      <c r="AA56" s="1">
        <v>4.9772972454585486E-2</v>
      </c>
      <c r="AB56" s="1">
        <v>8</v>
      </c>
      <c r="AC56" s="1">
        <v>0.62375709433013138</v>
      </c>
      <c r="AD56" s="1">
        <v>0.4812722293036848</v>
      </c>
      <c r="AE56" s="1">
        <v>9.9002099434903512E-2</v>
      </c>
      <c r="AF56" s="1">
        <v>-0.14792364638888428</v>
      </c>
      <c r="AG56" s="1">
        <v>-0.15160475343642993</v>
      </c>
      <c r="AH56" s="1">
        <v>-5.4913785067996603E-3</v>
      </c>
      <c r="AI56" s="1">
        <v>0.10070864478686689</v>
      </c>
      <c r="AJ56" s="1">
        <v>7.1218484426918069E-2</v>
      </c>
      <c r="AK56" s="1">
        <v>-2.1837176269527334E-2</v>
      </c>
      <c r="AL56" s="1">
        <v>-5.9949630518334809E-2</v>
      </c>
      <c r="AM56" s="1">
        <v>-3.0658143862881147E-2</v>
      </c>
      <c r="AN56" s="1">
        <v>1.3583188105587611E-2</v>
      </c>
      <c r="AO56" s="1">
        <v>2.9105122297377124E-2</v>
      </c>
      <c r="AP56" s="1">
        <v>1.9121698128302743E-2</v>
      </c>
      <c r="AQ56" s="1">
        <v>2.1377048060914456E-3</v>
      </c>
      <c r="AR56" s="1">
        <v>-1.2850130459069553E-2</v>
      </c>
      <c r="AS56" s="1">
        <v>-1.8288352438047668E-2</v>
      </c>
      <c r="AT56" s="1">
        <v>-3.7088714129174336E-3</v>
      </c>
      <c r="AU56" s="1">
        <v>1.7431287447880493E-2</v>
      </c>
      <c r="AV56" s="1">
        <v>-5.0254697748526632E-3</v>
      </c>
    </row>
    <row r="57" spans="3:48" s="1" customFormat="1" ht="9.75" customHeight="1">
      <c r="C57" s="10"/>
      <c r="D57" s="16"/>
      <c r="E57" s="19" t="s">
        <v>258</v>
      </c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S57" s="20"/>
      <c r="T57" s="20"/>
      <c r="U57" s="20"/>
      <c r="V57" s="20"/>
      <c r="X57" s="1" t="s">
        <v>221</v>
      </c>
      <c r="Y57" s="1">
        <v>7.1800000000000003E-2</v>
      </c>
      <c r="Z57" s="1">
        <v>5.5432284842023012E-4</v>
      </c>
      <c r="AA57" s="1">
        <v>-3.8968499210704284E-2</v>
      </c>
      <c r="AB57" s="1">
        <v>7</v>
      </c>
      <c r="AC57" s="1">
        <v>0.54138920445410899</v>
      </c>
      <c r="AD57" s="1">
        <v>0.47608223267424959</v>
      </c>
      <c r="AE57" s="1">
        <v>0.18670126072924939</v>
      </c>
      <c r="AF57" s="1">
        <v>-5.7491111707145756E-2</v>
      </c>
      <c r="AG57" s="1">
        <v>-0.15679868014766862</v>
      </c>
      <c r="AH57" s="1">
        <v>-9.8696754163014766E-2</v>
      </c>
      <c r="AI57" s="1">
        <v>1.9078949572565531E-2</v>
      </c>
      <c r="AJ57" s="1">
        <v>8.6048653225967525E-2</v>
      </c>
      <c r="AK57" s="1">
        <v>6.3265665201279575E-2</v>
      </c>
      <c r="AL57" s="1">
        <v>-2.2468648536070907E-3</v>
      </c>
      <c r="AM57" s="1">
        <v>-4.0339884133238003E-2</v>
      </c>
      <c r="AN57" s="1">
        <v>-3.8819693456058041E-2</v>
      </c>
      <c r="AO57" s="1">
        <v>-1.242471198036974E-2</v>
      </c>
      <c r="AP57" s="1">
        <v>7.9253622307322753E-3</v>
      </c>
      <c r="AQ57" s="1">
        <v>1.8612439257033927E-2</v>
      </c>
      <c r="AR57" s="1">
        <v>1.6964201465851828E-2</v>
      </c>
      <c r="AS57" s="1">
        <v>9.6759716215091517E-3</v>
      </c>
      <c r="AT57" s="1">
        <v>-1.0199012531180369E-2</v>
      </c>
      <c r="AU57" s="1">
        <v>-1.6700267692190518E-2</v>
      </c>
      <c r="AV57" s="1">
        <v>7.9730402319245185E-3</v>
      </c>
    </row>
    <row r="58" spans="3:48" s="1" customFormat="1" ht="9.75" customHeight="1">
      <c r="C58" s="10"/>
      <c r="D58" s="16"/>
      <c r="E58" s="21" t="s">
        <v>259</v>
      </c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S58" s="20"/>
      <c r="T58" s="20"/>
      <c r="U58" s="20"/>
      <c r="V58" s="20"/>
      <c r="X58" s="1" t="s">
        <v>222</v>
      </c>
      <c r="Y58" s="1">
        <v>6.8500000000000005E-2</v>
      </c>
      <c r="Z58" s="1">
        <v>3.7055412061977344E-4</v>
      </c>
      <c r="AA58" s="1">
        <v>-3.4956459518206105E-2</v>
      </c>
      <c r="AB58" s="1">
        <v>6</v>
      </c>
      <c r="AC58" s="1">
        <v>0.45775099729707308</v>
      </c>
      <c r="AD58" s="1">
        <v>0.44845004786450093</v>
      </c>
      <c r="AE58" s="1">
        <v>0.24926276254804758</v>
      </c>
      <c r="AF58" s="1">
        <v>4.6625771873971503E-2</v>
      </c>
      <c r="AG58" s="1">
        <v>-9.7209441528349552E-2</v>
      </c>
      <c r="AH58" s="1">
        <v>-0.13213824194809878</v>
      </c>
      <c r="AI58" s="1">
        <v>-7.7405419983980053E-2</v>
      </c>
      <c r="AJ58" s="1">
        <v>1.0511908984289924E-2</v>
      </c>
      <c r="AK58" s="1">
        <v>6.5480747700227895E-2</v>
      </c>
      <c r="AL58" s="1">
        <v>5.8517630499974042E-2</v>
      </c>
      <c r="AM58" s="1">
        <v>2.3999989754505929E-2</v>
      </c>
      <c r="AN58" s="1">
        <v>-9.4840965364166325E-3</v>
      </c>
      <c r="AO58" s="1">
        <v>-2.4338206527483575E-2</v>
      </c>
      <c r="AP58" s="1">
        <v>-2.3777845787062355E-2</v>
      </c>
      <c r="AQ58" s="1">
        <v>-1.7349574605451213E-2</v>
      </c>
      <c r="AR58" s="1">
        <v>-5.0210009497924125E-3</v>
      </c>
      <c r="AS58" s="1">
        <v>5.9953414267365241E-3</v>
      </c>
      <c r="AT58" s="1">
        <v>1.9279961577171722E-2</v>
      </c>
      <c r="AU58" s="1">
        <v>1.3078619504164916E-2</v>
      </c>
      <c r="AV58" s="1">
        <v>-1.2229951164029234E-2</v>
      </c>
    </row>
    <row r="59" spans="3:48" s="1" customFormat="1" ht="9.75" customHeight="1">
      <c r="C59" s="10"/>
      <c r="D59" s="16"/>
      <c r="E59" s="21" t="s">
        <v>260</v>
      </c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S59" s="20"/>
      <c r="T59" s="20"/>
      <c r="U59" s="20"/>
      <c r="V59" s="20"/>
      <c r="X59" s="1" t="s">
        <v>223</v>
      </c>
      <c r="Y59" s="1">
        <v>6.5799999999999997E-2</v>
      </c>
      <c r="Z59" s="1">
        <v>2.8364004484112023E-4</v>
      </c>
      <c r="AA59" s="1">
        <v>-2.8142881872000584E-2</v>
      </c>
      <c r="AB59" s="1">
        <v>5</v>
      </c>
      <c r="AC59" s="1">
        <v>0.37344229017056946</v>
      </c>
      <c r="AD59" s="1">
        <v>0.39995269560340652</v>
      </c>
      <c r="AE59" s="1">
        <v>0.27878321743367152</v>
      </c>
      <c r="AF59" s="1">
        <v>0.1381356889388291</v>
      </c>
      <c r="AG59" s="1">
        <v>1.8907026308845447E-3</v>
      </c>
      <c r="AH59" s="1">
        <v>-8.6725858326049496E-2</v>
      </c>
      <c r="AI59" s="1">
        <v>-0.11057430167301578</v>
      </c>
      <c r="AJ59" s="1">
        <v>-7.5515794523149299E-2</v>
      </c>
      <c r="AK59" s="1">
        <v>-1.689706267270806E-2</v>
      </c>
      <c r="AL59" s="1">
        <v>2.7927489797614211E-2</v>
      </c>
      <c r="AM59" s="1">
        <v>4.425070955522515E-2</v>
      </c>
      <c r="AN59" s="1">
        <v>3.9370462712763225E-2</v>
      </c>
      <c r="AO59" s="1">
        <v>2.085628990389838E-2</v>
      </c>
      <c r="AP59" s="1">
        <v>6.029260779585318E-3</v>
      </c>
      <c r="AQ59" s="1">
        <v>-4.620453296798185E-3</v>
      </c>
      <c r="AR59" s="1">
        <v>-1.1693591073011614E-2</v>
      </c>
      <c r="AS59" s="1">
        <v>-1.7008408969906005E-2</v>
      </c>
      <c r="AT59" s="1">
        <v>-1.8878943864482543E-2</v>
      </c>
      <c r="AU59" s="1">
        <v>-6.8662159849048107E-3</v>
      </c>
      <c r="AV59" s="1">
        <v>1.8141822857579249E-2</v>
      </c>
    </row>
    <row r="60" spans="3:48" s="1" customFormat="1" ht="9.75" customHeight="1">
      <c r="C60" s="14"/>
      <c r="D60" s="15"/>
      <c r="E60" s="22" t="s">
        <v>261</v>
      </c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S60" s="23"/>
      <c r="T60" s="23"/>
      <c r="U60" s="23"/>
      <c r="V60" s="23"/>
      <c r="X60" s="1" t="s">
        <v>224</v>
      </c>
      <c r="Y60" s="1">
        <v>6.3299999999999995E-2</v>
      </c>
      <c r="Z60" s="1">
        <v>1.9383102898181198E-4</v>
      </c>
      <c r="AA60" s="1">
        <v>2.5993003664116488E-2</v>
      </c>
      <c r="AB60" s="1">
        <v>4</v>
      </c>
      <c r="AC60" s="1">
        <v>0.29060859544821915</v>
      </c>
      <c r="AD60" s="1">
        <v>0.33452064004374005</v>
      </c>
      <c r="AE60" s="1">
        <v>0.27198756168997162</v>
      </c>
      <c r="AF60" s="1">
        <v>0.19331967900135341</v>
      </c>
      <c r="AG60" s="1">
        <v>9.7706702455225378E-2</v>
      </c>
      <c r="AH60" s="1">
        <v>7.6372447526191628E-3</v>
      </c>
      <c r="AI60" s="1">
        <v>-5.5830797498815719E-2</v>
      </c>
      <c r="AJ60" s="1">
        <v>-8.2811962263798708E-2</v>
      </c>
      <c r="AK60" s="1">
        <v>-7.5721938276806622E-2</v>
      </c>
      <c r="AL60" s="1">
        <v>-4.4065039538125864E-2</v>
      </c>
      <c r="AM60" s="1">
        <v>-1.4352496478072444E-2</v>
      </c>
      <c r="AN60" s="1">
        <v>7.1360216569383381E-3</v>
      </c>
      <c r="AO60" s="1">
        <v>1.7311098528934164E-2</v>
      </c>
      <c r="AP60" s="1">
        <v>1.9895462566489826E-2</v>
      </c>
      <c r="AQ60" s="1">
        <v>2.0314730110002191E-2</v>
      </c>
      <c r="AR60" s="1">
        <v>1.6163149263528367E-2</v>
      </c>
      <c r="AS60" s="1">
        <v>1.4016984513731734E-2</v>
      </c>
      <c r="AT60" s="1">
        <v>8.2351968512141757E-3</v>
      </c>
      <c r="AU60" s="1">
        <v>-9.8117778853661726E-4</v>
      </c>
      <c r="AV60" s="1">
        <v>-2.5089655037812623E-2</v>
      </c>
    </row>
    <row r="61" spans="3:48" ht="9.75" customHeight="1"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S61" s="112"/>
      <c r="T61" s="112"/>
      <c r="U61" s="112"/>
      <c r="V61" s="112"/>
      <c r="X61" s="111" t="s">
        <v>225</v>
      </c>
      <c r="Y61" s="111">
        <v>6.1199999999999997E-2</v>
      </c>
      <c r="Z61" s="111">
        <v>1.6902800669632022E-4</v>
      </c>
      <c r="AA61" s="111">
        <v>-2.2924062863988768E-2</v>
      </c>
      <c r="AB61" s="111">
        <v>3</v>
      </c>
      <c r="AC61" s="111">
        <v>0.211669521491618</v>
      </c>
      <c r="AD61" s="111">
        <v>0.25796670134651067</v>
      </c>
      <c r="AE61" s="111">
        <v>0.23267108564007066</v>
      </c>
      <c r="AF61" s="111">
        <v>0.20081831620215385</v>
      </c>
      <c r="AG61" s="111">
        <v>0.15185734268178669</v>
      </c>
      <c r="AH61" s="111">
        <v>9.2876865829622443E-2</v>
      </c>
      <c r="AI61" s="111">
        <v>3.7801988723763079E-2</v>
      </c>
      <c r="AJ61" s="111">
        <v>-1.0258893385008686E-2</v>
      </c>
      <c r="AK61" s="111">
        <v>-4.1135888574215178E-2</v>
      </c>
      <c r="AL61" s="111">
        <v>-4.9229625548187272E-2</v>
      </c>
      <c r="AM61" s="111">
        <v>-4.5808287597164654E-2</v>
      </c>
      <c r="AN61" s="111">
        <v>-3.7158502707550181E-2</v>
      </c>
      <c r="AO61" s="111">
        <v>-2.3450118716638248E-2</v>
      </c>
      <c r="AP61" s="111">
        <v>-1.4283937751589735E-2</v>
      </c>
      <c r="AQ61" s="111">
        <v>-8.3577144215389605E-3</v>
      </c>
      <c r="AR61" s="111">
        <v>-2.450959482787497E-3</v>
      </c>
      <c r="AS61" s="111">
        <v>1.7022606318924853E-3</v>
      </c>
      <c r="AT61" s="111">
        <v>7.3762239661189933E-3</v>
      </c>
      <c r="AU61" s="111">
        <v>8.0266157896063655E-3</v>
      </c>
      <c r="AV61" s="111">
        <v>2.9367005881537487E-2</v>
      </c>
    </row>
    <row r="62" spans="3:48" ht="9.75" customHeight="1">
      <c r="X62" s="111" t="s">
        <v>226</v>
      </c>
      <c r="Y62" s="111">
        <v>5.8799999999999998E-2</v>
      </c>
      <c r="Z62" s="111">
        <v>1.4297333440688525E-4</v>
      </c>
      <c r="AA62" s="111">
        <v>-2.2025576139815851E-2</v>
      </c>
      <c r="AB62" s="111">
        <v>2</v>
      </c>
      <c r="AC62" s="111">
        <v>0.13643637623900196</v>
      </c>
      <c r="AD62" s="111">
        <v>0.17390892685069057</v>
      </c>
      <c r="AE62" s="111">
        <v>0.16817960046520722</v>
      </c>
      <c r="AF62" s="111">
        <v>0.16338105224403635</v>
      </c>
      <c r="AG62" s="111">
        <v>0.14896428085318519</v>
      </c>
      <c r="AH62" s="111">
        <v>0.12549447120328425</v>
      </c>
      <c r="AI62" s="111">
        <v>0.1004999074401694</v>
      </c>
      <c r="AJ62" s="111">
        <v>6.8522324848451596E-2</v>
      </c>
      <c r="AK62" s="111">
        <v>3.8964305618693219E-2</v>
      </c>
      <c r="AL62" s="111">
        <v>1.329677579950905E-2</v>
      </c>
      <c r="AM62" s="111">
        <v>-2.2843102816303318E-3</v>
      </c>
      <c r="AN62" s="111">
        <v>-1.1253993706006637E-2</v>
      </c>
      <c r="AO62" s="111">
        <v>-1.3942344588445826E-2</v>
      </c>
      <c r="AP62" s="111">
        <v>-1.4484787346551425E-2</v>
      </c>
      <c r="AQ62" s="111">
        <v>-1.5188047853253612E-2</v>
      </c>
      <c r="AR62" s="111">
        <v>-1.3728725000668086E-2</v>
      </c>
      <c r="AS62" s="111">
        <v>-1.4928950337936672E-2</v>
      </c>
      <c r="AT62" s="111">
        <v>-1.6219535632530088E-2</v>
      </c>
      <c r="AU62" s="111">
        <v>-1.0181677768413111E-2</v>
      </c>
      <c r="AV62" s="111">
        <v>-2.5435649046791551E-2</v>
      </c>
    </row>
    <row r="63" spans="3:48" ht="9.75" customHeight="1">
      <c r="X63" s="111" t="s">
        <v>227</v>
      </c>
      <c r="Y63" s="111">
        <v>5.6500000000000002E-2</v>
      </c>
      <c r="Z63" s="111">
        <v>7.1067355922545643E-5</v>
      </c>
      <c r="AA63" s="111">
        <v>1.7431287447880493E-2</v>
      </c>
      <c r="AB63" s="111">
        <v>1</v>
      </c>
      <c r="AC63" s="111">
        <v>6.7517636332585132E-2</v>
      </c>
      <c r="AD63" s="111">
        <v>8.9259413883012242E-2</v>
      </c>
      <c r="AE63" s="111">
        <v>9.0555468769310365E-2</v>
      </c>
      <c r="AF63" s="111">
        <v>9.5085996590651825E-2</v>
      </c>
      <c r="AG63" s="111">
        <v>9.659744743358506E-2</v>
      </c>
      <c r="AH63" s="111">
        <v>9.4481664047681185E-2</v>
      </c>
      <c r="AI63" s="111">
        <v>9.2222472944706757E-2</v>
      </c>
      <c r="AJ63" s="111">
        <v>8.3090092581689062E-2</v>
      </c>
      <c r="AK63" s="111">
        <v>7.1994171709429913E-2</v>
      </c>
      <c r="AL63" s="111">
        <v>5.4263766815751791E-2</v>
      </c>
      <c r="AM63" s="111">
        <v>4.1431346760907622E-2</v>
      </c>
      <c r="AN63" s="111">
        <v>3.1862668845758085E-2</v>
      </c>
      <c r="AO63" s="111">
        <v>2.1565360255110574E-2</v>
      </c>
      <c r="AP63" s="111">
        <v>1.5841988382009016E-2</v>
      </c>
      <c r="AQ63" s="111">
        <v>1.3147271873547309E-2</v>
      </c>
      <c r="AR63" s="111">
        <v>9.7108365640030392E-3</v>
      </c>
      <c r="AS63" s="111">
        <v>9.0556443829933417E-3</v>
      </c>
      <c r="AT63" s="111">
        <v>8.3000858803738004E-3</v>
      </c>
      <c r="AU63" s="111">
        <v>4.4642940463590951E-3</v>
      </c>
      <c r="AV63" s="111">
        <v>9.5523719005350186E-3</v>
      </c>
    </row>
    <row r="64" spans="3:48" ht="9.75" customHeight="1">
      <c r="X64" s="111" t="s">
        <v>228</v>
      </c>
      <c r="Y64" s="111">
        <v>5.4100000000000002E-2</v>
      </c>
      <c r="Z64" s="111">
        <v>1.3957697071904123E-4</v>
      </c>
      <c r="AA64" s="111">
        <v>2.9367005881537487E-2</v>
      </c>
      <c r="AB64" s="111">
        <v>0</v>
      </c>
      <c r="AC64" s="111">
        <v>0</v>
      </c>
      <c r="AD64" s="111">
        <v>0</v>
      </c>
      <c r="AE64" s="111">
        <v>0</v>
      </c>
      <c r="AF64" s="111">
        <v>0</v>
      </c>
      <c r="AG64" s="111">
        <v>0</v>
      </c>
      <c r="AH64" s="111">
        <v>0</v>
      </c>
      <c r="AI64" s="111">
        <v>0</v>
      </c>
      <c r="AJ64" s="111">
        <v>0</v>
      </c>
      <c r="AK64" s="111">
        <v>0</v>
      </c>
      <c r="AL64" s="111">
        <v>0</v>
      </c>
      <c r="AM64" s="111">
        <v>0</v>
      </c>
      <c r="AN64" s="111">
        <v>0</v>
      </c>
      <c r="AO64" s="111">
        <v>0</v>
      </c>
      <c r="AP64" s="111">
        <v>0</v>
      </c>
      <c r="AQ64" s="111">
        <v>0</v>
      </c>
      <c r="AR64" s="111">
        <v>0</v>
      </c>
      <c r="AS64" s="111">
        <v>0</v>
      </c>
      <c r="AT64" s="111">
        <v>0</v>
      </c>
      <c r="AU64" s="111">
        <v>0</v>
      </c>
      <c r="AV64" s="111">
        <v>0</v>
      </c>
    </row>
    <row r="65" spans="1:48" ht="9.75" customHeight="1">
      <c r="X65" s="111" t="s">
        <v>167</v>
      </c>
      <c r="AB65" s="111">
        <v>20</v>
      </c>
      <c r="AC65" s="111">
        <v>1.3567302409091728</v>
      </c>
      <c r="AD65" s="111">
        <v>-0.53278317663947172</v>
      </c>
      <c r="AE65" s="111">
        <v>0.30136782753992469</v>
      </c>
      <c r="AF65" s="111">
        <v>-0.2156780520042611</v>
      </c>
      <c r="AG65" s="111">
        <v>0.16231664794864431</v>
      </c>
      <c r="AH65" s="111">
        <v>-0.13052076921716466</v>
      </c>
      <c r="AI65" s="111">
        <v>0.10480656345031321</v>
      </c>
      <c r="AJ65" s="111">
        <v>-8.234523722089114E-2</v>
      </c>
      <c r="AK65" s="111">
        <v>6.3863704523387257E-2</v>
      </c>
      <c r="AL65" s="111">
        <v>-4.8742365971328333E-2</v>
      </c>
      <c r="AM65" s="111">
        <v>3.626135664674144E-2</v>
      </c>
      <c r="AN65" s="111">
        <v>-2.5857459272466403E-2</v>
      </c>
      <c r="AO65" s="111">
        <v>1.7502980997842185E-2</v>
      </c>
      <c r="AP65" s="111">
        <v>-1.0541938039200071E-2</v>
      </c>
      <c r="AQ65" s="111">
        <v>4.7174505696935924E-3</v>
      </c>
      <c r="AR65" s="111">
        <v>-1.3768302110583651E-3</v>
      </c>
      <c r="AS65" s="111">
        <v>3.0657766560610001E-4</v>
      </c>
      <c r="AT65" s="111">
        <v>-2.9600651674286543E-5</v>
      </c>
      <c r="AU65" s="111">
        <v>2.4363301862654503E-6</v>
      </c>
      <c r="AV65" s="111">
        <v>-3.5735399415118304E-7</v>
      </c>
    </row>
    <row r="66" spans="1:48" ht="9.75" customHeight="1">
      <c r="X66" s="111" t="s">
        <v>13</v>
      </c>
      <c r="Y66" s="111">
        <v>1.5362</v>
      </c>
      <c r="Z66" s="111">
        <v>0.76796962348466491</v>
      </c>
      <c r="AA66" s="111">
        <v>1.3567302409091728</v>
      </c>
      <c r="AB66" s="111">
        <v>19</v>
      </c>
      <c r="AC66" s="111">
        <v>1.3302789892414104</v>
      </c>
      <c r="AD66" s="111">
        <v>-0.4833248044008982</v>
      </c>
      <c r="AE66" s="111">
        <v>0.24045562926870653</v>
      </c>
      <c r="AF66" s="111">
        <v>-0.13461325763107501</v>
      </c>
      <c r="AG66" s="111">
        <v>6.5792598746817366E-2</v>
      </c>
      <c r="AH66" s="111">
        <v>-1.8135532138718852E-2</v>
      </c>
      <c r="AI66" s="111">
        <v>-1.626584692121167E-2</v>
      </c>
      <c r="AJ66" s="111">
        <v>4.0287277528243126E-2</v>
      </c>
      <c r="AK66" s="111">
        <v>-5.3685792469665761E-2</v>
      </c>
      <c r="AL66" s="111">
        <v>5.9027464126921031E-2</v>
      </c>
      <c r="AM66" s="111">
        <v>-5.7340014966962283E-2</v>
      </c>
      <c r="AN66" s="111">
        <v>5.0492161592211197E-2</v>
      </c>
      <c r="AO66" s="111">
        <v>-4.0485566528714836E-2</v>
      </c>
      <c r="AP66" s="111">
        <v>2.7859475067267003E-2</v>
      </c>
      <c r="AQ66" s="111">
        <v>-1.3862855833930016E-2</v>
      </c>
      <c r="AR66" s="111">
        <v>4.5086857391410766E-3</v>
      </c>
      <c r="AS66" s="111">
        <v>-1.0994962145281268E-3</v>
      </c>
      <c r="AT66" s="111">
        <v>1.1833245526485794E-4</v>
      </c>
      <c r="AU66" s="111">
        <v>-7.7327007657588193E-6</v>
      </c>
      <c r="AV66" s="111">
        <v>2.8604048690927177E-7</v>
      </c>
    </row>
    <row r="67" spans="1:48" ht="9.75" customHeight="1">
      <c r="X67" s="111" t="s">
        <v>15</v>
      </c>
      <c r="Y67" s="111">
        <v>0.52170000000000005</v>
      </c>
      <c r="Z67" s="111">
        <v>0.12159725655218583</v>
      </c>
      <c r="AA67" s="111">
        <v>-0.53278317663947172</v>
      </c>
      <c r="AB67" s="111">
        <v>18</v>
      </c>
      <c r="AC67" s="111">
        <v>1.2941063666861634</v>
      </c>
      <c r="AD67" s="111">
        <v>-0.4032166523009113</v>
      </c>
      <c r="AE67" s="111">
        <v>0.13475903464032413</v>
      </c>
      <c r="AF67" s="111">
        <v>-5.392486972018295E-3</v>
      </c>
      <c r="AG67" s="111">
        <v>-6.9517147813082464E-2</v>
      </c>
      <c r="AH67" s="111">
        <v>0.11045078935402651</v>
      </c>
      <c r="AI67" s="111">
        <v>-0.11969727156362864</v>
      </c>
      <c r="AJ67" s="111">
        <v>0.10442969008809538</v>
      </c>
      <c r="AK67" s="111">
        <v>-7.3808710805743624E-2</v>
      </c>
      <c r="AL67" s="111">
        <v>3.7528193866062702E-2</v>
      </c>
      <c r="AM67" s="111">
        <v>-3.6573753251824218E-3</v>
      </c>
      <c r="AN67" s="111">
        <v>-2.1843594845504889E-2</v>
      </c>
      <c r="AO67" s="111">
        <v>3.5437165074460292E-2</v>
      </c>
      <c r="AP67" s="111">
        <v>-3.5112490535944799E-2</v>
      </c>
      <c r="AQ67" s="111">
        <v>2.2170170309617574E-2</v>
      </c>
      <c r="AR67" s="111">
        <v>-8.85898735609E-3</v>
      </c>
      <c r="AS67" s="111">
        <v>2.5192308422542766E-3</v>
      </c>
      <c r="AT67" s="111">
        <v>-3.186840881870595E-4</v>
      </c>
      <c r="AU67" s="111">
        <v>2.3484331647663787E-5</v>
      </c>
      <c r="AV67" s="111">
        <v>-7.2358635874230347E-7</v>
      </c>
    </row>
    <row r="68" spans="1:48" ht="9.75" customHeight="1">
      <c r="X68" s="111" t="s">
        <v>17</v>
      </c>
      <c r="Y68" s="111">
        <v>0.30459999999999998</v>
      </c>
      <c r="Z68" s="111">
        <v>4.1604143129735364E-2</v>
      </c>
      <c r="AA68" s="111">
        <v>0.30136782753992469</v>
      </c>
      <c r="AB68" s="111">
        <v>17</v>
      </c>
      <c r="AC68" s="111">
        <v>1.2494341673450344</v>
      </c>
      <c r="AD68" s="111">
        <v>-0.30049676185321439</v>
      </c>
      <c r="AE68" s="111">
        <v>8.0681196642428243E-3</v>
      </c>
      <c r="AF68" s="111">
        <v>0.12178159365969911</v>
      </c>
      <c r="AG68" s="111">
        <v>-0.16163072265965722</v>
      </c>
      <c r="AH68" s="111">
        <v>0.14446589581646296</v>
      </c>
      <c r="AI68" s="111">
        <v>-8.6853389709096451E-2</v>
      </c>
      <c r="AJ68" s="111">
        <v>1.6766884525630597E-2</v>
      </c>
      <c r="AK68" s="111">
        <v>3.8173938620302647E-2</v>
      </c>
      <c r="AL68" s="111">
        <v>-6.3809328835648868E-2</v>
      </c>
      <c r="AM68" s="111">
        <v>5.7691276004586699E-2</v>
      </c>
      <c r="AN68" s="111">
        <v>-2.9357088011677943E-2</v>
      </c>
      <c r="AO68" s="111">
        <v>-5.1017410657991083E-3</v>
      </c>
      <c r="AP68" s="111">
        <v>2.8240434736845531E-2</v>
      </c>
      <c r="AQ68" s="111">
        <v>-2.7923162495614957E-2</v>
      </c>
      <c r="AR68" s="111">
        <v>1.5002418132419187E-2</v>
      </c>
      <c r="AS68" s="111">
        <v>-5.1768398535521976E-3</v>
      </c>
      <c r="AT68" s="111">
        <v>7.9047383421488779E-4</v>
      </c>
      <c r="AU68" s="111">
        <v>-6.8520911928474237E-5</v>
      </c>
      <c r="AV68" s="111">
        <v>2.3530567514210468E-6</v>
      </c>
    </row>
    <row r="69" spans="1:48" ht="9.75" customHeight="1">
      <c r="X69" s="111" t="s">
        <v>19</v>
      </c>
      <c r="Y69" s="111">
        <v>0.22009999999999999</v>
      </c>
      <c r="Z69" s="111">
        <v>2.3148788998185139E-2</v>
      </c>
      <c r="AA69" s="111">
        <v>0.21711874674765141</v>
      </c>
      <c r="AB69" s="111">
        <v>16</v>
      </c>
      <c r="AC69" s="111">
        <v>1.1974221723535721</v>
      </c>
      <c r="AD69" s="111">
        <v>-0.18361526817770824</v>
      </c>
      <c r="AE69" s="111">
        <v>-0.11508645195322477</v>
      </c>
      <c r="AF69" s="111">
        <v>0.20370378652560786</v>
      </c>
      <c r="AG69" s="111">
        <v>-0.16257979873693482</v>
      </c>
      <c r="AH69" s="111">
        <v>6.2833576025293242E-2</v>
      </c>
      <c r="AI69" s="111">
        <v>3.7923300032272143E-2</v>
      </c>
      <c r="AJ69" s="111">
        <v>-9.0874019095594713E-2</v>
      </c>
      <c r="AK69" s="111">
        <v>8.0577018233147418E-2</v>
      </c>
      <c r="AL69" s="111">
        <v>-2.9760142323754891E-2</v>
      </c>
      <c r="AM69" s="111">
        <v>-2.2590119456643489E-2</v>
      </c>
      <c r="AN69" s="111">
        <v>4.4615195289767505E-2</v>
      </c>
      <c r="AO69" s="111">
        <v>-2.828075292445471E-2</v>
      </c>
      <c r="AP69" s="111">
        <v>-7.2008664649573281E-3</v>
      </c>
      <c r="AQ69" s="111">
        <v>2.7046710411286135E-2</v>
      </c>
      <c r="AR69" s="111">
        <v>-2.2105120575745214E-2</v>
      </c>
      <c r="AS69" s="111">
        <v>9.5957850246736285E-3</v>
      </c>
      <c r="AT69" s="111">
        <v>-1.8043605821289484E-3</v>
      </c>
      <c r="AU69" s="111">
        <v>1.8695138817753304E-4</v>
      </c>
      <c r="AV69" s="111">
        <v>-7.5949926503071709E-6</v>
      </c>
    </row>
    <row r="70" spans="1:48" ht="9.75" customHeight="1">
      <c r="X70" s="111" t="s">
        <v>20</v>
      </c>
      <c r="Y70" s="111">
        <v>0.17199999999999999</v>
      </c>
      <c r="Z70" s="111">
        <v>1.4358642665896241E-2</v>
      </c>
      <c r="AA70" s="111">
        <v>0.16982295213540974</v>
      </c>
      <c r="AB70" s="111">
        <v>15</v>
      </c>
      <c r="AC70" s="111">
        <v>1.1400919756017489</v>
      </c>
      <c r="AD70" s="111">
        <v>-6.3199472527543848E-2</v>
      </c>
      <c r="AE70" s="111">
        <v>-0.21179976590523003</v>
      </c>
      <c r="AF70" s="111">
        <v>0.21711874674765141</v>
      </c>
      <c r="AG70" s="111">
        <v>-8.0616580482850461E-2</v>
      </c>
      <c r="AH70" s="111">
        <v>-6.0554427672502464E-2</v>
      </c>
      <c r="AI70" s="111">
        <v>0.11698703920529141</v>
      </c>
      <c r="AJ70" s="111">
        <v>-7.4010006907876055E-2</v>
      </c>
      <c r="AK70" s="111">
        <v>-9.3889935503924399E-3</v>
      </c>
      <c r="AL70" s="111">
        <v>5.9883512023482605E-2</v>
      </c>
      <c r="AM70" s="111">
        <v>-4.6713088768230368E-2</v>
      </c>
      <c r="AN70" s="111">
        <v>-1.8617337651188829E-3</v>
      </c>
      <c r="AO70" s="111">
        <v>3.2444580582625074E-2</v>
      </c>
      <c r="AP70" s="111">
        <v>-1.7392112295616623E-2</v>
      </c>
      <c r="AQ70" s="111">
        <v>-1.5210194086763863E-2</v>
      </c>
      <c r="AR70" s="111">
        <v>2.6190316321396356E-2</v>
      </c>
      <c r="AS70" s="111">
        <v>-1.5148751813214028E-2</v>
      </c>
      <c r="AT70" s="111">
        <v>3.6112905958379121E-3</v>
      </c>
      <c r="AU70" s="111">
        <v>-4.5425194385186404E-4</v>
      </c>
      <c r="AV70" s="111">
        <v>2.1918641157882624E-5</v>
      </c>
    </row>
    <row r="71" spans="1:48" ht="9.75" customHeight="1">
      <c r="X71" s="111" t="s">
        <v>22</v>
      </c>
      <c r="Y71" s="111">
        <v>0.14230000000000001</v>
      </c>
      <c r="Z71" s="111">
        <v>9.6698563702265639E-3</v>
      </c>
      <c r="AA71" s="111">
        <v>0.14446589581646296</v>
      </c>
      <c r="AB71" s="111">
        <v>14</v>
      </c>
      <c r="AC71" s="111">
        <v>1.0769400105016023</v>
      </c>
      <c r="AD71" s="111">
        <v>5.7332562773570003E-2</v>
      </c>
      <c r="AE71" s="111">
        <v>-0.27198620300674747</v>
      </c>
      <c r="AF71" s="111">
        <v>0.16404457166160308</v>
      </c>
      <c r="AG71" s="111">
        <v>3.9417047405659059E-2</v>
      </c>
      <c r="AH71" s="111">
        <v>-0.1370463644797926</v>
      </c>
      <c r="AI71" s="111">
        <v>7.9387936706356202E-2</v>
      </c>
      <c r="AJ71" s="111">
        <v>3.5991107083365004E-2</v>
      </c>
      <c r="AK71" s="111">
        <v>-8.2265490281209067E-2</v>
      </c>
      <c r="AL71" s="111">
        <v>3.4100201943439282E-2</v>
      </c>
      <c r="AM71" s="111">
        <v>3.3118515623142483E-2</v>
      </c>
      <c r="AN71" s="111">
        <v>-4.2465097435204727E-2</v>
      </c>
      <c r="AO71" s="111">
        <v>-5.8956996281800097E-4</v>
      </c>
      <c r="AP71" s="111">
        <v>2.7029461625847483E-2</v>
      </c>
      <c r="AQ71" s="111">
        <v>-4.9314025957503012E-3</v>
      </c>
      <c r="AR71" s="111">
        <v>-2.2751620765378688E-2</v>
      </c>
      <c r="AS71" s="111">
        <v>2.0152871729013026E-2</v>
      </c>
      <c r="AT71" s="111">
        <v>-6.4275766731244233E-3</v>
      </c>
      <c r="AU71" s="111">
        <v>1.0079651426040204E-3</v>
      </c>
      <c r="AV71" s="111">
        <v>-5.8926996176523803E-5</v>
      </c>
    </row>
    <row r="72" spans="1:48" ht="9.75" customHeight="1">
      <c r="X72" s="111" t="s">
        <v>215</v>
      </c>
      <c r="Y72" s="111">
        <v>0.12230000000000001</v>
      </c>
      <c r="Z72" s="111">
        <v>7.0109639891030367E-3</v>
      </c>
      <c r="AA72" s="111">
        <v>-0.11969727156362864</v>
      </c>
      <c r="AB72" s="111">
        <v>13</v>
      </c>
      <c r="AC72" s="111">
        <v>1.007844785988723</v>
      </c>
      <c r="AD72" s="111">
        <v>0.17313441911528754</v>
      </c>
      <c r="AE72" s="111">
        <v>-0.28829380203254901</v>
      </c>
      <c r="AF72" s="111">
        <v>6.1759242671018892E-2</v>
      </c>
      <c r="AG72" s="111">
        <v>0.13920320213984932</v>
      </c>
      <c r="AH72" s="111">
        <v>-0.11459225334627192</v>
      </c>
      <c r="AI72" s="111">
        <v>-3.4991261361775557E-2</v>
      </c>
      <c r="AJ72" s="111">
        <v>9.9816448224744253E-2</v>
      </c>
      <c r="AK72" s="111">
        <v>-2.6371986894640091E-2</v>
      </c>
      <c r="AL72" s="111">
        <v>-5.539043993212521E-2</v>
      </c>
      <c r="AM72" s="111">
        <v>3.9694064477016629E-2</v>
      </c>
      <c r="AN72" s="111">
        <v>2.3889490075838796E-2</v>
      </c>
      <c r="AO72" s="111">
        <v>-3.166424708008897E-2</v>
      </c>
      <c r="AP72" s="111">
        <v>-1.2713482312534247E-2</v>
      </c>
      <c r="AQ72" s="111">
        <v>2.1810801645511298E-2</v>
      </c>
      <c r="AR72" s="111">
        <v>1.1417337139574333E-2</v>
      </c>
      <c r="AS72" s="111">
        <v>-2.3221789338697976E-2</v>
      </c>
      <c r="AT72" s="111">
        <v>1.0650675448473864E-2</v>
      </c>
      <c r="AU72" s="111">
        <v>-2.1341582556404126E-3</v>
      </c>
      <c r="AV72" s="111">
        <v>1.5295362828352888E-4</v>
      </c>
    </row>
    <row r="73" spans="1:48" ht="9.75" customHeight="1">
      <c r="X73" s="111" t="s">
        <v>216</v>
      </c>
      <c r="Y73" s="111">
        <v>0.1076</v>
      </c>
      <c r="Z73" s="111">
        <v>4.8344247559593701E-3</v>
      </c>
      <c r="AA73" s="111">
        <v>0.10442969008809538</v>
      </c>
      <c r="AB73" s="111">
        <v>12</v>
      </c>
      <c r="AC73" s="111">
        <v>0.93438460561644665</v>
      </c>
      <c r="AD73" s="111">
        <v>0.27647482141346386</v>
      </c>
      <c r="AE73" s="111">
        <v>-0.25941100700047609</v>
      </c>
      <c r="AF73" s="111">
        <v>-5.632462413811521E-2</v>
      </c>
      <c r="AG73" s="111">
        <v>0.16982295213540974</v>
      </c>
      <c r="AH73" s="111">
        <v>-1.249904210736524E-2</v>
      </c>
      <c r="AI73" s="111">
        <v>-0.11325934684191377</v>
      </c>
      <c r="AJ73" s="111">
        <v>3.9848486517612941E-2</v>
      </c>
      <c r="AK73" s="111">
        <v>6.825857627059731E-2</v>
      </c>
      <c r="AL73" s="111">
        <v>-4.1532349182856011E-2</v>
      </c>
      <c r="AM73" s="111">
        <v>-3.8767087474598456E-2</v>
      </c>
      <c r="AN73" s="111">
        <v>3.0069016719305879E-2</v>
      </c>
      <c r="AO73" s="111">
        <v>2.5103001557943729E-2</v>
      </c>
      <c r="AP73" s="111">
        <v>-1.3052162612858005E-2</v>
      </c>
      <c r="AQ73" s="111">
        <v>-2.3465844390113826E-2</v>
      </c>
      <c r="AR73" s="111">
        <v>4.2628910053409876E-3</v>
      </c>
      <c r="AS73" s="111">
        <v>2.2565910544798864E-2</v>
      </c>
      <c r="AT73" s="111">
        <v>-1.638376269174344E-2</v>
      </c>
      <c r="AU73" s="111">
        <v>4.2848704770758594E-3</v>
      </c>
      <c r="AV73" s="111">
        <v>-3.7990581795462974E-4</v>
      </c>
    </row>
    <row r="74" spans="1:48" ht="9.75" customHeight="1">
      <c r="X74" s="111" t="s">
        <v>217</v>
      </c>
      <c r="Y74" s="111">
        <v>9.6600000000000005E-2</v>
      </c>
      <c r="Z74" s="111">
        <v>3.3181725504794111E-3</v>
      </c>
      <c r="AA74" s="111">
        <v>-8.2265490281209067E-2</v>
      </c>
      <c r="AB74" s="111">
        <v>11</v>
      </c>
      <c r="AC74" s="111">
        <v>0.85923581163665075</v>
      </c>
      <c r="AD74" s="111">
        <v>0.36021369217032145</v>
      </c>
      <c r="AE74" s="111">
        <v>-0.1939655483983958</v>
      </c>
      <c r="AF74" s="111">
        <v>-0.15240338393258632</v>
      </c>
      <c r="AG74" s="111">
        <v>0.12171939878998259</v>
      </c>
      <c r="AH74" s="111">
        <v>9.2301552732480766E-2</v>
      </c>
      <c r="AI74" s="111">
        <v>-8.5577678573894922E-2</v>
      </c>
      <c r="AJ74" s="111">
        <v>-6.3022402067864455E-2</v>
      </c>
      <c r="AK74" s="111">
        <v>5.9750057666938236E-2</v>
      </c>
      <c r="AL74" s="111">
        <v>4.3314774859131863E-2</v>
      </c>
      <c r="AM74" s="111">
        <v>-3.4522850932048633E-2</v>
      </c>
      <c r="AN74" s="111">
        <v>-3.3763243025604614E-2</v>
      </c>
      <c r="AO74" s="111">
        <v>1.3518575141327219E-2</v>
      </c>
      <c r="AP74" s="111">
        <v>2.3943173460526077E-2</v>
      </c>
      <c r="AQ74" s="111">
        <v>6.3360949158456489E-3</v>
      </c>
      <c r="AR74" s="111">
        <v>-1.6798623300147225E-2</v>
      </c>
      <c r="AS74" s="111">
        <v>-1.5094964077151305E-2</v>
      </c>
      <c r="AT74" s="111">
        <v>2.161486567565676E-2</v>
      </c>
      <c r="AU74" s="111">
        <v>-7.6524252544627573E-3</v>
      </c>
      <c r="AV74" s="111">
        <v>8.5312251329392103E-4</v>
      </c>
    </row>
    <row r="75" spans="1:48" ht="9.75" customHeight="1">
      <c r="X75" s="111" t="s">
        <v>218</v>
      </c>
      <c r="Y75" s="111">
        <v>8.8099999999999998E-2</v>
      </c>
      <c r="Z75" s="111">
        <v>2.1583246651772029E-3</v>
      </c>
      <c r="AA75" s="111">
        <v>-6.3809328835648868E-2</v>
      </c>
      <c r="AB75" s="111">
        <v>10</v>
      </c>
      <c r="AC75" s="111">
        <v>0.78221105248416123</v>
      </c>
      <c r="AD75" s="111">
        <v>0.4229917169969819</v>
      </c>
      <c r="AE75" s="111">
        <v>-0.10338780721591631</v>
      </c>
      <c r="AF75" s="111">
        <v>-0.20417528788412559</v>
      </c>
      <c r="AG75" s="111">
        <v>2.2284284568517658E-2</v>
      </c>
      <c r="AH75" s="111">
        <v>0.13421544726691953</v>
      </c>
      <c r="AI75" s="111">
        <v>1.5096315729338221E-2</v>
      </c>
      <c r="AJ75" s="111">
        <v>-9.1874458667385722E-2</v>
      </c>
      <c r="AK75" s="111">
        <v>-3.1011796061369713E-2</v>
      </c>
      <c r="AL75" s="111">
        <v>5.2905650897196226E-2</v>
      </c>
      <c r="AM75" s="111">
        <v>3.6829891634354101E-2</v>
      </c>
      <c r="AN75" s="111">
        <v>-1.9921421701257963E-2</v>
      </c>
      <c r="AO75" s="111">
        <v>-3.1464610560213345E-2</v>
      </c>
      <c r="AP75" s="111">
        <v>-6.3608366817504728E-3</v>
      </c>
      <c r="AQ75" s="111">
        <v>1.6152900178172558E-2</v>
      </c>
      <c r="AR75" s="111">
        <v>1.7155923790453637E-2</v>
      </c>
      <c r="AS75" s="111">
        <v>7.9032394644281551E-4</v>
      </c>
      <c r="AT75" s="111">
        <v>-2.2539999321873699E-2</v>
      </c>
      <c r="AU75" s="111">
        <v>1.1817994950901753E-2</v>
      </c>
      <c r="AV75" s="111">
        <v>-1.7152843495460248E-3</v>
      </c>
    </row>
    <row r="76" spans="1:48" ht="9.75" customHeight="1">
      <c r="A76" s="143" t="s">
        <v>45</v>
      </c>
      <c r="B76" s="143" t="s">
        <v>46</v>
      </c>
      <c r="X76" s="111" t="s">
        <v>219</v>
      </c>
      <c r="Y76" s="111">
        <v>8.14E-2</v>
      </c>
      <c r="Z76" s="111">
        <v>1.419753540969754E-3</v>
      </c>
      <c r="AA76" s="111">
        <v>5.7691276004586699E-2</v>
      </c>
      <c r="AB76" s="111">
        <v>9</v>
      </c>
      <c r="AC76" s="111">
        <v>0.70307326672040615</v>
      </c>
      <c r="AD76" s="111">
        <v>0.46370874662460393</v>
      </c>
      <c r="AE76" s="111">
        <v>-2.5602442563184226E-4</v>
      </c>
      <c r="AF76" s="111">
        <v>-0.20143601344431505</v>
      </c>
      <c r="AG76" s="111">
        <v>-8.4356505391029069E-2</v>
      </c>
      <c r="AH76" s="111">
        <v>9.1320698440036416E-2</v>
      </c>
      <c r="AI76" s="111">
        <v>0.10089796809425255</v>
      </c>
      <c r="AJ76" s="111">
        <v>-2.0012669822848043E-2</v>
      </c>
      <c r="AK76" s="111">
        <v>-7.7765021443850849E-2</v>
      </c>
      <c r="AL76" s="111">
        <v>-2.3847048356162411E-2</v>
      </c>
      <c r="AM76" s="111">
        <v>3.6483677256713962E-2</v>
      </c>
      <c r="AN76" s="111">
        <v>3.705849624598271E-2</v>
      </c>
      <c r="AO76" s="111">
        <v>1.6057780481201673E-3</v>
      </c>
      <c r="AP76" s="111">
        <v>-1.8884588355795418E-2</v>
      </c>
      <c r="AQ76" s="111">
        <v>-2.1311771848994625E-2</v>
      </c>
      <c r="AR76" s="111">
        <v>-3.8080776727540569E-3</v>
      </c>
      <c r="AS76" s="111">
        <v>1.365830628617536E-2</v>
      </c>
      <c r="AT76" s="111">
        <v>1.6620763016447004E-2</v>
      </c>
      <c r="AU76" s="111">
        <v>-1.5907733318949513E-2</v>
      </c>
      <c r="AV76" s="111">
        <v>3.1577533475920763E-3</v>
      </c>
    </row>
    <row r="77" spans="1:48" ht="9.75" customHeight="1">
      <c r="A77" s="143"/>
      <c r="B77" s="143"/>
      <c r="X77" s="111" t="s">
        <v>220</v>
      </c>
      <c r="Y77" s="111">
        <v>7.6100000000000001E-2</v>
      </c>
      <c r="Z77" s="111">
        <v>9.3264461521860268E-4</v>
      </c>
      <c r="AA77" s="111">
        <v>5.0492161592211197E-2</v>
      </c>
      <c r="AB77" s="111">
        <v>8</v>
      </c>
      <c r="AC77" s="111">
        <v>0.62293173227034349</v>
      </c>
      <c r="AD77" s="111">
        <v>0.48132779610648402</v>
      </c>
      <c r="AE77" s="111">
        <v>0.10027114708598844</v>
      </c>
      <c r="AF77" s="111">
        <v>-0.14758246764129612</v>
      </c>
      <c r="AG77" s="111">
        <v>-0.15275435627686995</v>
      </c>
      <c r="AH77" s="111">
        <v>-5.8430962199500598E-3</v>
      </c>
      <c r="AI77" s="111">
        <v>0.10148306032716584</v>
      </c>
      <c r="AJ77" s="111">
        <v>7.0947741489976693E-2</v>
      </c>
      <c r="AK77" s="111">
        <v>-2.0916847089895035E-2</v>
      </c>
      <c r="AL77" s="111">
        <v>-6.0761619636632125E-2</v>
      </c>
      <c r="AM77" s="111">
        <v>-3.1362551020898494E-2</v>
      </c>
      <c r="AN77" s="111">
        <v>1.3842651854563797E-2</v>
      </c>
      <c r="AO77" s="111">
        <v>2.9933365150710073E-2</v>
      </c>
      <c r="AP77" s="111">
        <v>1.8344383421738955E-2</v>
      </c>
      <c r="AQ77" s="111">
        <v>2.6349052599255541E-3</v>
      </c>
      <c r="AR77" s="111">
        <v>-1.2495307053198179E-2</v>
      </c>
      <c r="AS77" s="111">
        <v>-1.8675149702033149E-2</v>
      </c>
      <c r="AT77" s="111">
        <v>-4.3305694949434302E-3</v>
      </c>
      <c r="AU77" s="111">
        <v>1.8323052763662223E-2</v>
      </c>
      <c r="AV77" s="111">
        <v>-5.3178715948434974E-3</v>
      </c>
    </row>
    <row r="78" spans="1:48" ht="9.75" customHeight="1">
      <c r="X78" s="111" t="s">
        <v>221</v>
      </c>
      <c r="Y78" s="111">
        <v>7.1800000000000003E-2</v>
      </c>
      <c r="Z78" s="111">
        <v>5.8257625074635447E-4</v>
      </c>
      <c r="AA78" s="111">
        <v>-4.0485566528714836E-2</v>
      </c>
      <c r="AB78" s="111">
        <v>7</v>
      </c>
      <c r="AC78" s="111">
        <v>0.5409408184351393</v>
      </c>
      <c r="AD78" s="111">
        <v>0.47606022389971897</v>
      </c>
      <c r="AE78" s="111">
        <v>0.18703396610504189</v>
      </c>
      <c r="AF78" s="111">
        <v>-5.6959166068582541E-2</v>
      </c>
      <c r="AG78" s="111">
        <v>-0.15742778479208694</v>
      </c>
      <c r="AH78" s="111">
        <v>-9.8908187910058135E-2</v>
      </c>
      <c r="AI78" s="111">
        <v>1.9399624811128616E-2</v>
      </c>
      <c r="AJ78" s="111">
        <v>8.6563446280713455E-2</v>
      </c>
      <c r="AK78" s="111">
        <v>6.2901961169797724E-2</v>
      </c>
      <c r="AL78" s="111">
        <v>-2.075707797936636E-3</v>
      </c>
      <c r="AM78" s="111">
        <v>-4.104671121537519E-2</v>
      </c>
      <c r="AN78" s="111">
        <v>-3.8371056205935818E-2</v>
      </c>
      <c r="AO78" s="111">
        <v>-1.2642080010202318E-2</v>
      </c>
      <c r="AP78" s="111">
        <v>7.6432966465090511E-3</v>
      </c>
      <c r="AQ78" s="111">
        <v>1.9009435849008199E-2</v>
      </c>
      <c r="AR78" s="111">
        <v>1.6944615490122199E-2</v>
      </c>
      <c r="AS78" s="111">
        <v>1.009516444441462E-2</v>
      </c>
      <c r="AT78" s="111">
        <v>-9.8694367988378471E-3</v>
      </c>
      <c r="AU78" s="111">
        <v>-1.764922186721652E-2</v>
      </c>
      <c r="AV78" s="111">
        <v>8.3567995346376829E-3</v>
      </c>
    </row>
    <row r="79" spans="1:48" ht="9.75" customHeight="1">
      <c r="A79" s="143" t="s">
        <v>200</v>
      </c>
      <c r="B79" s="143"/>
      <c r="X79" s="111" t="s">
        <v>222</v>
      </c>
      <c r="Y79" s="111">
        <v>6.8500000000000005E-2</v>
      </c>
      <c r="Z79" s="111">
        <v>3.5913189479836832E-4</v>
      </c>
      <c r="AA79" s="111">
        <v>-3.5112490535944799E-2</v>
      </c>
      <c r="AB79" s="111">
        <v>6</v>
      </c>
      <c r="AC79" s="111">
        <v>0.45718445214886999</v>
      </c>
      <c r="AD79" s="111">
        <v>0.44822598116164791</v>
      </c>
      <c r="AE79" s="111">
        <v>0.24919984257473399</v>
      </c>
      <c r="AF79" s="111">
        <v>4.7865809203474483E-2</v>
      </c>
      <c r="AG79" s="111">
        <v>-9.691883943835275E-2</v>
      </c>
      <c r="AH79" s="111">
        <v>-0.1325051234585391</v>
      </c>
      <c r="AI79" s="111">
        <v>-7.8400726528675746E-2</v>
      </c>
      <c r="AJ79" s="111">
        <v>1.1043868962132131E-2</v>
      </c>
      <c r="AK79" s="111">
        <v>6.4700975774368397E-2</v>
      </c>
      <c r="AL79" s="111">
        <v>5.981476581402892E-2</v>
      </c>
      <c r="AM79" s="111">
        <v>2.4756646744024641E-2</v>
      </c>
      <c r="AN79" s="111">
        <v>-9.8379340679706061E-3</v>
      </c>
      <c r="AO79" s="111">
        <v>-2.5329161957476757E-2</v>
      </c>
      <c r="AP79" s="111">
        <v>-2.2926680679857168E-2</v>
      </c>
      <c r="AQ79" s="111">
        <v>-1.8057724080354748E-2</v>
      </c>
      <c r="AR79" s="111">
        <v>-5.240703400458179E-3</v>
      </c>
      <c r="AS79" s="111">
        <v>5.9597191764947082E-3</v>
      </c>
      <c r="AT79" s="111">
        <v>1.9380487307880362E-2</v>
      </c>
      <c r="AU79" s="111">
        <v>1.3767273488279864E-2</v>
      </c>
      <c r="AV79" s="111">
        <v>-1.2682928744250938E-2</v>
      </c>
    </row>
    <row r="80" spans="1:48" ht="9.75" customHeight="1">
      <c r="A80" s="143"/>
      <c r="B80" s="143"/>
      <c r="X80" s="111" t="s">
        <v>223</v>
      </c>
      <c r="Y80" s="111">
        <v>6.5799999999999997E-2</v>
      </c>
      <c r="Z80" s="111">
        <v>2.9199681169448901E-4</v>
      </c>
      <c r="AA80" s="111">
        <v>-2.7923162495614957E-2</v>
      </c>
      <c r="AB80" s="111">
        <v>5</v>
      </c>
      <c r="AC80" s="111">
        <v>0.3727598408636254</v>
      </c>
      <c r="AD80" s="111">
        <v>0.39949948055214751</v>
      </c>
      <c r="AE80" s="111">
        <v>0.2782952413988935</v>
      </c>
      <c r="AF80" s="111">
        <v>0.13974000030747014</v>
      </c>
      <c r="AG80" s="111">
        <v>3.0790857859500334E-3</v>
      </c>
      <c r="AH80" s="111">
        <v>-8.6709135542764812E-2</v>
      </c>
      <c r="AI80" s="111">
        <v>-0.11192283770849686</v>
      </c>
      <c r="AJ80" s="111">
        <v>-7.5565071285196878E-2</v>
      </c>
      <c r="AK80" s="111">
        <v>-1.729402395503192E-2</v>
      </c>
      <c r="AL80" s="111">
        <v>2.7972184046056878E-2</v>
      </c>
      <c r="AM80" s="111">
        <v>4.4946500036586713E-2</v>
      </c>
      <c r="AN80" s="111">
        <v>3.9037239791543443E-2</v>
      </c>
      <c r="AO80" s="111">
        <v>2.1516762190111491E-2</v>
      </c>
      <c r="AP80" s="111">
        <v>5.8488137612172607E-3</v>
      </c>
      <c r="AQ80" s="111">
        <v>-4.4450495389960964E-3</v>
      </c>
      <c r="AR80" s="111">
        <v>-1.141818059712249E-2</v>
      </c>
      <c r="AS80" s="111">
        <v>-1.7436558842228216E-2</v>
      </c>
      <c r="AT80" s="111">
        <v>-1.941029515226432E-2</v>
      </c>
      <c r="AU80" s="111">
        <v>-7.2354189758274913E-3</v>
      </c>
      <c r="AV80" s="111">
        <v>1.8741422864326882E-2</v>
      </c>
    </row>
    <row r="81" spans="24:49" ht="9.75" customHeight="1">
      <c r="X81" s="111" t="s">
        <v>224</v>
      </c>
      <c r="Y81" s="111">
        <v>6.3200000000000006E-2</v>
      </c>
      <c r="Z81" s="111">
        <v>1.925589416734497E-4</v>
      </c>
      <c r="AA81" s="111">
        <v>2.6190316321396356E-2</v>
      </c>
      <c r="AB81" s="111">
        <v>4</v>
      </c>
      <c r="AC81" s="111">
        <v>0.29031915726003682</v>
      </c>
      <c r="AD81" s="111">
        <v>0.33429507443099032</v>
      </c>
      <c r="AE81" s="111">
        <v>0.27115187867695284</v>
      </c>
      <c r="AF81" s="111">
        <v>0.19444764358944253</v>
      </c>
      <c r="AG81" s="111">
        <v>9.8641134885866816E-2</v>
      </c>
      <c r="AH81" s="111">
        <v>7.5866918508888971E-3</v>
      </c>
      <c r="AI81" s="111">
        <v>-5.6634769817342508E-2</v>
      </c>
      <c r="AJ81" s="111">
        <v>-8.3052513967030159E-2</v>
      </c>
      <c r="AK81" s="111">
        <v>-7.4800742865287762E-2</v>
      </c>
      <c r="AL81" s="111">
        <v>-4.4972362253639042E-2</v>
      </c>
      <c r="AM81" s="111">
        <v>-1.4787602703315134E-2</v>
      </c>
      <c r="AN81" s="111">
        <v>7.3988203533656254E-3</v>
      </c>
      <c r="AO81" s="111">
        <v>1.8018806497795473E-2</v>
      </c>
      <c r="AP81" s="111">
        <v>1.9063512731222372E-2</v>
      </c>
      <c r="AQ81" s="111">
        <v>2.0702949144265209E-2</v>
      </c>
      <c r="AR81" s="111">
        <v>1.5988229000415157E-2</v>
      </c>
      <c r="AS81" s="111">
        <v>1.4492880038500055E-2</v>
      </c>
      <c r="AT81" s="111">
        <v>8.7559419179074251E-3</v>
      </c>
      <c r="AU81" s="111">
        <v>-1.0217289202207383E-3</v>
      </c>
      <c r="AV81" s="111">
        <v>-2.5592999850814955E-2</v>
      </c>
    </row>
    <row r="82" spans="24:49" ht="9.75" customHeight="1">
      <c r="X82" s="111" t="s">
        <v>225</v>
      </c>
      <c r="Y82" s="111">
        <v>6.1100000000000002E-2</v>
      </c>
      <c r="Z82" s="111">
        <v>1.7569489442625447E-4</v>
      </c>
      <c r="AA82" s="111">
        <v>-2.3221789338697976E-2</v>
      </c>
      <c r="AB82" s="111">
        <v>3</v>
      </c>
      <c r="AC82" s="111">
        <v>0.21081174523224835</v>
      </c>
      <c r="AD82" s="111">
        <v>0.2569863548896294</v>
      </c>
      <c r="AE82" s="111">
        <v>0.23126690092631419</v>
      </c>
      <c r="AF82" s="111">
        <v>0.20150167078145259</v>
      </c>
      <c r="AG82" s="111">
        <v>0.15306496889855406</v>
      </c>
      <c r="AH82" s="111">
        <v>9.3924187208881418E-2</v>
      </c>
      <c r="AI82" s="111">
        <v>3.9188935749912029E-2</v>
      </c>
      <c r="AJ82" s="111">
        <v>-9.7513953331940535E-3</v>
      </c>
      <c r="AK82" s="111">
        <v>-3.9976006615148704E-2</v>
      </c>
      <c r="AL82" s="111">
        <v>-5.0004749068902905E-2</v>
      </c>
      <c r="AM82" s="111">
        <v>-4.7096873427748258E-2</v>
      </c>
      <c r="AN82" s="111">
        <v>-3.7386008061595137E-2</v>
      </c>
      <c r="AO82" s="111">
        <v>-2.458457380554278E-2</v>
      </c>
      <c r="AP82" s="111">
        <v>-1.3914361360825526E-2</v>
      </c>
      <c r="AQ82" s="111">
        <v>-8.8005696700354311E-3</v>
      </c>
      <c r="AR82" s="111">
        <v>-2.5913035124155593E-3</v>
      </c>
      <c r="AS82" s="111">
        <v>1.6158461820573685E-3</v>
      </c>
      <c r="AT82" s="111">
        <v>7.3645567074533593E-3</v>
      </c>
      <c r="AU82" s="111">
        <v>8.5469117404240059E-3</v>
      </c>
      <c r="AV82" s="111">
        <v>2.9833762538482949E-2</v>
      </c>
    </row>
    <row r="83" spans="24:49" ht="9.75" customHeight="1">
      <c r="X83" s="111" t="s">
        <v>226</v>
      </c>
      <c r="Y83" s="111">
        <v>5.8799999999999998E-2</v>
      </c>
      <c r="Z83" s="111">
        <v>1.5082146978276272E-4</v>
      </c>
      <c r="AA83" s="111">
        <v>-2.2539999321873699E-2</v>
      </c>
      <c r="AB83" s="111">
        <v>2</v>
      </c>
      <c r="AC83" s="111">
        <v>0.13548734603360618</v>
      </c>
      <c r="AD83" s="111">
        <v>0.17271606395510306</v>
      </c>
      <c r="AE83" s="111">
        <v>0.16660507879555284</v>
      </c>
      <c r="AF83" s="111">
        <v>0.16334638256012757</v>
      </c>
      <c r="AG83" s="111">
        <v>0.14951289615832206</v>
      </c>
      <c r="AH83" s="111">
        <v>0.12631364497861056</v>
      </c>
      <c r="AI83" s="111">
        <v>0.10234242658991834</v>
      </c>
      <c r="AJ83" s="111">
        <v>6.8860086016821156E-2</v>
      </c>
      <c r="AK83" s="111">
        <v>3.8932585727071166E-2</v>
      </c>
      <c r="AL83" s="111">
        <v>1.4000028569890667E-2</v>
      </c>
      <c r="AM83" s="111">
        <v>-1.8825767609713787E-3</v>
      </c>
      <c r="AN83" s="111">
        <v>-1.0983018970595018E-2</v>
      </c>
      <c r="AO83" s="111">
        <v>-1.4147016862476927E-2</v>
      </c>
      <c r="AP83" s="111">
        <v>-1.358392462161806E-2</v>
      </c>
      <c r="AQ83" s="111">
        <v>-1.515163618509561E-2</v>
      </c>
      <c r="AR83" s="111">
        <v>-1.333400893068828E-2</v>
      </c>
      <c r="AS83" s="111">
        <v>-1.524157997763541E-2</v>
      </c>
      <c r="AT83" s="111">
        <v>-1.6714286117862753E-2</v>
      </c>
      <c r="AU83" s="111">
        <v>-1.0964581925800149E-2</v>
      </c>
      <c r="AV83" s="111">
        <v>-2.611390903227942E-2</v>
      </c>
    </row>
    <row r="84" spans="24:49" ht="9.75" customHeight="1">
      <c r="X84" s="111" t="s">
        <v>227</v>
      </c>
      <c r="Y84" s="111">
        <v>5.6500000000000002E-2</v>
      </c>
      <c r="Z84" s="111">
        <v>7.8076950486556028E-5</v>
      </c>
      <c r="AA84" s="111">
        <v>1.8323052763662223E-2</v>
      </c>
      <c r="AB84" s="111">
        <v>1</v>
      </c>
      <c r="AC84" s="111">
        <v>6.6861068786647271E-2</v>
      </c>
      <c r="AD84" s="111">
        <v>8.8387367214256218E-2</v>
      </c>
      <c r="AE84" s="111">
        <v>8.940851065440622E-2</v>
      </c>
      <c r="AF84" s="111">
        <v>9.4708215590767794E-2</v>
      </c>
      <c r="AG84" s="111">
        <v>9.6519891228737859E-2</v>
      </c>
      <c r="AH84" s="111">
        <v>9.4623931531327601E-2</v>
      </c>
      <c r="AI84" s="111">
        <v>9.3170828633524619E-2</v>
      </c>
      <c r="AJ84" s="111">
        <v>8.2694897210352086E-2</v>
      </c>
      <c r="AK84" s="111">
        <v>7.0608969360175869E-2</v>
      </c>
      <c r="AL84" s="111">
        <v>5.5138745557669434E-2</v>
      </c>
      <c r="AM84" s="111">
        <v>4.2557705307304509E-2</v>
      </c>
      <c r="AN84" s="111">
        <v>3.1962800430973284E-2</v>
      </c>
      <c r="AO84" s="111">
        <v>2.2449482120381146E-2</v>
      </c>
      <c r="AP84" s="111">
        <v>1.5189530819375515E-2</v>
      </c>
      <c r="AQ84" s="111">
        <v>1.3383525380513768E-2</v>
      </c>
      <c r="AR84" s="111">
        <v>9.5575904096653948E-3</v>
      </c>
      <c r="AS84" s="111">
        <v>9.3339904569378889E-3</v>
      </c>
      <c r="AT84" s="111">
        <v>8.6635049704434051E-3</v>
      </c>
      <c r="AU84" s="111">
        <v>4.8579570489497648E-3</v>
      </c>
      <c r="AV84" s="111">
        <v>9.9214872875906385E-3</v>
      </c>
    </row>
    <row r="85" spans="24:49" ht="9.75" customHeight="1">
      <c r="X85" s="111" t="s">
        <v>228</v>
      </c>
      <c r="Y85" s="111">
        <v>5.4100000000000002E-2</v>
      </c>
      <c r="Z85" s="111">
        <v>1.465474685905824E-4</v>
      </c>
      <c r="AA85" s="111">
        <v>2.9833762538482949E-2</v>
      </c>
      <c r="AB85" s="111">
        <v>0</v>
      </c>
      <c r="AC85" s="111">
        <v>0</v>
      </c>
      <c r="AD85" s="111">
        <v>0</v>
      </c>
      <c r="AE85" s="111">
        <v>0</v>
      </c>
      <c r="AF85" s="111">
        <v>0</v>
      </c>
      <c r="AG85" s="111">
        <v>0</v>
      </c>
      <c r="AH85" s="111">
        <v>0</v>
      </c>
      <c r="AI85" s="111">
        <v>0</v>
      </c>
      <c r="AJ85" s="111">
        <v>0</v>
      </c>
      <c r="AK85" s="111">
        <v>0</v>
      </c>
      <c r="AL85" s="111">
        <v>0</v>
      </c>
      <c r="AM85" s="111">
        <v>0</v>
      </c>
      <c r="AN85" s="111">
        <v>0</v>
      </c>
      <c r="AO85" s="111">
        <v>0</v>
      </c>
      <c r="AP85" s="111">
        <v>0</v>
      </c>
      <c r="AQ85" s="111">
        <v>0</v>
      </c>
      <c r="AR85" s="111">
        <v>0</v>
      </c>
      <c r="AS85" s="111">
        <v>0</v>
      </c>
      <c r="AT85" s="111">
        <v>0</v>
      </c>
      <c r="AU85" s="111">
        <v>0</v>
      </c>
      <c r="AV85" s="111">
        <v>0</v>
      </c>
    </row>
    <row r="86" spans="24:49" ht="9.75" customHeight="1">
      <c r="X86" s="111" t="s">
        <v>248</v>
      </c>
      <c r="AB86" s="111">
        <v>21</v>
      </c>
      <c r="AC86" s="111">
        <v>1.0595549295852638</v>
      </c>
      <c r="AD86" s="111">
        <v>-7.1206938318358615E-2</v>
      </c>
      <c r="AE86" s="111">
        <v>1.558075444808711E-2</v>
      </c>
      <c r="AF86" s="111">
        <v>-5.7863375569561764E-3</v>
      </c>
      <c r="AG86" s="111">
        <v>2.8503392906647483E-3</v>
      </c>
      <c r="AH86" s="111">
        <v>-1.6093923780482241E-3</v>
      </c>
      <c r="AI86" s="111">
        <v>1.0240260269405829E-3</v>
      </c>
      <c r="AJ86" s="111">
        <v>-6.8827283909809339E-4</v>
      </c>
      <c r="AK86" s="111">
        <v>4.7307045425032027E-4</v>
      </c>
      <c r="AL86" s="111">
        <v>-3.2441776682105763E-4</v>
      </c>
      <c r="AM86" s="111">
        <v>2.2107504217881325E-4</v>
      </c>
      <c r="AN86" s="111">
        <v>-1.4411122996066357E-4</v>
      </c>
      <c r="AO86" s="111">
        <v>8.9271401645684247E-5</v>
      </c>
      <c r="AP86" s="111">
        <v>-5.4107103357042626E-5</v>
      </c>
      <c r="AQ86" s="111">
        <v>2.9277343600933036E-5</v>
      </c>
      <c r="AR86" s="111">
        <v>-1.1806066633751165E-5</v>
      </c>
      <c r="AS86" s="111">
        <v>3.2804337247512347E-6</v>
      </c>
      <c r="AT86" s="111">
        <v>-6.9853609229936116E-7</v>
      </c>
      <c r="AU86" s="111">
        <v>6.000796793847913E-8</v>
      </c>
      <c r="AV86" s="111">
        <v>-3.3998020564899627E-9</v>
      </c>
      <c r="AW86" s="111">
        <v>1.1608032667083574E-9</v>
      </c>
    </row>
    <row r="87" spans="24:49" ht="9.75" customHeight="1">
      <c r="X87" s="111" t="s">
        <v>13</v>
      </c>
      <c r="Y87" s="111">
        <v>4.6509999999999998</v>
      </c>
      <c r="Z87" s="111">
        <v>0.99778530306516955</v>
      </c>
      <c r="AA87" s="111">
        <v>1.0595549295852638</v>
      </c>
      <c r="AB87" s="111">
        <v>20</v>
      </c>
      <c r="AC87" s="111">
        <v>1.0578712946555713</v>
      </c>
      <c r="AD87" s="111">
        <v>-6.8513823585493488E-2</v>
      </c>
      <c r="AE87" s="111">
        <v>1.3831288296562773E-2</v>
      </c>
      <c r="AF87" s="111">
        <v>-4.3924992287840648E-3</v>
      </c>
      <c r="AG87" s="111">
        <v>1.645925122777381E-3</v>
      </c>
      <c r="AH87" s="111">
        <v>-5.5898787467163942E-4</v>
      </c>
      <c r="AI87" s="111">
        <v>7.8085409489902404E-5</v>
      </c>
      <c r="AJ87" s="111">
        <v>1.5663274155635349E-4</v>
      </c>
      <c r="AK87" s="111">
        <v>-2.6392857379117519E-4</v>
      </c>
      <c r="AL87" s="111">
        <v>2.943180609749013E-4</v>
      </c>
      <c r="AM87" s="111">
        <v>-2.8036855022655521E-4</v>
      </c>
      <c r="AN87" s="111">
        <v>2.3473448128804146E-4</v>
      </c>
      <c r="AO87" s="111">
        <v>-1.7825137232341319E-4</v>
      </c>
      <c r="AP87" s="111">
        <v>1.2726457607952553E-4</v>
      </c>
      <c r="AQ87" s="111">
        <v>-7.828870207298126E-5</v>
      </c>
      <c r="AR87" s="111">
        <v>3.5159698422731229E-5</v>
      </c>
      <c r="AS87" s="111">
        <v>-1.0855652089654545E-5</v>
      </c>
      <c r="AT87" s="111">
        <v>2.5312176594043034E-6</v>
      </c>
      <c r="AU87" s="111">
        <v>-2.4270207460886362E-7</v>
      </c>
      <c r="AV87" s="111">
        <v>1.2558881937174841E-8</v>
      </c>
      <c r="AW87" s="111">
        <v>-5.7773752049319055E-10</v>
      </c>
    </row>
    <row r="88" spans="24:49" ht="9.75" customHeight="1">
      <c r="X88" s="111" t="s">
        <v>15</v>
      </c>
      <c r="Y88" s="111">
        <v>0.85399999999999998</v>
      </c>
      <c r="Z88" s="111">
        <v>2.0917050777077414E-3</v>
      </c>
      <c r="AA88" s="111">
        <v>-7.1206938318358615E-2</v>
      </c>
      <c r="AB88" s="111">
        <v>19</v>
      </c>
      <c r="AC88" s="111">
        <v>1.0553518476429651</v>
      </c>
      <c r="AD88" s="111">
        <v>-6.4215643650317955E-2</v>
      </c>
      <c r="AE88" s="111">
        <v>1.0737001658144204E-2</v>
      </c>
      <c r="AF88" s="111">
        <v>-2.0146622612485857E-3</v>
      </c>
      <c r="AG88" s="111">
        <v>-2.1370429984148793E-4</v>
      </c>
      <c r="AH88" s="111">
        <v>8.3497912223070019E-4</v>
      </c>
      <c r="AI88" s="111">
        <v>-9.2827867356318271E-4</v>
      </c>
      <c r="AJ88" s="111">
        <v>8.0402681939129559E-4</v>
      </c>
      <c r="AK88" s="111">
        <v>-5.8960595032454214E-4</v>
      </c>
      <c r="AL88" s="111">
        <v>3.5462527934199817E-4</v>
      </c>
      <c r="AM88" s="111">
        <v>-1.5067321029957781E-4</v>
      </c>
      <c r="AN88" s="111">
        <v>1.4939676377051838E-6</v>
      </c>
      <c r="AO88" s="111">
        <v>8.384538130992345E-5</v>
      </c>
      <c r="AP88" s="111">
        <v>-1.1410260909054402E-4</v>
      </c>
      <c r="AQ88" s="111">
        <v>9.9090975760839981E-5</v>
      </c>
      <c r="AR88" s="111">
        <v>-5.6347264124490184E-5</v>
      </c>
      <c r="AS88" s="111">
        <v>2.1241062865225909E-5</v>
      </c>
      <c r="AT88" s="111">
        <v>-5.7417589542985425E-6</v>
      </c>
      <c r="AU88" s="111">
        <v>6.4505024791454679E-7</v>
      </c>
      <c r="AV88" s="111">
        <v>-3.8380537454954994E-8</v>
      </c>
      <c r="AW88" s="111">
        <v>1.0984064503428896E-9</v>
      </c>
    </row>
    <row r="89" spans="24:49" ht="9.75" customHeight="1">
      <c r="X89" s="111" t="s">
        <v>17</v>
      </c>
      <c r="Y89" s="111">
        <v>0.41899999999999998</v>
      </c>
      <c r="Z89" s="111">
        <v>1.0279541435504905E-4</v>
      </c>
      <c r="AA89" s="111">
        <v>1.558075444808711E-2</v>
      </c>
      <c r="AB89" s="111">
        <v>18</v>
      </c>
      <c r="AC89" s="111">
        <v>1.0520409362241754</v>
      </c>
      <c r="AD89" s="111">
        <v>-5.8494280545125135E-2</v>
      </c>
      <c r="AE89" s="111">
        <v>6.666527137028381E-3</v>
      </c>
      <c r="AF89" s="111">
        <v>7.6406096380055835E-4</v>
      </c>
      <c r="AG89" s="111">
        <v>-1.9503637876957124E-3</v>
      </c>
      <c r="AH89" s="111">
        <v>1.6807875376016743E-3</v>
      </c>
      <c r="AI89" s="111">
        <v>-1.0921629310885052E-3</v>
      </c>
      <c r="AJ89" s="111">
        <v>4.8919044147099889E-4</v>
      </c>
      <c r="AK89" s="111">
        <v>-2.4624696286481651E-5</v>
      </c>
      <c r="AL89" s="111">
        <v>-2.3850795458482026E-4</v>
      </c>
      <c r="AM89" s="111">
        <v>3.0639848765864864E-4</v>
      </c>
      <c r="AN89" s="111">
        <v>-2.3104249765902745E-4</v>
      </c>
      <c r="AO89" s="111">
        <v>9.7875687807976692E-5</v>
      </c>
      <c r="AP89" s="111">
        <v>1.9195207745342821E-5</v>
      </c>
      <c r="AQ89" s="111">
        <v>-7.9221027062695176E-5</v>
      </c>
      <c r="AR89" s="111">
        <v>7.0751112321064586E-5</v>
      </c>
      <c r="AS89" s="111">
        <v>-3.5704992446672934E-5</v>
      </c>
      <c r="AT89" s="111">
        <v>1.1656321125729179E-5</v>
      </c>
      <c r="AU89" s="111">
        <v>-1.5788122069959967E-6</v>
      </c>
      <c r="AV89" s="111">
        <v>1.1150385776252797E-7</v>
      </c>
      <c r="AW89" s="111">
        <v>-3.3804379956804014E-9</v>
      </c>
    </row>
    <row r="90" spans="24:49" ht="9.75" customHeight="1">
      <c r="X90" s="111" t="s">
        <v>19</v>
      </c>
      <c r="Y90" s="111">
        <v>0.2757</v>
      </c>
      <c r="Z90" s="111">
        <v>1.4038990801219845E-5</v>
      </c>
      <c r="AA90" s="111">
        <v>-5.7863375569561764E-3</v>
      </c>
      <c r="AB90" s="111">
        <v>17</v>
      </c>
      <c r="AC90" s="111">
        <v>1.0480345633272199</v>
      </c>
      <c r="AD90" s="111">
        <v>-5.1651057820287373E-2</v>
      </c>
      <c r="AE90" s="111">
        <v>2.1290900828354067E-3</v>
      </c>
      <c r="AF90" s="111">
        <v>3.2719124160143697E-3</v>
      </c>
      <c r="AG90" s="111">
        <v>-2.872868153190497E-3</v>
      </c>
      <c r="AH90" s="111">
        <v>1.4868954264415299E-3</v>
      </c>
      <c r="AI90" s="111">
        <v>-3.1865573904473913E-4</v>
      </c>
      <c r="AJ90" s="111">
        <v>-3.6969400963805121E-4</v>
      </c>
      <c r="AK90" s="111">
        <v>5.5467408246193887E-4</v>
      </c>
      <c r="AL90" s="111">
        <v>-3.8730868841349271E-4</v>
      </c>
      <c r="AM90" s="111">
        <v>1.0089785910193965E-4</v>
      </c>
      <c r="AN90" s="111">
        <v>1.0990607532232393E-4</v>
      </c>
      <c r="AO90" s="111">
        <v>-1.6152573283208723E-4</v>
      </c>
      <c r="AP90" s="111">
        <v>8.7557586630321687E-5</v>
      </c>
      <c r="AQ90" s="111">
        <v>2.0177377247596429E-5</v>
      </c>
      <c r="AR90" s="111">
        <v>-6.8917090813530243E-5</v>
      </c>
      <c r="AS90" s="111">
        <v>5.2509121186422247E-5</v>
      </c>
      <c r="AT90" s="111">
        <v>-2.1432333750894133E-5</v>
      </c>
      <c r="AU90" s="111">
        <v>3.5683851437961131E-6</v>
      </c>
      <c r="AV90" s="111">
        <v>-3.0313162077930498E-7</v>
      </c>
      <c r="AW90" s="111">
        <v>1.0959985141270799E-8</v>
      </c>
    </row>
    <row r="91" spans="24:49" ht="9.75" customHeight="1">
      <c r="X91" s="111" t="s">
        <v>20</v>
      </c>
      <c r="Y91" s="111">
        <v>0.2064</v>
      </c>
      <c r="Z91" s="111">
        <v>3.7690655263463049E-6</v>
      </c>
      <c r="AA91" s="111">
        <v>-2.872868153190497E-3</v>
      </c>
      <c r="AB91" s="111">
        <v>16</v>
      </c>
      <c r="AC91" s="111">
        <v>1.0435231434351318</v>
      </c>
      <c r="AD91" s="111">
        <v>-4.4157125021086478E-2</v>
      </c>
      <c r="AE91" s="111">
        <v>-2.2780441783511415E-3</v>
      </c>
      <c r="AF91" s="111">
        <v>4.949211925480904E-3</v>
      </c>
      <c r="AG91" s="111">
        <v>-2.7063115545884879E-3</v>
      </c>
      <c r="AH91" s="111">
        <v>4.7791227521658882E-4</v>
      </c>
      <c r="AI91" s="111">
        <v>6.5316280554982128E-4</v>
      </c>
      <c r="AJ91" s="111">
        <v>-7.7779997586676546E-4</v>
      </c>
      <c r="AK91" s="111">
        <v>3.4910501025328173E-4</v>
      </c>
      <c r="AL91" s="111">
        <v>1.116137021612385E-4</v>
      </c>
      <c r="AM91" s="111">
        <v>-2.8781950157998157E-4</v>
      </c>
      <c r="AN91" s="111">
        <v>1.7712579743632838E-4</v>
      </c>
      <c r="AO91" s="111">
        <v>1.6100762345348834E-5</v>
      </c>
      <c r="AP91" s="111">
        <v>-1.0289097857581886E-4</v>
      </c>
      <c r="AQ91" s="111">
        <v>4.842581763695336E-5</v>
      </c>
      <c r="AR91" s="111">
        <v>3.8491172511320768E-5</v>
      </c>
      <c r="AS91" s="111">
        <v>-6.1030808495803499E-5</v>
      </c>
      <c r="AT91" s="111">
        <v>3.2997608264057831E-5</v>
      </c>
      <c r="AU91" s="111">
        <v>-6.9609735016641131E-6</v>
      </c>
      <c r="AV91" s="111">
        <v>7.2362974790685164E-7</v>
      </c>
      <c r="AW91" s="111">
        <v>-3.094968787491819E-8</v>
      </c>
    </row>
    <row r="92" spans="24:49" ht="9.75" customHeight="1">
      <c r="X92" s="111" t="s">
        <v>22</v>
      </c>
      <c r="Y92" s="111">
        <v>0.16500000000000001</v>
      </c>
      <c r="Z92" s="111">
        <v>1.2744269511005194E-6</v>
      </c>
      <c r="AA92" s="111">
        <v>1.6807875376016743E-3</v>
      </c>
      <c r="AB92" s="111">
        <v>15</v>
      </c>
      <c r="AC92" s="111">
        <v>1.0383277204397541</v>
      </c>
      <c r="AD92" s="111">
        <v>-3.5826290433337613E-2</v>
      </c>
      <c r="AE92" s="111">
        <v>-6.4411829825963768E-3</v>
      </c>
      <c r="AF92" s="111">
        <v>5.6267798693155173E-3</v>
      </c>
      <c r="AG92" s="111">
        <v>-1.5828659156777668E-3</v>
      </c>
      <c r="AH92" s="111">
        <v>-7.8715581155511553E-4</v>
      </c>
      <c r="AI92" s="111">
        <v>1.1038337960913623E-3</v>
      </c>
      <c r="AJ92" s="111">
        <v>-3.6822181077987055E-4</v>
      </c>
      <c r="AK92" s="111">
        <v>-3.1871297346170281E-4</v>
      </c>
      <c r="AL92" s="111">
        <v>4.2394576418558732E-4</v>
      </c>
      <c r="AM92" s="111">
        <v>-1.141964084949494E-4</v>
      </c>
      <c r="AN92" s="111">
        <v>-1.5541404706634996E-4</v>
      </c>
      <c r="AO92" s="111">
        <v>1.5084248798921129E-4</v>
      </c>
      <c r="AP92" s="111">
        <v>4.1971926499951715E-6</v>
      </c>
      <c r="AQ92" s="111">
        <v>-7.6235681151543661E-5</v>
      </c>
      <c r="AR92" s="111">
        <v>1.3586844460651608E-5</v>
      </c>
      <c r="AS92" s="111">
        <v>5.1745369532298011E-5</v>
      </c>
      <c r="AT92" s="111">
        <v>-4.3075126229762127E-5</v>
      </c>
      <c r="AU92" s="111">
        <v>1.2217287035033008E-5</v>
      </c>
      <c r="AV92" s="111">
        <v>-1.6011138895400033E-6</v>
      </c>
      <c r="AW92" s="111">
        <v>8.3253227649691582E-8</v>
      </c>
    </row>
    <row r="93" spans="24:49" ht="9.75" customHeight="1">
      <c r="X93" s="111" t="s">
        <v>215</v>
      </c>
      <c r="Y93" s="111">
        <v>0.1384</v>
      </c>
      <c r="Z93" s="111">
        <v>5.3345242381949406E-7</v>
      </c>
      <c r="AA93" s="111">
        <v>1.1038337960913623E-3</v>
      </c>
      <c r="AB93" s="111">
        <v>14</v>
      </c>
      <c r="AC93" s="111">
        <v>1.03251045332052</v>
      </c>
      <c r="AD93" s="111">
        <v>-2.6917855507800872E-2</v>
      </c>
      <c r="AE93" s="111">
        <v>-9.9788526749289876E-3</v>
      </c>
      <c r="AF93" s="111">
        <v>5.1925934915145761E-3</v>
      </c>
      <c r="AG93" s="111">
        <v>7.2716917700677765E-5</v>
      </c>
      <c r="AH93" s="111">
        <v>-1.6037981542745283E-3</v>
      </c>
      <c r="AI93" s="111">
        <v>6.9472682276588299E-4</v>
      </c>
      <c r="AJ93" s="111">
        <v>4.1303881423966914E-4</v>
      </c>
      <c r="AK93" s="111">
        <v>-5.5823032812880511E-4</v>
      </c>
      <c r="AL93" s="111">
        <v>5.108835628618464E-5</v>
      </c>
      <c r="AM93" s="111">
        <v>2.7450563376708946E-4</v>
      </c>
      <c r="AN93" s="111">
        <v>-1.3814952516575499E-4</v>
      </c>
      <c r="AO93" s="111">
        <v>-9.7780714275451261E-5</v>
      </c>
      <c r="AP93" s="111">
        <v>9.7567961993895374E-5</v>
      </c>
      <c r="AQ93" s="111">
        <v>3.7501678831444824E-5</v>
      </c>
      <c r="AR93" s="111">
        <v>-5.6478545922174542E-5</v>
      </c>
      <c r="AS93" s="111">
        <v>-2.5181609717779004E-5</v>
      </c>
      <c r="AT93" s="111">
        <v>4.8990035864553186E-5</v>
      </c>
      <c r="AU93" s="111">
        <v>-2.0023110110987722E-5</v>
      </c>
      <c r="AV93" s="111">
        <v>3.3831488812954383E-6</v>
      </c>
      <c r="AW93" s="111">
        <v>-2.160120413719709E-7</v>
      </c>
    </row>
    <row r="94" spans="24:49" ht="9.75" customHeight="1">
      <c r="X94" s="111" t="s">
        <v>216</v>
      </c>
      <c r="Y94" s="111">
        <v>0.1198</v>
      </c>
      <c r="Z94" s="111">
        <v>2.6815492735872169E-7</v>
      </c>
      <c r="AA94" s="111">
        <v>8.0402681939129559E-4</v>
      </c>
      <c r="AB94" s="111">
        <v>13</v>
      </c>
      <c r="AC94" s="111">
        <v>1.0261004520214827</v>
      </c>
      <c r="AD94" s="111">
        <v>-1.7635523310713185E-2</v>
      </c>
      <c r="AE94" s="111">
        <v>-1.2616356365244025E-2</v>
      </c>
      <c r="AF94" s="111">
        <v>3.7671175270297861E-3</v>
      </c>
      <c r="AG94" s="111">
        <v>1.6768185463301062E-3</v>
      </c>
      <c r="AH94" s="111">
        <v>-1.5510076042237562E-3</v>
      </c>
      <c r="AI94" s="111">
        <v>-2.3459972491887162E-4</v>
      </c>
      <c r="AJ94" s="111">
        <v>7.628126278298676E-4</v>
      </c>
      <c r="AK94" s="111">
        <v>-7.5971347804571895E-5</v>
      </c>
      <c r="AL94" s="111">
        <v>-3.9620308122851185E-4</v>
      </c>
      <c r="AM94" s="111">
        <v>1.4171470630914125E-4</v>
      </c>
      <c r="AN94" s="111">
        <v>1.7956921067348167E-4</v>
      </c>
      <c r="AO94" s="111">
        <v>-9.9293857522067541E-5</v>
      </c>
      <c r="AP94" s="111">
        <v>-8.1822318158929937E-5</v>
      </c>
      <c r="AQ94" s="111">
        <v>3.5076349064582138E-5</v>
      </c>
      <c r="AR94" s="111">
        <v>6.090893755541476E-5</v>
      </c>
      <c r="AS94" s="111">
        <v>-1.0966488391563102E-5</v>
      </c>
      <c r="AT94" s="111">
        <v>-4.7052521830502931E-5</v>
      </c>
      <c r="AU94" s="111">
        <v>3.0605154758001894E-5</v>
      </c>
      <c r="AV94" s="111">
        <v>-6.8184015057039365E-6</v>
      </c>
      <c r="AW94" s="111">
        <v>5.3994050703641965E-7</v>
      </c>
    </row>
    <row r="95" spans="24:49" ht="9.75" customHeight="1">
      <c r="X95" s="111" t="s">
        <v>217</v>
      </c>
      <c r="Y95" s="111">
        <v>0.10630000000000001</v>
      </c>
      <c r="Z95" s="111">
        <v>1.4601726728398113E-7</v>
      </c>
      <c r="AA95" s="111">
        <v>-5.8960595032454214E-4</v>
      </c>
      <c r="AB95" s="111">
        <v>12</v>
      </c>
      <c r="AC95" s="111">
        <v>1.019325312887402</v>
      </c>
      <c r="AD95" s="111">
        <v>-8.4556995020818749E-3</v>
      </c>
      <c r="AE95" s="111">
        <v>-1.4120537768413495E-2</v>
      </c>
      <c r="AF95" s="111">
        <v>1.72024037809348E-3</v>
      </c>
      <c r="AG95" s="111">
        <v>2.6589503155808078E-3</v>
      </c>
      <c r="AH95" s="111">
        <v>-7.1258548692643196E-4</v>
      </c>
      <c r="AI95" s="111">
        <v>-9.4948444636058402E-4</v>
      </c>
      <c r="AJ95" s="111">
        <v>3.6062910682667289E-4</v>
      </c>
      <c r="AK95" s="111">
        <v>4.7622311126812515E-4</v>
      </c>
      <c r="AL95" s="111">
        <v>-2.275515136735928E-4</v>
      </c>
      <c r="AM95" s="111">
        <v>-2.3779642496756222E-4</v>
      </c>
      <c r="AN95" s="111">
        <v>1.0975639789946855E-4</v>
      </c>
      <c r="AO95" s="111">
        <v>1.3410161930011067E-4</v>
      </c>
      <c r="AP95" s="111">
        <v>-3.6118528519210061E-5</v>
      </c>
      <c r="AQ95" s="111">
        <v>-6.8971269149315954E-5</v>
      </c>
      <c r="AR95" s="111">
        <v>-1.8596606595158329E-5</v>
      </c>
      <c r="AS95" s="111">
        <v>3.9817780715139118E-5</v>
      </c>
      <c r="AT95" s="111">
        <v>3.2096596631892673E-5</v>
      </c>
      <c r="AU95" s="111">
        <v>-4.0993061371305287E-5</v>
      </c>
      <c r="AV95" s="111">
        <v>1.2445303105712457E-5</v>
      </c>
      <c r="AW95" s="111">
        <v>-1.238888765484168E-6</v>
      </c>
    </row>
    <row r="96" spans="24:49" ht="9.75" customHeight="1">
      <c r="X96" s="111" t="s">
        <v>218</v>
      </c>
      <c r="Y96" s="111">
        <v>9.6000000000000002E-2</v>
      </c>
      <c r="Z96" s="111">
        <v>8.0788976545974332E-8</v>
      </c>
      <c r="AA96" s="111">
        <v>4.2394576418558732E-4</v>
      </c>
      <c r="AB96" s="111">
        <v>11</v>
      </c>
      <c r="AC96" s="111">
        <v>1.0121805000186224</v>
      </c>
      <c r="AD96" s="111">
        <v>5.1719743065330713E-4</v>
      </c>
      <c r="AE96" s="111">
        <v>-1.4481343928324409E-2</v>
      </c>
      <c r="AF96" s="111">
        <v>-5.5228334292828449E-4</v>
      </c>
      <c r="AG96" s="111">
        <v>2.7720905910729532E-3</v>
      </c>
      <c r="AH96" s="111">
        <v>4.414688614737421E-4</v>
      </c>
      <c r="AI96" s="111">
        <v>-9.7645115976125287E-4</v>
      </c>
      <c r="AJ96" s="111">
        <v>-3.6044949683369093E-4</v>
      </c>
      <c r="AK96" s="111">
        <v>4.4697592303494769E-4</v>
      </c>
      <c r="AL96" s="111">
        <v>2.6284121135156178E-4</v>
      </c>
      <c r="AM96" s="111">
        <v>-1.941719287870736E-4</v>
      </c>
      <c r="AN96" s="111">
        <v>-1.7619619900873152E-4</v>
      </c>
      <c r="AO96" s="111">
        <v>5.3608135820295426E-5</v>
      </c>
      <c r="AP96" s="111">
        <v>9.9703076371206658E-5</v>
      </c>
      <c r="AQ96" s="111">
        <v>2.3367601192584209E-5</v>
      </c>
      <c r="AR96" s="111">
        <v>-3.8899792383490306E-5</v>
      </c>
      <c r="AS96" s="111">
        <v>-4.1397781751887349E-5</v>
      </c>
      <c r="AT96" s="111">
        <v>-3.6874299544560049E-6</v>
      </c>
      <c r="AU96" s="111">
        <v>4.4450941450114159E-5</v>
      </c>
      <c r="AV96" s="111">
        <v>-1.9886631281884361E-5</v>
      </c>
      <c r="AW96" s="111">
        <v>2.5638999728324716E-6</v>
      </c>
    </row>
    <row r="97" spans="24:49" ht="9.75" customHeight="1">
      <c r="X97" s="111" t="s">
        <v>219</v>
      </c>
      <c r="Y97" s="111">
        <v>8.7999999999999995E-2</v>
      </c>
      <c r="Z97" s="111">
        <v>4.0804613748737169E-8</v>
      </c>
      <c r="AA97" s="111">
        <v>3.0639848765864864E-4</v>
      </c>
      <c r="AB97" s="111">
        <v>10</v>
      </c>
      <c r="AC97" s="111">
        <v>1.0046547899062759</v>
      </c>
      <c r="AD97" s="111">
        <v>9.1889624411178889E-3</v>
      </c>
      <c r="AE97" s="111">
        <v>-1.3749254356069452E-2</v>
      </c>
      <c r="AF97" s="111">
        <v>-2.6652857337469749E-3</v>
      </c>
      <c r="AG97" s="111">
        <v>2.0411730876856772E-3</v>
      </c>
      <c r="AH97" s="111">
        <v>1.3510096482307131E-3</v>
      </c>
      <c r="AI97" s="111">
        <v>-3.4358107847189123E-4</v>
      </c>
      <c r="AJ97" s="111">
        <v>-7.3626551057704652E-4</v>
      </c>
      <c r="AK97" s="111">
        <v>-9.1469419209739528E-5</v>
      </c>
      <c r="AL97" s="111">
        <v>3.7045663586054604E-4</v>
      </c>
      <c r="AM97" s="111">
        <v>1.7182636588475788E-4</v>
      </c>
      <c r="AN97" s="111">
        <v>-1.1292964478162457E-4</v>
      </c>
      <c r="AO97" s="111">
        <v>-1.4271349925619296E-4</v>
      </c>
      <c r="AP97" s="111">
        <v>-1.464886814687496E-5</v>
      </c>
      <c r="AQ97" s="111">
        <v>4.9729393060686508E-5</v>
      </c>
      <c r="AR97" s="111">
        <v>5.534316731082479E-5</v>
      </c>
      <c r="AS97" s="111">
        <v>1.0989128177481976E-5</v>
      </c>
      <c r="AT97" s="111">
        <v>-2.5933670751373468E-5</v>
      </c>
      <c r="AU97" s="111">
        <v>-3.4965776189149488E-5</v>
      </c>
      <c r="AV97" s="111">
        <v>2.7583103099787673E-5</v>
      </c>
      <c r="AW97" s="111">
        <v>-4.8153195022842093E-6</v>
      </c>
    </row>
    <row r="98" spans="24:49" ht="9.75" customHeight="1">
      <c r="X98" s="111" t="s">
        <v>220</v>
      </c>
      <c r="Y98" s="111">
        <v>8.1699999999999995E-2</v>
      </c>
      <c r="Z98" s="111">
        <v>2.1421885218209016E-8</v>
      </c>
      <c r="AA98" s="111">
        <v>2.3473448128804146E-4</v>
      </c>
      <c r="AB98" s="111">
        <v>9</v>
      </c>
      <c r="AC98" s="111">
        <v>0.99678129176842112</v>
      </c>
      <c r="AD98" s="111">
        <v>1.7420109907081458E-2</v>
      </c>
      <c r="AE98" s="111">
        <v>-1.2039999046345578E-2</v>
      </c>
      <c r="AF98" s="111">
        <v>-4.2782504028547799E-3</v>
      </c>
      <c r="AG98" s="111">
        <v>7.3061504422871173E-4</v>
      </c>
      <c r="AH98" s="111">
        <v>1.6112111540410054E-3</v>
      </c>
      <c r="AI98" s="111">
        <v>4.9637594452071031E-4</v>
      </c>
      <c r="AJ98" s="111">
        <v>-4.5879078427476394E-4</v>
      </c>
      <c r="AK98" s="111">
        <v>-5.1271066839147594E-4</v>
      </c>
      <c r="AL98" s="111">
        <v>-2.8821996605714198E-5</v>
      </c>
      <c r="AM98" s="111">
        <v>2.4926436083717412E-4</v>
      </c>
      <c r="AN98" s="111">
        <v>1.605108088843357E-4</v>
      </c>
      <c r="AO98" s="111">
        <v>-2.7590723432068755E-5</v>
      </c>
      <c r="AP98" s="111">
        <v>-9.0597578572987006E-5</v>
      </c>
      <c r="AQ98" s="111">
        <v>-5.5328979730563255E-5</v>
      </c>
      <c r="AR98" s="111">
        <v>-1.0565248272727033E-5</v>
      </c>
      <c r="AS98" s="111">
        <v>2.8048990391530014E-5</v>
      </c>
      <c r="AT98" s="111">
        <v>3.7628693868382591E-5</v>
      </c>
      <c r="AU98" s="111">
        <v>1.1895640721553537E-5</v>
      </c>
      <c r="AV98" s="111">
        <v>-3.2502390397474271E-5</v>
      </c>
      <c r="AW98" s="111">
        <v>8.2055058825711581E-6</v>
      </c>
    </row>
    <row r="99" spans="24:49" ht="9.75" customHeight="1">
      <c r="X99" s="111" t="s">
        <v>221</v>
      </c>
      <c r="Y99" s="111">
        <v>7.6499999999999999E-2</v>
      </c>
      <c r="Z99" s="111">
        <v>1.117114613662117E-8</v>
      </c>
      <c r="AA99" s="111">
        <v>-1.7825137232341319E-4</v>
      </c>
      <c r="AB99" s="111">
        <v>8</v>
      </c>
      <c r="AC99" s="111">
        <v>0.98842791740677505</v>
      </c>
      <c r="AD99" s="111">
        <v>2.5241539651759546E-2</v>
      </c>
      <c r="AE99" s="111">
        <v>-9.4732135451562876E-3</v>
      </c>
      <c r="AF99" s="111">
        <v>-5.1791259667636697E-3</v>
      </c>
      <c r="AG99" s="111">
        <v>-7.8293198762137742E-4</v>
      </c>
      <c r="AH99" s="111">
        <v>1.1318830569192833E-3</v>
      </c>
      <c r="AI99" s="111">
        <v>1.0079409620963305E-3</v>
      </c>
      <c r="AJ99" s="111">
        <v>2.1393306524846749E-4</v>
      </c>
      <c r="AK99" s="111">
        <v>-3.6637749073961125E-4</v>
      </c>
      <c r="AL99" s="111">
        <v>-3.8651396630474965E-4</v>
      </c>
      <c r="AM99" s="111">
        <v>-7.4192672773850231E-5</v>
      </c>
      <c r="AN99" s="111">
        <v>1.3266610131592831E-4</v>
      </c>
      <c r="AO99" s="111">
        <v>1.4542404038486229E-4</v>
      </c>
      <c r="AP99" s="111">
        <v>4.9556201496904046E-5</v>
      </c>
      <c r="AQ99" s="111">
        <v>-1.5280259965730806E-5</v>
      </c>
      <c r="AR99" s="111">
        <v>-4.6170824496998277E-5</v>
      </c>
      <c r="AS99" s="111">
        <v>-4.0691821863203219E-5</v>
      </c>
      <c r="AT99" s="111">
        <v>-2.1950391319872446E-5</v>
      </c>
      <c r="AU99" s="111">
        <v>1.6545717327479844E-5</v>
      </c>
      <c r="AV99" s="111">
        <v>3.2060343011904221E-5</v>
      </c>
      <c r="AW99" s="111">
        <v>-1.3017619330549775E-5</v>
      </c>
    </row>
    <row r="100" spans="24:49" ht="9.75" customHeight="1">
      <c r="X100" s="111" t="s">
        <v>222</v>
      </c>
      <c r="Y100" s="111">
        <v>7.2300000000000003E-2</v>
      </c>
      <c r="Z100" s="111">
        <v>5.200203394433755E-9</v>
      </c>
      <c r="AA100" s="111">
        <v>1.2726457607952553E-4</v>
      </c>
      <c r="AB100" s="111">
        <v>7</v>
      </c>
      <c r="AC100" s="111">
        <v>0.9796139931075456</v>
      </c>
      <c r="AD100" s="111">
        <v>3.2519149183747792E-2</v>
      </c>
      <c r="AE100" s="111">
        <v>-6.2435433116525621E-3</v>
      </c>
      <c r="AF100" s="111">
        <v>-5.231014799593669E-3</v>
      </c>
      <c r="AG100" s="111">
        <v>-2.0565940811487693E-3</v>
      </c>
      <c r="AH100" s="111">
        <v>1.4120927878898785E-4</v>
      </c>
      <c r="AI100" s="111">
        <v>8.6549981971496977E-4</v>
      </c>
      <c r="AJ100" s="111">
        <v>6.9742425031097104E-4</v>
      </c>
      <c r="AK100" s="111">
        <v>1.7953006961494319E-4</v>
      </c>
      <c r="AL100" s="111">
        <v>-2.238939067613793E-4</v>
      </c>
      <c r="AM100" s="111">
        <v>-2.7687463098757738E-4</v>
      </c>
      <c r="AN100" s="111">
        <v>-1.4062135102068995E-4</v>
      </c>
      <c r="AO100" s="111">
        <v>1.0164729561396357E-5</v>
      </c>
      <c r="AP100" s="111">
        <v>7.1602888147930698E-5</v>
      </c>
      <c r="AQ100" s="111">
        <v>6.4074772004018299E-5</v>
      </c>
      <c r="AR100" s="111">
        <v>4.792147676329676E-5</v>
      </c>
      <c r="AS100" s="111">
        <v>1.4475958835994263E-5</v>
      </c>
      <c r="AT100" s="111">
        <v>-1.0051178030776322E-5</v>
      </c>
      <c r="AU100" s="111">
        <v>-3.6664608053201052E-5</v>
      </c>
      <c r="AV100" s="111">
        <v>-2.5489423260069726E-5</v>
      </c>
      <c r="AW100" s="111">
        <v>1.9701755472038694E-5</v>
      </c>
    </row>
    <row r="101" spans="24:49" ht="9.75" customHeight="1">
      <c r="X101" s="111" t="s">
        <v>223</v>
      </c>
      <c r="Y101" s="111">
        <v>6.9000000000000006E-2</v>
      </c>
      <c r="Z101" s="111">
        <v>2.563133799707403E-9</v>
      </c>
      <c r="AA101" s="111">
        <v>9.9090975760839981E-5</v>
      </c>
      <c r="AB101" s="111">
        <v>6</v>
      </c>
      <c r="AC101" s="111">
        <v>0.97029710466558328</v>
      </c>
      <c r="AD101" s="111">
        <v>3.9174407605131585E-2</v>
      </c>
      <c r="AE101" s="111">
        <v>-2.5622632360767154E-3</v>
      </c>
      <c r="AF101" s="111">
        <v>-4.4319647879249519E-3</v>
      </c>
      <c r="AG101" s="111">
        <v>-2.7307960598141538E-3</v>
      </c>
      <c r="AH101" s="111">
        <v>-9.1441018064530378E-4</v>
      </c>
      <c r="AI101" s="111">
        <v>1.6469889927316428E-4</v>
      </c>
      <c r="AJ101" s="111">
        <v>5.8044287410566255E-4</v>
      </c>
      <c r="AK101" s="111">
        <v>5.2953835490586422E-4</v>
      </c>
      <c r="AL101" s="111">
        <v>2.3855583946334356E-4</v>
      </c>
      <c r="AM101" s="111">
        <v>-3.7783808542333123E-5</v>
      </c>
      <c r="AN101" s="111">
        <v>-1.536900365478403E-4</v>
      </c>
      <c r="AO101" s="111">
        <v>-1.4651439666363682E-4</v>
      </c>
      <c r="AP101" s="111">
        <v>-7.5545420692459475E-5</v>
      </c>
      <c r="AQ101" s="111">
        <v>-2.2511894424467967E-5</v>
      </c>
      <c r="AR101" s="111">
        <v>7.647842933681048E-6</v>
      </c>
      <c r="AS101" s="111">
        <v>2.5742978629805968E-5</v>
      </c>
      <c r="AT101" s="111">
        <v>3.4382157392775303E-5</v>
      </c>
      <c r="AU101" s="111">
        <v>3.8268663862417892E-5</v>
      </c>
      <c r="AV101" s="111">
        <v>1.3679784706236859E-5</v>
      </c>
      <c r="AW101" s="111">
        <v>-2.8989844655836132E-5</v>
      </c>
    </row>
    <row r="102" spans="24:49" ht="9.75" customHeight="1">
      <c r="X102" s="111" t="s">
        <v>224</v>
      </c>
      <c r="Y102" s="111">
        <v>6.6400000000000001E-2</v>
      </c>
      <c r="Z102" s="111">
        <v>1.7063597033682156E-9</v>
      </c>
      <c r="AA102" s="111">
        <v>7.0751112321064586E-5</v>
      </c>
      <c r="AB102" s="111">
        <v>5</v>
      </c>
      <c r="AC102" s="111">
        <v>0.96081334026862586</v>
      </c>
      <c r="AD102" s="111">
        <v>4.4900053225517329E-2</v>
      </c>
      <c r="AE102" s="111">
        <v>1.1750930601749335E-3</v>
      </c>
      <c r="AF102" s="111">
        <v>-2.9641140670553087E-3</v>
      </c>
      <c r="AG102" s="111">
        <v>-2.6140051440497808E-3</v>
      </c>
      <c r="AH102" s="111">
        <v>-1.5334149689296939E-3</v>
      </c>
      <c r="AI102" s="111">
        <v>-6.1427522337599105E-4</v>
      </c>
      <c r="AJ102" s="111">
        <v>-1.5054933917251879E-5</v>
      </c>
      <c r="AK102" s="111">
        <v>3.0898830813689621E-4</v>
      </c>
      <c r="AL102" s="111">
        <v>3.7624071945031168E-4</v>
      </c>
      <c r="AM102" s="111">
        <v>2.5135765654020541E-4</v>
      </c>
      <c r="AN102" s="111">
        <v>1.0831000379442906E-4</v>
      </c>
      <c r="AO102" s="111">
        <v>9.615895419625099E-7</v>
      </c>
      <c r="AP102" s="111">
        <v>-4.5313094200226834E-5</v>
      </c>
      <c r="AQ102" s="111">
        <v>-4.9802726402483969E-5</v>
      </c>
      <c r="AR102" s="111">
        <v>-5.1945957713731614E-5</v>
      </c>
      <c r="AS102" s="111">
        <v>-3.8759829492866389E-5</v>
      </c>
      <c r="AT102" s="111">
        <v>-3.0178327085054511E-5</v>
      </c>
      <c r="AU102" s="111">
        <v>-1.8519604321708405E-5</v>
      </c>
      <c r="AV102" s="111">
        <v>1.3809764464686007E-6</v>
      </c>
      <c r="AW102" s="111">
        <v>3.9658068316653237E-5</v>
      </c>
    </row>
    <row r="103" spans="24:49" ht="9.75" customHeight="1">
      <c r="X103" s="111" t="s">
        <v>225</v>
      </c>
      <c r="Y103" s="111">
        <v>6.3799999999999996E-2</v>
      </c>
      <c r="Z103" s="111">
        <v>9.5672676044621256E-10</v>
      </c>
      <c r="AA103" s="111">
        <v>-6.1030808495803499E-5</v>
      </c>
      <c r="AB103" s="111">
        <v>4</v>
      </c>
      <c r="AC103" s="111">
        <v>0.95125210873973287</v>
      </c>
      <c r="AD103" s="111">
        <v>4.9629131293647634E-2</v>
      </c>
      <c r="AE103" s="111">
        <v>4.6932163566019147E-3</v>
      </c>
      <c r="AF103" s="111">
        <v>-1.1079759206798008E-3</v>
      </c>
      <c r="AG103" s="111">
        <v>-1.7959145454711086E-3</v>
      </c>
      <c r="AH103" s="111">
        <v>-1.4828259653338416E-3</v>
      </c>
      <c r="AI103" s="111">
        <v>-9.9417438428348981E-4</v>
      </c>
      <c r="AJ103" s="111">
        <v>-5.7519309796145069E-4</v>
      </c>
      <c r="AK103" s="111">
        <v>-2.1565023517481789E-4</v>
      </c>
      <c r="AL103" s="111">
        <v>4.0814666091490957E-5</v>
      </c>
      <c r="AM103" s="111">
        <v>1.5735892390747033E-4</v>
      </c>
      <c r="AN103" s="111">
        <v>1.7394800729774132E-4</v>
      </c>
      <c r="AO103" s="111">
        <v>1.4072781234460331E-4</v>
      </c>
      <c r="AP103" s="111">
        <v>8.2954993179336779E-5</v>
      </c>
      <c r="AQ103" s="111">
        <v>4.3602502204819763E-5</v>
      </c>
      <c r="AR103" s="111">
        <v>2.5858725306231245E-5</v>
      </c>
      <c r="AS103" s="111">
        <v>8.2974263298478237E-6</v>
      </c>
      <c r="AT103" s="111">
        <v>-1.5998567248731536E-6</v>
      </c>
      <c r="AU103" s="111">
        <v>-1.3038131677802991E-5</v>
      </c>
      <c r="AV103" s="111">
        <v>-1.5286974068244367E-5</v>
      </c>
      <c r="AW103" s="111">
        <v>-4.6360335269087893E-5</v>
      </c>
    </row>
    <row r="104" spans="24:49" ht="9.75" customHeight="1">
      <c r="X104" s="111" t="s">
        <v>226</v>
      </c>
      <c r="Y104" s="111">
        <v>6.1800000000000001E-2</v>
      </c>
      <c r="Z104" s="111">
        <v>6.7647957254379439E-10</v>
      </c>
      <c r="AA104" s="111">
        <v>4.8990035864553186E-5</v>
      </c>
      <c r="AB104" s="111">
        <v>3</v>
      </c>
      <c r="AC104" s="111">
        <v>0.94175505215762845</v>
      </c>
      <c r="AD104" s="111">
        <v>5.3313264059364228E-2</v>
      </c>
      <c r="AE104" s="111">
        <v>7.7465249468926904E-3</v>
      </c>
      <c r="AF104" s="111">
        <v>8.1204761267892678E-4</v>
      </c>
      <c r="AG104" s="111">
        <v>-5.5786160600336825E-4</v>
      </c>
      <c r="AH104" s="111">
        <v>-8.4239548351276857E-4</v>
      </c>
      <c r="AI104" s="111">
        <v>-7.8927013895442133E-4</v>
      </c>
      <c r="AJ104" s="111">
        <v>-6.7159137699777537E-4</v>
      </c>
      <c r="AK104" s="111">
        <v>-5.0615122634616754E-4</v>
      </c>
      <c r="AL104" s="111">
        <v>-3.2605010567490295E-4</v>
      </c>
      <c r="AM104" s="111">
        <v>-1.528401022453916E-4</v>
      </c>
      <c r="AN104" s="111">
        <v>-4.7309143336974455E-5</v>
      </c>
      <c r="AO104" s="111">
        <v>1.1821090645981556E-5</v>
      </c>
      <c r="AP104" s="111">
        <v>3.2167296305961855E-5</v>
      </c>
      <c r="AQ104" s="111">
        <v>3.2875862029207496E-5</v>
      </c>
      <c r="AR104" s="111">
        <v>3.5902073791292246E-5</v>
      </c>
      <c r="AS104" s="111">
        <v>3.0830475020328446E-5</v>
      </c>
      <c r="AT104" s="111">
        <v>3.0099366061231851E-5</v>
      </c>
      <c r="AU104" s="111">
        <v>3.2292899176204172E-5</v>
      </c>
      <c r="AV104" s="111">
        <v>1.9960303104930453E-5</v>
      </c>
      <c r="AW104" s="111">
        <v>4.0631040372790951E-5</v>
      </c>
    </row>
    <row r="105" spans="24:49" ht="9.75" customHeight="1">
      <c r="X105" s="111" t="s">
        <v>227</v>
      </c>
      <c r="Y105" s="111">
        <v>5.9400000000000001E-2</v>
      </c>
      <c r="Z105" s="111">
        <v>5.0943684537367901E-10</v>
      </c>
      <c r="AA105" s="111">
        <v>4.4450941450114159E-5</v>
      </c>
      <c r="AB105" s="111">
        <v>2</v>
      </c>
      <c r="AC105" s="111">
        <v>0.93255354854048156</v>
      </c>
      <c r="AD105" s="111">
        <v>5.5929783755091202E-2</v>
      </c>
      <c r="AE105" s="111">
        <v>1.0139625491213368E-2</v>
      </c>
      <c r="AF105" s="111">
        <v>2.4865967515767355E-3</v>
      </c>
      <c r="AG105" s="111">
        <v>7.2741481313631502E-4</v>
      </c>
      <c r="AH105" s="111">
        <v>6.5768240538666348E-5</v>
      </c>
      <c r="AI105" s="111">
        <v>-1.8099836785594783E-4</v>
      </c>
      <c r="AJ105" s="111">
        <v>-2.8826476205798122E-4</v>
      </c>
      <c r="AK105" s="111">
        <v>-3.2310627560327971E-4</v>
      </c>
      <c r="AL105" s="111">
        <v>-3.0952971470247928E-4</v>
      </c>
      <c r="AM105" s="111">
        <v>-2.4153478061685659E-4</v>
      </c>
      <c r="AN105" s="111">
        <v>-1.8139235595270343E-4</v>
      </c>
      <c r="AO105" s="111">
        <v>-1.2844526444336148E-4</v>
      </c>
      <c r="AP105" s="111">
        <v>-7.7305751494872251E-5</v>
      </c>
      <c r="AQ105" s="111">
        <v>-4.6806680533923402E-5</v>
      </c>
      <c r="AR105" s="111">
        <v>-3.71837337930011E-5</v>
      </c>
      <c r="AS105" s="111">
        <v>-2.4775590320253985E-5</v>
      </c>
      <c r="AT105" s="111">
        <v>-2.020341626198206E-5</v>
      </c>
      <c r="AU105" s="111">
        <v>-1.7966107286487861E-5</v>
      </c>
      <c r="AV105" s="111">
        <v>-9.2774319819015482E-6</v>
      </c>
      <c r="AW105" s="111">
        <v>-1.5947359132303555E-5</v>
      </c>
    </row>
    <row r="106" spans="24:49" ht="9.75" customHeight="1">
      <c r="X106" s="111" t="s">
        <v>228</v>
      </c>
      <c r="Y106" s="111">
        <v>5.7000000000000002E-2</v>
      </c>
      <c r="Z106" s="111">
        <v>2.2035818588868173E-10</v>
      </c>
      <c r="AA106" s="111">
        <v>-3.2502390397474271E-5</v>
      </c>
      <c r="AB106" s="111">
        <v>1</v>
      </c>
      <c r="AC106" s="111">
        <v>0.92286783845965992</v>
      </c>
      <c r="AD106" s="111">
        <v>5.7388106158206907E-2</v>
      </c>
      <c r="AE106" s="111">
        <v>1.1716545906811359E-2</v>
      </c>
      <c r="AF106" s="111">
        <v>3.69451594637237E-3</v>
      </c>
      <c r="AG106" s="111">
        <v>1.7706776284301931E-3</v>
      </c>
      <c r="AH106" s="111">
        <v>9.3630239439496934E-4</v>
      </c>
      <c r="AI106" s="111">
        <v>5.5759147326205766E-4</v>
      </c>
      <c r="AJ106" s="111">
        <v>3.7364594302845386E-4</v>
      </c>
      <c r="AK106" s="111">
        <v>2.5844499548593092E-4</v>
      </c>
      <c r="AL106" s="111">
        <v>1.7538192919300223E-4</v>
      </c>
      <c r="AM106" s="111">
        <v>1.054521957986515E-4</v>
      </c>
      <c r="AN106" s="111">
        <v>6.4248570542910279E-5</v>
      </c>
      <c r="AO106" s="111">
        <v>3.8223515467500433E-5</v>
      </c>
      <c r="AP106" s="111">
        <v>1.9908694872636153E-5</v>
      </c>
      <c r="AQ106" s="111">
        <v>1.0758040567346733E-5</v>
      </c>
      <c r="AR106" s="111">
        <v>7.7529756363538813E-6</v>
      </c>
      <c r="AS106" s="111">
        <v>4.7023968262742483E-6</v>
      </c>
      <c r="AT106" s="111">
        <v>3.548843144183763E-6</v>
      </c>
      <c r="AU106" s="111">
        <v>2.8855502108277676E-6</v>
      </c>
      <c r="AV106" s="111">
        <v>1.3551191564869641E-6</v>
      </c>
      <c r="AW106" s="111">
        <v>2.1132629325980582E-6</v>
      </c>
    </row>
    <row r="107" spans="24:49" ht="9.75" customHeight="1">
      <c r="X107" s="111" t="s">
        <v>229</v>
      </c>
      <c r="Y107" s="111">
        <v>5.4699999999999999E-2</v>
      </c>
      <c r="Z107" s="111">
        <v>3.1555078458465115E-10</v>
      </c>
      <c r="AA107" s="111">
        <v>-4.6360335269087893E-5</v>
      </c>
      <c r="AB107" s="111">
        <v>0</v>
      </c>
      <c r="AC107" s="111">
        <v>0</v>
      </c>
      <c r="AD107" s="111">
        <v>0</v>
      </c>
      <c r="AE107" s="111">
        <v>0</v>
      </c>
      <c r="AF107" s="111">
        <v>0</v>
      </c>
      <c r="AG107" s="111">
        <v>0</v>
      </c>
      <c r="AH107" s="111">
        <v>0</v>
      </c>
      <c r="AI107" s="111">
        <v>0</v>
      </c>
      <c r="AJ107" s="111">
        <v>0</v>
      </c>
      <c r="AK107" s="111">
        <v>0</v>
      </c>
      <c r="AL107" s="111">
        <v>0</v>
      </c>
      <c r="AM107" s="111">
        <v>0</v>
      </c>
      <c r="AN107" s="111">
        <v>0</v>
      </c>
      <c r="AO107" s="111">
        <v>0</v>
      </c>
      <c r="AP107" s="111">
        <v>0</v>
      </c>
      <c r="AQ107" s="111">
        <v>0</v>
      </c>
      <c r="AR107" s="111">
        <v>0</v>
      </c>
      <c r="AS107" s="111">
        <v>0</v>
      </c>
      <c r="AT107" s="111">
        <v>0</v>
      </c>
      <c r="AU107" s="111">
        <v>0</v>
      </c>
      <c r="AV107" s="111">
        <v>0</v>
      </c>
      <c r="AW107" s="111">
        <v>0</v>
      </c>
    </row>
    <row r="108" spans="24:49" ht="9.75" customHeight="1">
      <c r="X108" s="111" t="s">
        <v>249</v>
      </c>
      <c r="AB108" s="111">
        <v>21</v>
      </c>
      <c r="AC108" s="111">
        <v>1.0727901647509879</v>
      </c>
      <c r="AD108" s="111">
        <v>-8.4932179557130713E-2</v>
      </c>
      <c r="AE108" s="111">
        <v>1.59170366360562E-2</v>
      </c>
      <c r="AF108" s="111">
        <v>-5.5694157944710353E-3</v>
      </c>
      <c r="AG108" s="111">
        <v>2.730563393848372E-3</v>
      </c>
      <c r="AH108" s="111">
        <v>-1.5227377073035622E-3</v>
      </c>
      <c r="AI108" s="111">
        <v>9.676874844728265E-4</v>
      </c>
      <c r="AJ108" s="111">
        <v>-6.4590718151202561E-4</v>
      </c>
      <c r="AK108" s="111">
        <v>4.4626497275492791E-4</v>
      </c>
      <c r="AL108" s="111">
        <v>-3.0670757350554365E-4</v>
      </c>
      <c r="AM108" s="111">
        <v>2.0982886247390472E-4</v>
      </c>
      <c r="AN108" s="111">
        <v>-1.3841272728408279E-4</v>
      </c>
      <c r="AO108" s="111">
        <v>8.7484259781120123E-5</v>
      </c>
      <c r="AP108" s="111">
        <v>-5.3047139116882662E-5</v>
      </c>
      <c r="AQ108" s="111">
        <v>2.9067337544167477E-5</v>
      </c>
      <c r="AR108" s="111">
        <v>-1.2587789397532444E-5</v>
      </c>
      <c r="AS108" s="111">
        <v>3.5712274637115102E-6</v>
      </c>
      <c r="AT108" s="111">
        <v>-7.3036741278375988E-7</v>
      </c>
      <c r="AU108" s="111">
        <v>5.8367710713948028E-8</v>
      </c>
      <c r="AV108" s="111">
        <v>-3.9305029134197102E-9</v>
      </c>
      <c r="AW108" s="111">
        <v>2.4745439689010671E-9</v>
      </c>
    </row>
    <row r="109" spans="24:49" ht="9.75" customHeight="1">
      <c r="X109" s="111" t="s">
        <v>13</v>
      </c>
      <c r="Y109" s="111">
        <v>4.6677</v>
      </c>
      <c r="Z109" s="111">
        <v>0.99715566682036416</v>
      </c>
      <c r="AA109" s="111">
        <v>1.0727901647509879</v>
      </c>
      <c r="AB109" s="111">
        <v>20</v>
      </c>
      <c r="AC109" s="111">
        <v>1.0694201210106364</v>
      </c>
      <c r="AD109" s="111">
        <v>-8.0264614267531578E-2</v>
      </c>
      <c r="AE109" s="111">
        <v>1.3868335080132735E-2</v>
      </c>
      <c r="AF109" s="111">
        <v>-4.1598804482530912E-3</v>
      </c>
      <c r="AG109" s="111">
        <v>1.5485165922792716E-3</v>
      </c>
      <c r="AH109" s="111">
        <v>-5.2055689110227826E-4</v>
      </c>
      <c r="AI109" s="111">
        <v>7.4539084061765563E-5</v>
      </c>
      <c r="AJ109" s="111">
        <v>1.4301251936721444E-4</v>
      </c>
      <c r="AK109" s="111">
        <v>-2.4442813876736396E-4</v>
      </c>
      <c r="AL109" s="111">
        <v>2.7302033742112344E-4</v>
      </c>
      <c r="AM109" s="111">
        <v>-2.6127398401565186E-4</v>
      </c>
      <c r="AN109" s="111">
        <v>2.2116947541720269E-4</v>
      </c>
      <c r="AO109" s="111">
        <v>-1.7129349627961312E-4</v>
      </c>
      <c r="AP109" s="111">
        <v>1.2219953359182342E-4</v>
      </c>
      <c r="AQ109" s="111">
        <v>-7.6380291999805016E-5</v>
      </c>
      <c r="AR109" s="111">
        <v>3.6669450855129859E-5</v>
      </c>
      <c r="AS109" s="111">
        <v>-1.1547752517129954E-5</v>
      </c>
      <c r="AT109" s="111">
        <v>2.6154455312323446E-6</v>
      </c>
      <c r="AU109" s="111">
        <v>-2.3635592172597556E-7</v>
      </c>
      <c r="AV109" s="111">
        <v>1.4206334767044192E-8</v>
      </c>
      <c r="AW109" s="111">
        <v>-1.1092396087854448E-9</v>
      </c>
    </row>
    <row r="110" spans="24:49" ht="9.75" customHeight="1">
      <c r="X110" s="111" t="s">
        <v>15</v>
      </c>
      <c r="Y110" s="111">
        <v>0.91959999999999997</v>
      </c>
      <c r="Z110" s="111">
        <v>2.7174247471437288E-3</v>
      </c>
      <c r="AA110" s="111">
        <v>-8.4932179557130713E-2</v>
      </c>
      <c r="AB110" s="111">
        <v>19</v>
      </c>
      <c r="AC110" s="111">
        <v>1.0652372716996421</v>
      </c>
      <c r="AD110" s="111">
        <v>-7.4024734238749598E-2</v>
      </c>
      <c r="AE110" s="111">
        <v>1.0514190219353774E-2</v>
      </c>
      <c r="AF110" s="111">
        <v>-1.8162859351739855E-3</v>
      </c>
      <c r="AG110" s="111">
        <v>-2.6000073755094461E-4</v>
      </c>
      <c r="AH110" s="111">
        <v>8.1538541544224415E-4</v>
      </c>
      <c r="AI110" s="111">
        <v>-8.9111036482932959E-4</v>
      </c>
      <c r="AJ110" s="111">
        <v>7.6571220938352808E-4</v>
      </c>
      <c r="AK110" s="111">
        <v>-5.6732134057942065E-4</v>
      </c>
      <c r="AL110" s="111">
        <v>3.4639819253285862E-4</v>
      </c>
      <c r="AM110" s="111">
        <v>-1.5381375265859651E-4</v>
      </c>
      <c r="AN110" s="111">
        <v>1.1344008628477515E-5</v>
      </c>
      <c r="AO110" s="111">
        <v>7.332033538449231E-5</v>
      </c>
      <c r="AP110" s="111">
        <v>-1.0405059776889926E-4</v>
      </c>
      <c r="AQ110" s="111">
        <v>9.4106705507457884E-5</v>
      </c>
      <c r="AR110" s="111">
        <v>-5.718631637838181E-5</v>
      </c>
      <c r="AS110" s="111">
        <v>2.1996463522867744E-5</v>
      </c>
      <c r="AT110" s="111">
        <v>-5.800781022613525E-6</v>
      </c>
      <c r="AU110" s="111">
        <v>6.197756145581723E-7</v>
      </c>
      <c r="AV110" s="111">
        <v>-4.2524072712075724E-8</v>
      </c>
      <c r="AW110" s="111">
        <v>1.5637720688728241E-9</v>
      </c>
    </row>
    <row r="111" spans="24:49" ht="9.75" customHeight="1">
      <c r="X111" s="111" t="s">
        <v>17</v>
      </c>
      <c r="Y111" s="111">
        <v>0.41959999999999997</v>
      </c>
      <c r="Z111" s="111">
        <v>1.0794936604654697E-4</v>
      </c>
      <c r="AA111" s="111">
        <v>1.59170366360562E-2</v>
      </c>
      <c r="AB111" s="111">
        <v>18</v>
      </c>
      <c r="AC111" s="111">
        <v>1.0603238333293399</v>
      </c>
      <c r="AD111" s="111">
        <v>-6.6487017631692721E-2</v>
      </c>
      <c r="AE111" s="111">
        <v>6.2937056792703484E-3</v>
      </c>
      <c r="AF111" s="111">
        <v>8.5110797638636426E-4</v>
      </c>
      <c r="AG111" s="111">
        <v>-1.9123928367126345E-3</v>
      </c>
      <c r="AH111" s="111">
        <v>1.610927424465109E-3</v>
      </c>
      <c r="AI111" s="111">
        <v>-1.0495734247476898E-3</v>
      </c>
      <c r="AJ111" s="111">
        <v>4.7623668097627179E-4</v>
      </c>
      <c r="AK111" s="111">
        <v>-3.8960963462625652E-5</v>
      </c>
      <c r="AL111" s="111">
        <v>-2.1294326379046297E-4</v>
      </c>
      <c r="AM111" s="111">
        <v>2.8432922775385191E-4</v>
      </c>
      <c r="AN111" s="111">
        <v>-2.2144513251948019E-4</v>
      </c>
      <c r="AO111" s="111">
        <v>1.0090783860645216E-4</v>
      </c>
      <c r="AP111" s="111">
        <v>9.4970784224442069E-6</v>
      </c>
      <c r="AQ111" s="111">
        <v>-7.1708497275799516E-5</v>
      </c>
      <c r="AR111" s="111">
        <v>6.9176780860853981E-5</v>
      </c>
      <c r="AS111" s="111">
        <v>-3.5750559356168936E-5</v>
      </c>
      <c r="AT111" s="111">
        <v>1.1442437802088168E-5</v>
      </c>
      <c r="AU111" s="111">
        <v>-1.4885750752026739E-6</v>
      </c>
      <c r="AV111" s="111">
        <v>1.2062148715399122E-7</v>
      </c>
      <c r="AW111" s="111">
        <v>-4.1907389537765787E-9</v>
      </c>
    </row>
    <row r="112" spans="24:49" ht="9.75" customHeight="1">
      <c r="X112" s="111" t="s">
        <v>19</v>
      </c>
      <c r="Y112" s="111">
        <v>0.27189999999999998</v>
      </c>
      <c r="Z112" s="111">
        <v>1.3261791039167533E-5</v>
      </c>
      <c r="AA112" s="111">
        <v>-5.5694157944710353E-3</v>
      </c>
      <c r="AB112" s="111">
        <v>17</v>
      </c>
      <c r="AC112" s="111">
        <v>1.0547562345515815</v>
      </c>
      <c r="AD112" s="111">
        <v>-5.7922497921968998E-2</v>
      </c>
      <c r="AE112" s="111">
        <v>1.6731332394822377E-3</v>
      </c>
      <c r="AF112" s="111">
        <v>3.2364689923764867E-3</v>
      </c>
      <c r="AG112" s="111">
        <v>-2.7807289740194945E-3</v>
      </c>
      <c r="AH112" s="111">
        <v>1.4219216624827818E-3</v>
      </c>
      <c r="AI112" s="111">
        <v>-3.1659271980456359E-4</v>
      </c>
      <c r="AJ112" s="111">
        <v>-3.3981693514501383E-4</v>
      </c>
      <c r="AK112" s="111">
        <v>5.2679021462314572E-4</v>
      </c>
      <c r="AL112" s="111">
        <v>-3.7911280003457084E-4</v>
      </c>
      <c r="AM112" s="111">
        <v>1.1292457709807337E-4</v>
      </c>
      <c r="AN112" s="111">
        <v>9.1172889580758734E-5</v>
      </c>
      <c r="AO112" s="111">
        <v>-1.5158350174165349E-4</v>
      </c>
      <c r="AP112" s="111">
        <v>8.9556062408018214E-5</v>
      </c>
      <c r="AQ112" s="111">
        <v>1.2105821503253187E-5</v>
      </c>
      <c r="AR112" s="111">
        <v>-6.2858956741112387E-5</v>
      </c>
      <c r="AS112" s="111">
        <v>5.0192576641538132E-5</v>
      </c>
      <c r="AT112" s="111">
        <v>-2.0290678420062675E-5</v>
      </c>
      <c r="AU112" s="111">
        <v>3.2882109663384366E-6</v>
      </c>
      <c r="AV112" s="111">
        <v>-3.1953775936902439E-7</v>
      </c>
      <c r="AW112" s="111">
        <v>1.3226891895844063E-8</v>
      </c>
    </row>
    <row r="113" spans="1:49" ht="9.75" customHeight="1">
      <c r="X113" s="111" t="s">
        <v>20</v>
      </c>
      <c r="Y113" s="111">
        <v>0.20280000000000001</v>
      </c>
      <c r="Z113" s="111">
        <v>3.4975316944941793E-6</v>
      </c>
      <c r="AA113" s="111">
        <v>-2.7807289740194945E-3</v>
      </c>
      <c r="AB113" s="111">
        <v>16</v>
      </c>
      <c r="AC113" s="111">
        <v>1.0486532345464672</v>
      </c>
      <c r="AD113" s="111">
        <v>-4.8676478560141921E-2</v>
      </c>
      <c r="AE113" s="111">
        <v>-2.8488316307158017E-3</v>
      </c>
      <c r="AF113" s="111">
        <v>4.8469575405748859E-3</v>
      </c>
      <c r="AG113" s="111">
        <v>-2.6064985134059472E-3</v>
      </c>
      <c r="AH113" s="111">
        <v>4.4167442303409509E-4</v>
      </c>
      <c r="AI113" s="111">
        <v>6.3323855139413819E-4</v>
      </c>
      <c r="AJ113" s="111">
        <v>-7.5188843299293191E-4</v>
      </c>
      <c r="AK113" s="111">
        <v>3.4878609424208892E-4</v>
      </c>
      <c r="AL113" s="111">
        <v>9.4255474923972312E-5</v>
      </c>
      <c r="AM113" s="111">
        <v>-2.7361319164710657E-4</v>
      </c>
      <c r="AN113" s="111">
        <v>1.7780194902194683E-4</v>
      </c>
      <c r="AO113" s="111">
        <v>6.9733304114685279E-6</v>
      </c>
      <c r="AP113" s="111">
        <v>-9.7313857945001102E-5</v>
      </c>
      <c r="AQ113" s="111">
        <v>5.2636641728941263E-5</v>
      </c>
      <c r="AR113" s="111">
        <v>3.0766710598564003E-5</v>
      </c>
      <c r="AS113" s="111">
        <v>-5.6964986589928933E-5</v>
      </c>
      <c r="AT113" s="111">
        <v>3.0993827148785005E-5</v>
      </c>
      <c r="AU113" s="111">
        <v>-6.4574756508646038E-6</v>
      </c>
      <c r="AV113" s="111">
        <v>7.6456091985390986E-7</v>
      </c>
      <c r="AW113" s="111">
        <v>-3.7001376902405915E-8</v>
      </c>
    </row>
    <row r="114" spans="1:49" ht="9.75" customHeight="1">
      <c r="X114" s="111" t="s">
        <v>22</v>
      </c>
      <c r="Y114" s="111">
        <v>0.16170000000000001</v>
      </c>
      <c r="Z114" s="111">
        <v>1.1699073395044895E-6</v>
      </c>
      <c r="AA114" s="111">
        <v>1.610927424465109E-3</v>
      </c>
      <c r="AB114" s="111">
        <v>15</v>
      </c>
      <c r="AC114" s="111">
        <v>1.0419454113245508</v>
      </c>
      <c r="AD114" s="111">
        <v>-3.8759752372907227E-2</v>
      </c>
      <c r="AE114" s="111">
        <v>-7.031318584243244E-3</v>
      </c>
      <c r="AF114" s="111">
        <v>5.4652865429391838E-3</v>
      </c>
      <c r="AG114" s="111">
        <v>-1.5124335600378408E-3</v>
      </c>
      <c r="AH114" s="111">
        <v>-7.6869777898618756E-4</v>
      </c>
      <c r="AI114" s="111">
        <v>1.0704553161617885E-3</v>
      </c>
      <c r="AJ114" s="111">
        <v>-3.6806977695726594E-4</v>
      </c>
      <c r="AK114" s="111">
        <v>-2.9127068654963609E-4</v>
      </c>
      <c r="AL114" s="111">
        <v>4.0487205190452291E-4</v>
      </c>
      <c r="AM114" s="111">
        <v>-1.1965953830835377E-4</v>
      </c>
      <c r="AN114" s="111">
        <v>-1.3991777437808155E-4</v>
      </c>
      <c r="AO114" s="111">
        <v>1.4501794409157014E-4</v>
      </c>
      <c r="AP114" s="111">
        <v>-3.1936997998844304E-7</v>
      </c>
      <c r="AQ114" s="111">
        <v>-7.4408001791296979E-5</v>
      </c>
      <c r="AR114" s="111">
        <v>1.7418070686339223E-5</v>
      </c>
      <c r="AS114" s="111">
        <v>4.8304051246873909E-5</v>
      </c>
      <c r="AT114" s="111">
        <v>-4.0847593432603829E-5</v>
      </c>
      <c r="AU114" s="111">
        <v>1.1533995813983534E-5</v>
      </c>
      <c r="AV114" s="111">
        <v>-1.7036261928725392E-6</v>
      </c>
      <c r="AW114" s="111">
        <v>9.9366368786171912E-8</v>
      </c>
    </row>
    <row r="115" spans="1:49" ht="9.75" customHeight="1">
      <c r="X115" s="111" t="s">
        <v>215</v>
      </c>
      <c r="Y115" s="111">
        <v>0.13550000000000001</v>
      </c>
      <c r="Z115" s="111">
        <v>4.9542970841268751E-7</v>
      </c>
      <c r="AA115" s="111">
        <v>1.0704553161617885E-3</v>
      </c>
      <c r="AB115" s="111">
        <v>14</v>
      </c>
      <c r="AC115" s="111">
        <v>1.0346685199322128</v>
      </c>
      <c r="AD115" s="111">
        <v>-2.8379727703083137E-2</v>
      </c>
      <c r="AE115" s="111">
        <v>-1.0538697588689069E-2</v>
      </c>
      <c r="AF115" s="111">
        <v>5.0037985929100555E-3</v>
      </c>
      <c r="AG115" s="111">
        <v>9.1893361249722636E-5</v>
      </c>
      <c r="AH115" s="111">
        <v>-1.5431336725942406E-3</v>
      </c>
      <c r="AI115" s="111">
        <v>6.73434985415001E-4</v>
      </c>
      <c r="AJ115" s="111">
        <v>3.8887919953965527E-4</v>
      </c>
      <c r="AK115" s="111">
        <v>-5.3756921893725179E-4</v>
      </c>
      <c r="AL115" s="111">
        <v>5.7753064647418204E-5</v>
      </c>
      <c r="AM115" s="111">
        <v>2.6168973537514566E-4</v>
      </c>
      <c r="AN115" s="111">
        <v>-1.4096994884635962E-4</v>
      </c>
      <c r="AO115" s="111">
        <v>-8.7480883921528416E-5</v>
      </c>
      <c r="AP115" s="111">
        <v>9.5913364845616909E-5</v>
      </c>
      <c r="AQ115" s="111">
        <v>3.2812023667580445E-5</v>
      </c>
      <c r="AR115" s="111">
        <v>-5.4423298874318764E-5</v>
      </c>
      <c r="AS115" s="111">
        <v>-2.3826466550110552E-5</v>
      </c>
      <c r="AT115" s="111">
        <v>4.6991188682512497E-5</v>
      </c>
      <c r="AU115" s="111">
        <v>-1.9215039983273638E-5</v>
      </c>
      <c r="AV115" s="111">
        <v>3.6143761297120881E-6</v>
      </c>
      <c r="AW115" s="111">
        <v>-2.5600319576734574E-7</v>
      </c>
    </row>
    <row r="116" spans="1:49" ht="9.75" customHeight="1">
      <c r="X116" s="111" t="s">
        <v>216</v>
      </c>
      <c r="Y116" s="111">
        <v>0.1172</v>
      </c>
      <c r="Z116" s="111">
        <v>2.5008620312454272E-7</v>
      </c>
      <c r="AA116" s="111">
        <v>7.6571220938352808E-4</v>
      </c>
      <c r="AB116" s="111">
        <v>13</v>
      </c>
      <c r="AC116" s="111">
        <v>1.0268591910289604</v>
      </c>
      <c r="AD116" s="111">
        <v>-1.7743884239219108E-2</v>
      </c>
      <c r="AE116" s="111">
        <v>-1.3106065300161601E-2</v>
      </c>
      <c r="AF116" s="111">
        <v>3.5852746205413907E-3</v>
      </c>
      <c r="AG116" s="111">
        <v>1.6424861461439776E-3</v>
      </c>
      <c r="AH116" s="111">
        <v>-1.4810453280114041E-3</v>
      </c>
      <c r="AI116" s="111">
        <v>-2.2864252002998791E-4</v>
      </c>
      <c r="AJ116" s="111">
        <v>7.3714183598438715E-4</v>
      </c>
      <c r="AK116" s="111">
        <v>-8.4504902930981546E-5</v>
      </c>
      <c r="AL116" s="111">
        <v>-3.7577409397097173E-4</v>
      </c>
      <c r="AM116" s="111">
        <v>1.4321052661337734E-4</v>
      </c>
      <c r="AN116" s="111">
        <v>1.6674463029881404E-4</v>
      </c>
      <c r="AO116" s="111">
        <v>-9.7430630197555795E-5</v>
      </c>
      <c r="AP116" s="111">
        <v>-7.7351748493244122E-5</v>
      </c>
      <c r="AQ116" s="111">
        <v>3.7631301260094385E-5</v>
      </c>
      <c r="AR116" s="111">
        <v>5.5281996073450787E-5</v>
      </c>
      <c r="AS116" s="111">
        <v>-9.5251789243543157E-6</v>
      </c>
      <c r="AT116" s="111">
        <v>-4.5991258677967278E-5</v>
      </c>
      <c r="AU116" s="111">
        <v>2.9938721830768769E-5</v>
      </c>
      <c r="AV116" s="111">
        <v>-7.3220006106759389E-6</v>
      </c>
      <c r="AW116" s="111">
        <v>6.363935216328656E-7</v>
      </c>
    </row>
    <row r="117" spans="1:49" ht="9.75" customHeight="1">
      <c r="X117" s="111" t="s">
        <v>217</v>
      </c>
      <c r="Y117" s="111">
        <v>0.10390000000000001</v>
      </c>
      <c r="Z117" s="111">
        <v>1.323398011395509E-7</v>
      </c>
      <c r="AA117" s="111">
        <v>-5.6732134057942065E-4</v>
      </c>
      <c r="AB117" s="111">
        <v>12</v>
      </c>
      <c r="AC117" s="111">
        <v>1.018825790730602</v>
      </c>
      <c r="AD117" s="111">
        <v>-7.4221969976223986E-3</v>
      </c>
      <c r="AE117" s="111">
        <v>-1.4504145253709383E-2</v>
      </c>
      <c r="AF117" s="111">
        <v>1.6032043286436717E-3</v>
      </c>
      <c r="AG117" s="111">
        <v>2.5737682809929396E-3</v>
      </c>
      <c r="AH117" s="111">
        <v>-6.7846208490102784E-4</v>
      </c>
      <c r="AI117" s="111">
        <v>-9.1200864676705665E-4</v>
      </c>
      <c r="AJ117" s="111">
        <v>3.5950459933706687E-4</v>
      </c>
      <c r="AK117" s="111">
        <v>4.4397996481773097E-4</v>
      </c>
      <c r="AL117" s="111">
        <v>-2.2374338195074405E-4</v>
      </c>
      <c r="AM117" s="111">
        <v>-2.2195389028149194E-4</v>
      </c>
      <c r="AN117" s="111">
        <v>1.1237981495870604E-4</v>
      </c>
      <c r="AO117" s="111">
        <v>1.220690770996751E-4</v>
      </c>
      <c r="AP117" s="111">
        <v>-3.7198146171987849E-5</v>
      </c>
      <c r="AQ117" s="111">
        <v>-6.6337113980846705E-5</v>
      </c>
      <c r="AR117" s="111">
        <v>-1.3831865157371481E-5</v>
      </c>
      <c r="AS117" s="111">
        <v>3.5932622147071837E-5</v>
      </c>
      <c r="AT117" s="111">
        <v>3.1612042446121882E-5</v>
      </c>
      <c r="AU117" s="111">
        <v>-4.0113803437911084E-5</v>
      </c>
      <c r="AV117" s="111">
        <v>1.3173726324488571E-5</v>
      </c>
      <c r="AW117" s="111">
        <v>-1.4240033885131047E-6</v>
      </c>
    </row>
    <row r="118" spans="1:49" ht="9.75" customHeight="1">
      <c r="X118" s="111" t="s">
        <v>218</v>
      </c>
      <c r="Y118" s="111">
        <v>9.3799999999999994E-2</v>
      </c>
      <c r="Z118" s="111">
        <v>7.3632791254929512E-8</v>
      </c>
      <c r="AA118" s="111">
        <v>4.0487205190452291E-4</v>
      </c>
      <c r="AB118" s="111">
        <v>11</v>
      </c>
      <c r="AC118" s="111">
        <v>1.0104913537896014</v>
      </c>
      <c r="AD118" s="111">
        <v>2.598474151466692E-3</v>
      </c>
      <c r="AE118" s="111">
        <v>-1.4759356495757006E-2</v>
      </c>
      <c r="AF118" s="111">
        <v>-5.9106392427207355E-4</v>
      </c>
      <c r="AG118" s="111">
        <v>2.6776216570490213E-3</v>
      </c>
      <c r="AH118" s="111">
        <v>4.2227258945803068E-4</v>
      </c>
      <c r="AI118" s="111">
        <v>-9.4056704798647982E-4</v>
      </c>
      <c r="AJ118" s="111">
        <v>-3.360775098458268E-4</v>
      </c>
      <c r="AK118" s="111">
        <v>4.3415658487509074E-4</v>
      </c>
      <c r="AL118" s="111">
        <v>2.4337960334147501E-4</v>
      </c>
      <c r="AM118" s="111">
        <v>-1.9424263084726667E-4</v>
      </c>
      <c r="AN118" s="111">
        <v>-1.6312046973562401E-4</v>
      </c>
      <c r="AO118" s="111">
        <v>5.743879427565887E-5</v>
      </c>
      <c r="AP118" s="111">
        <v>9.547088050766551E-5</v>
      </c>
      <c r="AQ118" s="111">
        <v>1.7844584960383081E-5</v>
      </c>
      <c r="AR118" s="111">
        <v>-3.8930357806603351E-5</v>
      </c>
      <c r="AS118" s="111">
        <v>-3.6654185159258211E-5</v>
      </c>
      <c r="AT118" s="111">
        <v>-2.8672280448148139E-6</v>
      </c>
      <c r="AU118" s="111">
        <v>4.2446194769233795E-5</v>
      </c>
      <c r="AV118" s="111">
        <v>-2.0422190004605987E-5</v>
      </c>
      <c r="AW118" s="111">
        <v>2.8432091541995767E-6</v>
      </c>
    </row>
    <row r="119" spans="1:49" ht="9.75" customHeight="1">
      <c r="A119" s="143" t="s">
        <v>38</v>
      </c>
      <c r="B119" s="143" t="s">
        <v>39</v>
      </c>
      <c r="X119" s="111" t="s">
        <v>219</v>
      </c>
      <c r="Y119" s="111">
        <v>8.5999999999999993E-2</v>
      </c>
      <c r="Z119" s="111">
        <v>3.759208733367846E-8</v>
      </c>
      <c r="AA119" s="111">
        <v>2.8432922775385191E-4</v>
      </c>
      <c r="AB119" s="111">
        <v>10</v>
      </c>
      <c r="AC119" s="111">
        <v>1.0018138784700439</v>
      </c>
      <c r="AD119" s="111">
        <v>1.2266444323325434E-2</v>
      </c>
      <c r="AE119" s="111">
        <v>-1.3915358460840282E-2</v>
      </c>
      <c r="AF119" s="111">
        <v>-2.6451654101036282E-3</v>
      </c>
      <c r="AG119" s="111">
        <v>1.9717042554701545E-3</v>
      </c>
      <c r="AH119" s="111">
        <v>1.2969390402311875E-3</v>
      </c>
      <c r="AI119" s="111">
        <v>-3.3247319523006086E-4</v>
      </c>
      <c r="AJ119" s="111">
        <v>-7.1464127321608009E-4</v>
      </c>
      <c r="AK119" s="111">
        <v>-7.2031988443961529E-5</v>
      </c>
      <c r="AL119" s="111">
        <v>3.582484176823468E-4</v>
      </c>
      <c r="AM119" s="111">
        <v>1.5803506125905282E-4</v>
      </c>
      <c r="AN119" s="111">
        <v>-1.1614839196932335E-4</v>
      </c>
      <c r="AO119" s="111">
        <v>-1.3288202991967041E-4</v>
      </c>
      <c r="AP119" s="111">
        <v>-1.0986663430742379E-5</v>
      </c>
      <c r="AQ119" s="111">
        <v>5.1740779269628429E-5</v>
      </c>
      <c r="AR119" s="111">
        <v>5.0813916033293282E-5</v>
      </c>
      <c r="AS119" s="111">
        <v>8.510806702015487E-6</v>
      </c>
      <c r="AT119" s="111">
        <v>-2.6914626296117578E-5</v>
      </c>
      <c r="AU119" s="111">
        <v>-3.2142313960335667E-5</v>
      </c>
      <c r="AV119" s="111">
        <v>2.7624924413744349E-5</v>
      </c>
      <c r="AW119" s="111">
        <v>-5.1956410203639463E-6</v>
      </c>
    </row>
    <row r="120" spans="1:49" ht="9.75" customHeight="1">
      <c r="A120" s="143"/>
      <c r="B120" s="143"/>
      <c r="X120" s="111" t="s">
        <v>220</v>
      </c>
      <c r="Y120" s="111">
        <v>7.9799999999999996E-2</v>
      </c>
      <c r="Z120" s="111">
        <v>1.9565341993858829E-8</v>
      </c>
      <c r="AA120" s="111">
        <v>-2.2144513251948019E-4</v>
      </c>
      <c r="AB120" s="111">
        <v>9</v>
      </c>
      <c r="AC120" s="111">
        <v>0.99287997944005801</v>
      </c>
      <c r="AD120" s="111">
        <v>2.1387896111643549E-2</v>
      </c>
      <c r="AE120" s="111">
        <v>-1.2092197898050916E-2</v>
      </c>
      <c r="AF120" s="111">
        <v>-4.2122333860884495E-3</v>
      </c>
      <c r="AG120" s="111">
        <v>7.0762647753272641E-4</v>
      </c>
      <c r="AH120" s="111">
        <v>1.5469365233585705E-3</v>
      </c>
      <c r="AI120" s="111">
        <v>4.7797190460218542E-4</v>
      </c>
      <c r="AJ120" s="111">
        <v>-4.5717023770750322E-4</v>
      </c>
      <c r="AK120" s="111">
        <v>-4.834506681606464E-4</v>
      </c>
      <c r="AL120" s="111">
        <v>-1.9610069477286809E-5</v>
      </c>
      <c r="AM120" s="111">
        <v>2.4381300755023125E-4</v>
      </c>
      <c r="AN120" s="111">
        <v>1.486427010920907E-4</v>
      </c>
      <c r="AO120" s="111">
        <v>-3.173243323316435E-5</v>
      </c>
      <c r="AP120" s="111">
        <v>-8.8130938167307971E-5</v>
      </c>
      <c r="AQ120" s="111">
        <v>-5.205438557400261E-5</v>
      </c>
      <c r="AR120" s="111">
        <v>-7.0252610521952725E-6</v>
      </c>
      <c r="AS120" s="111">
        <v>2.6199769154462487E-5</v>
      </c>
      <c r="AT120" s="111">
        <v>3.8199037393410489E-5</v>
      </c>
      <c r="AU120" s="111">
        <v>9.7374119006647859E-6</v>
      </c>
      <c r="AV120" s="111">
        <v>-3.2088760887235598E-5</v>
      </c>
      <c r="AW120" s="111">
        <v>8.6916541127904881E-6</v>
      </c>
    </row>
    <row r="121" spans="1:49" ht="9.75" customHeight="1">
      <c r="X121" s="111" t="s">
        <v>221</v>
      </c>
      <c r="Y121" s="111">
        <v>7.4700000000000003E-2</v>
      </c>
      <c r="Z121" s="111">
        <v>1.0010793780251384E-8</v>
      </c>
      <c r="AA121" s="111">
        <v>-1.7129349627961312E-4</v>
      </c>
      <c r="AB121" s="111">
        <v>8</v>
      </c>
      <c r="AC121" s="111">
        <v>0.98358044414049872</v>
      </c>
      <c r="AD121" s="111">
        <v>2.9977398018826408E-2</v>
      </c>
      <c r="AE121" s="111">
        <v>-9.4126954338396695E-3</v>
      </c>
      <c r="AF121" s="111">
        <v>-5.0848120129660902E-3</v>
      </c>
      <c r="AG121" s="111">
        <v>-7.5090844532016681E-4</v>
      </c>
      <c r="AH121" s="111">
        <v>1.0840616692736873E-3</v>
      </c>
      <c r="AI121" s="111">
        <v>9.7241248360830713E-4</v>
      </c>
      <c r="AJ121" s="111">
        <v>1.9552615416594491E-4</v>
      </c>
      <c r="AK121" s="111">
        <v>-3.5682163237839824E-4</v>
      </c>
      <c r="AL121" s="111">
        <v>-3.6875327668902839E-4</v>
      </c>
      <c r="AM121" s="111">
        <v>-6.4424192910071223E-5</v>
      </c>
      <c r="AN121" s="111">
        <v>1.3273339237683394E-4</v>
      </c>
      <c r="AO121" s="111">
        <v>1.3667998063014391E-4</v>
      </c>
      <c r="AP121" s="111">
        <v>4.5710303614407271E-5</v>
      </c>
      <c r="AQ121" s="111">
        <v>-1.8421659905564928E-5</v>
      </c>
      <c r="AR121" s="111">
        <v>-4.4561365543727912E-5</v>
      </c>
      <c r="AS121" s="111">
        <v>-3.6413284100660083E-5</v>
      </c>
      <c r="AT121" s="111">
        <v>-2.187636983726717E-5</v>
      </c>
      <c r="AU121" s="111">
        <v>1.691174517621609E-5</v>
      </c>
      <c r="AV121" s="111">
        <v>3.1381264047043328E-5</v>
      </c>
      <c r="AW121" s="111">
        <v>-1.3571478725418784E-5</v>
      </c>
    </row>
    <row r="122" spans="1:49" ht="9.75" customHeight="1">
      <c r="X122" s="111" t="s">
        <v>222</v>
      </c>
      <c r="Y122" s="111">
        <v>7.0699999999999999E-2</v>
      </c>
      <c r="Z122" s="111">
        <v>4.7892086522232723E-9</v>
      </c>
      <c r="AA122" s="111">
        <v>1.2219953359182342E-4</v>
      </c>
      <c r="AB122" s="111">
        <v>7</v>
      </c>
      <c r="AC122" s="111">
        <v>0.97394883169625879</v>
      </c>
      <c r="AD122" s="111">
        <v>3.7899966462031802E-2</v>
      </c>
      <c r="AE122" s="111">
        <v>-6.075709160909719E-3</v>
      </c>
      <c r="AF122" s="111">
        <v>-5.130058299085534E-3</v>
      </c>
      <c r="AG122" s="111">
        <v>-1.9776233929088656E-3</v>
      </c>
      <c r="AH122" s="111">
        <v>1.2875604442241198E-4</v>
      </c>
      <c r="AI122" s="111">
        <v>8.3506177948962119E-4</v>
      </c>
      <c r="AJ122" s="111">
        <v>6.7390486381014951E-4</v>
      </c>
      <c r="AK122" s="111">
        <v>1.6143482999541502E-4</v>
      </c>
      <c r="AL122" s="111">
        <v>-2.1941697227671313E-4</v>
      </c>
      <c r="AM122" s="111">
        <v>-2.6691961265474005E-4</v>
      </c>
      <c r="AN122" s="111">
        <v>-1.3041073495117015E-4</v>
      </c>
      <c r="AO122" s="111">
        <v>1.3814519977540631E-5</v>
      </c>
      <c r="AP122" s="111">
        <v>7.0106189504607965E-5</v>
      </c>
      <c r="AQ122" s="111">
        <v>6.3060026564691957E-5</v>
      </c>
      <c r="AR122" s="111">
        <v>4.3629199076767697E-5</v>
      </c>
      <c r="AS122" s="111">
        <v>1.2095774243561174E-5</v>
      </c>
      <c r="AT122" s="111">
        <v>-1.0599672698733558E-5</v>
      </c>
      <c r="AU122" s="111">
        <v>-3.5328295973759801E-5</v>
      </c>
      <c r="AV122" s="111">
        <v>-2.4825543538792961E-5</v>
      </c>
      <c r="AW122" s="111">
        <v>2.0230299621967226E-5</v>
      </c>
    </row>
    <row r="123" spans="1:49" ht="9.75" customHeight="1">
      <c r="X123" s="111" t="s">
        <v>223</v>
      </c>
      <c r="Y123" s="111">
        <v>6.7400000000000002E-2</v>
      </c>
      <c r="Z123" s="111">
        <v>2.4037132146848484E-9</v>
      </c>
      <c r="AA123" s="111">
        <v>9.4106705507457884E-5</v>
      </c>
      <c r="AB123" s="111">
        <v>6</v>
      </c>
      <c r="AC123" s="111">
        <v>0.96402047299466653</v>
      </c>
      <c r="AD123" s="111">
        <v>4.5033162608574547E-2</v>
      </c>
      <c r="AE123" s="111">
        <v>-2.3219277521753802E-3</v>
      </c>
      <c r="AF123" s="111">
        <v>-4.3516785374928795E-3</v>
      </c>
      <c r="AG123" s="111">
        <v>-2.6216848015580664E-3</v>
      </c>
      <c r="AH123" s="111">
        <v>-8.8031508648522296E-4</v>
      </c>
      <c r="AI123" s="111">
        <v>1.6278683421611835E-4</v>
      </c>
      <c r="AJ123" s="111">
        <v>5.6964005301779897E-4</v>
      </c>
      <c r="AK123" s="111">
        <v>5.0070576189391975E-4</v>
      </c>
      <c r="AL123" s="111">
        <v>2.2189601630242579E-4</v>
      </c>
      <c r="AM123" s="111">
        <v>-4.2537382671851343E-5</v>
      </c>
      <c r="AN123" s="111">
        <v>-1.5076323148596339E-4</v>
      </c>
      <c r="AO123" s="111">
        <v>-1.3723840134071818E-4</v>
      </c>
      <c r="AP123" s="111">
        <v>-7.0942573195271588E-5</v>
      </c>
      <c r="AQ123" s="111">
        <v>-1.9281110547513981E-5</v>
      </c>
      <c r="AR123" s="111">
        <v>9.1790348806008843E-6</v>
      </c>
      <c r="AS123" s="111">
        <v>2.3764431439385599E-5</v>
      </c>
      <c r="AT123" s="111">
        <v>3.4736387875448022E-5</v>
      </c>
      <c r="AU123" s="111">
        <v>3.5959165343336495E-5</v>
      </c>
      <c r="AV123" s="111">
        <v>1.304221335103667E-5</v>
      </c>
      <c r="AW123" s="111">
        <v>-2.8976624608504084E-5</v>
      </c>
    </row>
    <row r="124" spans="1:49" ht="9.75" customHeight="1">
      <c r="X124" s="111" t="s">
        <v>224</v>
      </c>
      <c r="Y124" s="111">
        <v>6.4899999999999999E-2</v>
      </c>
      <c r="Z124" s="111">
        <v>1.5284882032387465E-9</v>
      </c>
      <c r="AA124" s="111">
        <v>6.9176780860853981E-5</v>
      </c>
      <c r="AB124" s="111">
        <v>5</v>
      </c>
      <c r="AC124" s="111">
        <v>0.95400699098427588</v>
      </c>
      <c r="AD124" s="111">
        <v>5.11716778918683E-2</v>
      </c>
      <c r="AE124" s="111">
        <v>1.5068722350953551E-3</v>
      </c>
      <c r="AF124" s="111">
        <v>-2.9139177046114545E-3</v>
      </c>
      <c r="AG124" s="111">
        <v>-2.5089680255528275E-3</v>
      </c>
      <c r="AH124" s="111">
        <v>-1.47695506292849E-3</v>
      </c>
      <c r="AI124" s="111">
        <v>-5.927080488676101E-4</v>
      </c>
      <c r="AJ124" s="111">
        <v>-8.7556396162864032E-6</v>
      </c>
      <c r="AK124" s="111">
        <v>2.9981295798015131E-4</v>
      </c>
      <c r="AL124" s="111">
        <v>3.6217075273239224E-4</v>
      </c>
      <c r="AM124" s="111">
        <v>2.4213399033719355E-4</v>
      </c>
      <c r="AN124" s="111">
        <v>1.0071119756849452E-4</v>
      </c>
      <c r="AO124" s="111">
        <v>-2.4059673348484113E-6</v>
      </c>
      <c r="AP124" s="111">
        <v>-4.5576229423058268E-5</v>
      </c>
      <c r="AQ124" s="111">
        <v>-5.0789654616347576E-5</v>
      </c>
      <c r="AR124" s="111">
        <v>-4.9364942291822062E-5</v>
      </c>
      <c r="AS124" s="111">
        <v>-3.471623172116483E-5</v>
      </c>
      <c r="AT124" s="111">
        <v>-3.005763530915691E-5</v>
      </c>
      <c r="AU124" s="111">
        <v>-1.6692921242202866E-5</v>
      </c>
      <c r="AV124" s="111">
        <v>1.9897137902322095E-6</v>
      </c>
      <c r="AW124" s="111">
        <v>3.8548339867681766E-5</v>
      </c>
    </row>
    <row r="125" spans="1:49" ht="9.75" customHeight="1">
      <c r="X125" s="111" t="s">
        <v>225</v>
      </c>
      <c r="Y125" s="111">
        <v>6.2399999999999997E-2</v>
      </c>
      <c r="Z125" s="111">
        <v>8.2101712418023272E-10</v>
      </c>
      <c r="AA125" s="111">
        <v>-5.6964986589928933E-5</v>
      </c>
      <c r="AB125" s="111">
        <v>4</v>
      </c>
      <c r="AC125" s="111">
        <v>0.94400799684452286</v>
      </c>
      <c r="AD125" s="111">
        <v>5.6237071388232543E-2</v>
      </c>
      <c r="AE125" s="111">
        <v>5.1310375509638689E-3</v>
      </c>
      <c r="AF125" s="111">
        <v>-1.083013309007971E-3</v>
      </c>
      <c r="AG125" s="111">
        <v>-1.7142329442007009E-3</v>
      </c>
      <c r="AH125" s="111">
        <v>-1.4266867242341576E-3</v>
      </c>
      <c r="AI125" s="111">
        <v>-9.639036259370767E-4</v>
      </c>
      <c r="AJ125" s="111">
        <v>-5.6227958006055216E-4</v>
      </c>
      <c r="AK125" s="111">
        <v>-2.0233225790140984E-4</v>
      </c>
      <c r="AL125" s="111">
        <v>4.1031482445173764E-5</v>
      </c>
      <c r="AM125" s="111">
        <v>1.5442455349073028E-4</v>
      </c>
      <c r="AN125" s="111">
        <v>1.6843444730920356E-4</v>
      </c>
      <c r="AO125" s="111">
        <v>1.3297830119055173E-4</v>
      </c>
      <c r="AP125" s="111">
        <v>8.0118489248585663E-5</v>
      </c>
      <c r="AQ125" s="111">
        <v>4.2704127813679491E-5</v>
      </c>
      <c r="AR125" s="111">
        <v>2.4065550102924066E-5</v>
      </c>
      <c r="AS125" s="111">
        <v>7.4539261980338443E-6</v>
      </c>
      <c r="AT125" s="111">
        <v>-1.5429697653324492E-6</v>
      </c>
      <c r="AU125" s="111">
        <v>-1.281106662679997E-5</v>
      </c>
      <c r="AV125" s="111">
        <v>-1.578356315820107E-5</v>
      </c>
      <c r="AW125" s="111">
        <v>-4.4730620626247572E-5</v>
      </c>
    </row>
    <row r="126" spans="1:49" ht="9.75" customHeight="1">
      <c r="X126" s="111" t="s">
        <v>226</v>
      </c>
      <c r="Y126" s="111">
        <v>6.0400000000000002E-2</v>
      </c>
      <c r="Z126" s="111">
        <v>6.507663668901303E-10</v>
      </c>
      <c r="AA126" s="111">
        <v>4.6991188682512497E-5</v>
      </c>
      <c r="AB126" s="111">
        <v>3</v>
      </c>
      <c r="AC126" s="111">
        <v>0.93428414911117308</v>
      </c>
      <c r="AD126" s="111">
        <v>6.0131157170766454E-2</v>
      </c>
      <c r="AE126" s="111">
        <v>8.2556826647526386E-3</v>
      </c>
      <c r="AF126" s="111">
        <v>7.9979964646962893E-4</v>
      </c>
      <c r="AG126" s="111">
        <v>-5.1879806696564603E-4</v>
      </c>
      <c r="AH126" s="111">
        <v>-8.0556685566147859E-4</v>
      </c>
      <c r="AI126" s="111">
        <v>-7.6158787745355251E-4</v>
      </c>
      <c r="AJ126" s="111">
        <v>-6.5605751150896836E-4</v>
      </c>
      <c r="AK126" s="111">
        <v>-4.7993550349686309E-4</v>
      </c>
      <c r="AL126" s="111">
        <v>-3.1186742672415521E-4</v>
      </c>
      <c r="AM126" s="111">
        <v>-1.4749045488447157E-4</v>
      </c>
      <c r="AN126" s="111">
        <v>-4.5266523626450403E-5</v>
      </c>
      <c r="AO126" s="111">
        <v>1.1148820227233936E-5</v>
      </c>
      <c r="AP126" s="111">
        <v>3.0668615187634963E-5</v>
      </c>
      <c r="AQ126" s="111">
        <v>3.258620805217571E-5</v>
      </c>
      <c r="AR126" s="111">
        <v>3.3504799381567338E-5</v>
      </c>
      <c r="AS126" s="111">
        <v>2.7278377693228366E-5</v>
      </c>
      <c r="AT126" s="111">
        <v>2.9840750734723189E-5</v>
      </c>
      <c r="AU126" s="111">
        <v>3.0657192233430374E-5</v>
      </c>
      <c r="AV126" s="111">
        <v>2.0487255964062909E-5</v>
      </c>
      <c r="AW126" s="111">
        <v>3.9609607686839827E-5</v>
      </c>
    </row>
    <row r="127" spans="1:49" ht="9.75" customHeight="1">
      <c r="X127" s="111" t="s">
        <v>227</v>
      </c>
      <c r="Y127" s="111">
        <v>5.8099999999999999E-2</v>
      </c>
      <c r="Z127" s="111">
        <v>4.6350033068739368E-10</v>
      </c>
      <c r="AA127" s="111">
        <v>4.2446194769233795E-5</v>
      </c>
      <c r="AB127" s="111">
        <v>2</v>
      </c>
      <c r="AC127" s="111">
        <v>0.92511096008745097</v>
      </c>
      <c r="AD127" s="111">
        <v>6.2830759222913174E-2</v>
      </c>
      <c r="AE127" s="111">
        <v>1.0678046660540026E-2</v>
      </c>
      <c r="AF127" s="111">
        <v>2.4242303559045778E-3</v>
      </c>
      <c r="AG127" s="111">
        <v>7.0920073594904975E-4</v>
      </c>
      <c r="AH127" s="111">
        <v>6.5036223579277358E-5</v>
      </c>
      <c r="AI127" s="111">
        <v>-1.7171537229403937E-4</v>
      </c>
      <c r="AJ127" s="111">
        <v>-2.8021763573545357E-4</v>
      </c>
      <c r="AK127" s="111">
        <v>-3.0515672624803432E-4</v>
      </c>
      <c r="AL127" s="111">
        <v>-2.9477099118833353E-4</v>
      </c>
      <c r="AM127" s="111">
        <v>-2.3252480916732821E-4</v>
      </c>
      <c r="AN127" s="111">
        <v>-1.7361019229901464E-4</v>
      </c>
      <c r="AO127" s="111">
        <v>-1.2038537615285013E-4</v>
      </c>
      <c r="AP127" s="111">
        <v>-7.4339412729604746E-5</v>
      </c>
      <c r="AQ127" s="111">
        <v>-4.603150189834988E-5</v>
      </c>
      <c r="AR127" s="111">
        <v>-3.478117605590662E-5</v>
      </c>
      <c r="AS127" s="111">
        <v>-2.2089676126466658E-5</v>
      </c>
      <c r="AT127" s="111">
        <v>-2.0185216911817068E-5</v>
      </c>
      <c r="AU127" s="111">
        <v>-1.7068370498351674E-5</v>
      </c>
      <c r="AV127" s="111">
        <v>-9.5858563742922674E-6</v>
      </c>
      <c r="AW127" s="111">
        <v>-1.5770972658048735E-5</v>
      </c>
    </row>
    <row r="128" spans="1:49" ht="9.75" customHeight="1">
      <c r="X128" s="111" t="s">
        <v>228</v>
      </c>
      <c r="Y128" s="111">
        <v>5.5800000000000002E-2</v>
      </c>
      <c r="Z128" s="111">
        <v>2.1942895054973939E-10</v>
      </c>
      <c r="AA128" s="111">
        <v>-3.2088760887235598E-5</v>
      </c>
      <c r="AB128" s="111">
        <v>1</v>
      </c>
      <c r="AC128" s="111">
        <v>0.91568821563652492</v>
      </c>
      <c r="AD128" s="111">
        <v>6.4292932374528641E-2</v>
      </c>
      <c r="AE128" s="111">
        <v>1.2265639530119821E-2</v>
      </c>
      <c r="AF128" s="111">
        <v>3.5899700634026773E-3</v>
      </c>
      <c r="AG128" s="111">
        <v>1.7011461495620218E-3</v>
      </c>
      <c r="AH128" s="111">
        <v>8.9505004737165021E-4</v>
      </c>
      <c r="AI128" s="111">
        <v>5.3997098125488526E-4</v>
      </c>
      <c r="AJ128" s="111">
        <v>3.6432789850045336E-4</v>
      </c>
      <c r="AK128" s="111">
        <v>2.4513046359828344E-4</v>
      </c>
      <c r="AL128" s="111">
        <v>1.6732016519693796E-4</v>
      </c>
      <c r="AM128" s="111">
        <v>1.0177748979096585E-4</v>
      </c>
      <c r="AN128" s="111">
        <v>6.1514530435409796E-5</v>
      </c>
      <c r="AO128" s="111">
        <v>3.5900116275902974E-5</v>
      </c>
      <c r="AP128" s="111">
        <v>1.919194897005401E-5</v>
      </c>
      <c r="AQ128" s="111">
        <v>1.0587587647178354E-5</v>
      </c>
      <c r="AR128" s="111">
        <v>7.2714254396166959E-6</v>
      </c>
      <c r="AS128" s="111">
        <v>4.2163901041739387E-6</v>
      </c>
      <c r="AT128" s="111">
        <v>3.5658380524471464E-6</v>
      </c>
      <c r="AU128" s="111">
        <v>2.749232022293617E-6</v>
      </c>
      <c r="AV128" s="111">
        <v>1.4089510943397214E-6</v>
      </c>
      <c r="AW128" s="111">
        <v>2.1131801068662021E-6</v>
      </c>
    </row>
    <row r="129" spans="24:49" ht="9.75" customHeight="1">
      <c r="X129" s="111" t="s">
        <v>229</v>
      </c>
      <c r="Y129" s="111">
        <v>5.3600000000000002E-2</v>
      </c>
      <c r="Z129" s="111">
        <v>3.0352269087225435E-10</v>
      </c>
      <c r="AA129" s="111">
        <v>-4.4730620626247572E-5</v>
      </c>
      <c r="AB129" s="111">
        <v>0</v>
      </c>
      <c r="AC129" s="111">
        <v>0</v>
      </c>
      <c r="AD129" s="111">
        <v>0</v>
      </c>
      <c r="AE129" s="111">
        <v>0</v>
      </c>
      <c r="AF129" s="111">
        <v>0</v>
      </c>
      <c r="AG129" s="111">
        <v>0</v>
      </c>
      <c r="AH129" s="111">
        <v>0</v>
      </c>
      <c r="AI129" s="111">
        <v>0</v>
      </c>
      <c r="AJ129" s="111">
        <v>0</v>
      </c>
      <c r="AK129" s="111">
        <v>0</v>
      </c>
      <c r="AL129" s="111">
        <v>0</v>
      </c>
      <c r="AM129" s="111">
        <v>0</v>
      </c>
      <c r="AN129" s="111">
        <v>0</v>
      </c>
      <c r="AO129" s="111">
        <v>0</v>
      </c>
      <c r="AP129" s="111">
        <v>0</v>
      </c>
      <c r="AQ129" s="111">
        <v>0</v>
      </c>
      <c r="AR129" s="111">
        <v>0</v>
      </c>
      <c r="AS129" s="111">
        <v>0</v>
      </c>
      <c r="AT129" s="111">
        <v>0</v>
      </c>
      <c r="AU129" s="111">
        <v>0</v>
      </c>
      <c r="AV129" s="111">
        <v>0</v>
      </c>
      <c r="AW129" s="111">
        <v>0</v>
      </c>
    </row>
    <row r="130" spans="24:49" ht="9.75" customHeight="1">
      <c r="X130" s="111" t="s">
        <v>250</v>
      </c>
      <c r="AB130" s="111">
        <v>21</v>
      </c>
      <c r="AC130" s="111">
        <v>1.0662805131734314</v>
      </c>
      <c r="AD130" s="111">
        <v>-7.8267729237474146E-2</v>
      </c>
      <c r="AE130" s="111">
        <v>1.5847164451532381E-2</v>
      </c>
      <c r="AF130" s="111">
        <v>-5.7099964605199843E-3</v>
      </c>
      <c r="AG130" s="111">
        <v>2.8270115115454687E-3</v>
      </c>
      <c r="AH130" s="111">
        <v>-1.5870595097656E-3</v>
      </c>
      <c r="AI130" s="111">
        <v>1.0054756318879159E-3</v>
      </c>
      <c r="AJ130" s="111">
        <v>-6.6809840750889566E-4</v>
      </c>
      <c r="AK130" s="111">
        <v>4.5910178751515249E-4</v>
      </c>
      <c r="AL130" s="111">
        <v>-3.1841779260328339E-4</v>
      </c>
      <c r="AM130" s="111">
        <v>2.1849020112774063E-4</v>
      </c>
      <c r="AN130" s="111">
        <v>-1.4141502526851684E-4</v>
      </c>
      <c r="AO130" s="111">
        <v>8.723420965850567E-5</v>
      </c>
      <c r="AP130" s="111">
        <v>-5.0927319408447203E-5</v>
      </c>
      <c r="AQ130" s="111">
        <v>2.7423200660271922E-5</v>
      </c>
      <c r="AR130" s="111">
        <v>-1.1325399925477765E-5</v>
      </c>
      <c r="AS130" s="111">
        <v>3.1335864842183889E-6</v>
      </c>
      <c r="AT130" s="111">
        <v>-6.3045021050200197E-7</v>
      </c>
      <c r="AU130" s="111">
        <v>5.7475435526932102E-8</v>
      </c>
      <c r="AV130" s="111">
        <v>-6.0651898107771916E-9</v>
      </c>
      <c r="AW130" s="111">
        <v>4.385950957242282E-10</v>
      </c>
    </row>
    <row r="131" spans="24:49" ht="9.75" customHeight="1">
      <c r="X131" s="111" t="s">
        <v>13</v>
      </c>
      <c r="Y131" s="111">
        <v>4.6593999999999998</v>
      </c>
      <c r="Z131" s="111">
        <v>0.99747833295725952</v>
      </c>
      <c r="AA131" s="111">
        <v>1.0662805131734314</v>
      </c>
      <c r="AB131" s="111">
        <v>20</v>
      </c>
      <c r="AC131" s="111">
        <v>1.0637344042689543</v>
      </c>
      <c r="AD131" s="111">
        <v>-7.4536152864010274E-2</v>
      </c>
      <c r="AE131" s="111">
        <v>1.3899770219545721E-2</v>
      </c>
      <c r="AF131" s="111">
        <v>-4.2700466346787119E-3</v>
      </c>
      <c r="AG131" s="111">
        <v>1.5942405431905958E-3</v>
      </c>
      <c r="AH131" s="111">
        <v>-5.2657559045458273E-4</v>
      </c>
      <c r="AI131" s="111">
        <v>6.0022214804767996E-5</v>
      </c>
      <c r="AJ131" s="111">
        <v>1.6560212111983973E-4</v>
      </c>
      <c r="AK131" s="111">
        <v>-2.6789117879415963E-4</v>
      </c>
      <c r="AL131" s="111">
        <v>2.9875236630590662E-4</v>
      </c>
      <c r="AM131" s="111">
        <v>-2.8342253638521882E-4</v>
      </c>
      <c r="AN131" s="111">
        <v>2.352841668539188E-4</v>
      </c>
      <c r="AO131" s="111">
        <v>-1.7705830009772432E-4</v>
      </c>
      <c r="AP131" s="111">
        <v>1.2188257860299097E-4</v>
      </c>
      <c r="AQ131" s="111">
        <v>-7.4727656280766674E-5</v>
      </c>
      <c r="AR131" s="111">
        <v>3.4338337350023908E-5</v>
      </c>
      <c r="AS131" s="111">
        <v>-1.055145720874664E-5</v>
      </c>
      <c r="AT131" s="111">
        <v>2.3298835224403382E-6</v>
      </c>
      <c r="AU131" s="111">
        <v>-2.1385347047751555E-7</v>
      </c>
      <c r="AV131" s="111">
        <v>1.3743134481610894E-8</v>
      </c>
      <c r="AW131" s="111">
        <v>-3.7200384389514331E-10</v>
      </c>
    </row>
    <row r="132" spans="24:49" ht="9.75" customHeight="1">
      <c r="X132" s="111" t="s">
        <v>15</v>
      </c>
      <c r="Y132" s="111">
        <v>0.88780000000000003</v>
      </c>
      <c r="Z132" s="111">
        <v>2.39605934421196E-3</v>
      </c>
      <c r="AA132" s="111">
        <v>-7.8267729237474146E-2</v>
      </c>
      <c r="AB132" s="111">
        <v>19</v>
      </c>
      <c r="AC132" s="111">
        <v>1.0603600519108971</v>
      </c>
      <c r="AD132" s="111">
        <v>-6.9206995130403931E-2</v>
      </c>
      <c r="AE132" s="111">
        <v>1.0623151081804399E-2</v>
      </c>
      <c r="AF132" s="111">
        <v>-1.8724463819332496E-3</v>
      </c>
      <c r="AG132" s="111">
        <v>-2.7418025462607224E-4</v>
      </c>
      <c r="AH132" s="111">
        <v>8.5808007448152349E-4</v>
      </c>
      <c r="AI132" s="111">
        <v>-9.2918146011485166E-4</v>
      </c>
      <c r="AJ132" s="111">
        <v>7.8894417671546873E-4</v>
      </c>
      <c r="AK132" s="111">
        <v>-5.7353662383207457E-4</v>
      </c>
      <c r="AL132" s="111">
        <v>3.4310145093444192E-4</v>
      </c>
      <c r="AM132" s="111">
        <v>-1.4218264041913003E-4</v>
      </c>
      <c r="AN132" s="111">
        <v>-7.3800820059621326E-6</v>
      </c>
      <c r="AO132" s="111">
        <v>8.8636873024869475E-5</v>
      </c>
      <c r="AP132" s="111">
        <v>-1.1368111429444301E-4</v>
      </c>
      <c r="AQ132" s="111">
        <v>9.7960517343274181E-5</v>
      </c>
      <c r="AR132" s="111">
        <v>-5.6574598252683454E-5</v>
      </c>
      <c r="AS132" s="111">
        <v>2.1096697433208891E-5</v>
      </c>
      <c r="AT132" s="111">
        <v>-5.4031504549225301E-6</v>
      </c>
      <c r="AU132" s="111">
        <v>5.7814670985641495E-7</v>
      </c>
      <c r="AV132" s="111">
        <v>-4.0514511451474055E-8</v>
      </c>
      <c r="AW132" s="111">
        <v>1.0215058336589422E-9</v>
      </c>
    </row>
    <row r="133" spans="24:49" ht="9.75" customHeight="1">
      <c r="X133" s="111" t="s">
        <v>17</v>
      </c>
      <c r="Y133" s="111">
        <v>0.42009999999999997</v>
      </c>
      <c r="Z133" s="111">
        <v>1.0591475120340284E-4</v>
      </c>
      <c r="AA133" s="111">
        <v>1.5847164451532381E-2</v>
      </c>
      <c r="AB133" s="111">
        <v>18</v>
      </c>
      <c r="AC133" s="111">
        <v>1.0562501511362388</v>
      </c>
      <c r="AD133" s="111">
        <v>-6.2567752764249931E-2</v>
      </c>
      <c r="AE133" s="111">
        <v>6.4732090735510738E-3</v>
      </c>
      <c r="AF133" s="111">
        <v>8.4300697792278386E-4</v>
      </c>
      <c r="AG133" s="111">
        <v>-1.9617331958635071E-3</v>
      </c>
      <c r="AH133" s="111">
        <v>1.6606264270599431E-3</v>
      </c>
      <c r="AI133" s="111">
        <v>-1.0671265912822409E-3</v>
      </c>
      <c r="AJ133" s="111">
        <v>4.663735594738703E-4</v>
      </c>
      <c r="AK133" s="111">
        <v>-1.5703640384336496E-5</v>
      </c>
      <c r="AL133" s="111">
        <v>-2.4000375872869174E-4</v>
      </c>
      <c r="AM133" s="111">
        <v>3.0164256893932422E-4</v>
      </c>
      <c r="AN133" s="111">
        <v>-2.2235096690183237E-4</v>
      </c>
      <c r="AO133" s="111">
        <v>9.0396614377345622E-5</v>
      </c>
      <c r="AP133" s="111">
        <v>2.4473409828326682E-5</v>
      </c>
      <c r="AQ133" s="111">
        <v>-8.1146839014797862E-5</v>
      </c>
      <c r="AR133" s="111">
        <v>7.1675320005861267E-5</v>
      </c>
      <c r="AS133" s="111">
        <v>-3.537973241552378E-5</v>
      </c>
      <c r="AT133" s="111">
        <v>1.0946636622401788E-5</v>
      </c>
      <c r="AU133" s="111">
        <v>-1.4166835402652269E-6</v>
      </c>
      <c r="AV133" s="111">
        <v>1.1575590790570411E-7</v>
      </c>
      <c r="AW133" s="111">
        <v>-3.307546239481304E-9</v>
      </c>
    </row>
    <row r="134" spans="24:49" ht="9.75" customHeight="1">
      <c r="X134" s="111" t="s">
        <v>19</v>
      </c>
      <c r="Y134" s="111">
        <v>0.27400000000000002</v>
      </c>
      <c r="Z134" s="111">
        <v>1.3708150798796342E-5</v>
      </c>
      <c r="AA134" s="111">
        <v>-5.7099964605199843E-3</v>
      </c>
      <c r="AB134" s="111">
        <v>17</v>
      </c>
      <c r="AC134" s="111">
        <v>1.05143707797276</v>
      </c>
      <c r="AD134" s="111">
        <v>-5.4802962155700637E-2</v>
      </c>
      <c r="AE134" s="111">
        <v>1.8542142986260909E-3</v>
      </c>
      <c r="AF134" s="111">
        <v>3.2967461126520788E-3</v>
      </c>
      <c r="AG134" s="111">
        <v>-2.8497678060717432E-3</v>
      </c>
      <c r="AH134" s="111">
        <v>1.4455683381092536E-3</v>
      </c>
      <c r="AI134" s="111">
        <v>-2.9274346607519508E-4</v>
      </c>
      <c r="AJ134" s="111">
        <v>-3.7753982180106755E-4</v>
      </c>
      <c r="AK134" s="111">
        <v>5.4967101588706115E-4</v>
      </c>
      <c r="AL134" s="111">
        <v>-3.8175569350515126E-4</v>
      </c>
      <c r="AM134" s="111">
        <v>9.8441658646203782E-5</v>
      </c>
      <c r="AN134" s="111">
        <v>1.1242550589787204E-4</v>
      </c>
      <c r="AO134" s="111">
        <v>-1.5954676142631934E-4</v>
      </c>
      <c r="AP134" s="111">
        <v>8.2390998942570212E-5</v>
      </c>
      <c r="AQ134" s="111">
        <v>2.278905190814663E-5</v>
      </c>
      <c r="AR134" s="111">
        <v>-6.9340644046152425E-5</v>
      </c>
      <c r="AS134" s="111">
        <v>5.143224399047035E-5</v>
      </c>
      <c r="AT134" s="111">
        <v>-2.0011840954275582E-5</v>
      </c>
      <c r="AU134" s="111">
        <v>3.2137143383669207E-6</v>
      </c>
      <c r="AV134" s="111">
        <v>-3.1334669910740476E-7</v>
      </c>
      <c r="AW134" s="111">
        <v>1.0624521446379969E-8</v>
      </c>
    </row>
    <row r="135" spans="24:49" ht="9.75" customHeight="1">
      <c r="X135" s="111" t="s">
        <v>20</v>
      </c>
      <c r="Y135" s="111">
        <v>0.20499999999999999</v>
      </c>
      <c r="Z135" s="111">
        <v>3.6773148984849242E-6</v>
      </c>
      <c r="AA135" s="111">
        <v>-2.8497678060717432E-3</v>
      </c>
      <c r="AB135" s="111">
        <v>16</v>
      </c>
      <c r="AC135" s="111">
        <v>1.046099676104304</v>
      </c>
      <c r="AD135" s="111">
        <v>-4.6369633517756248E-2</v>
      </c>
      <c r="AE135" s="111">
        <v>-2.6445111646950323E-3</v>
      </c>
      <c r="AF135" s="111">
        <v>4.9345398651997911E-3</v>
      </c>
      <c r="AG135" s="111">
        <v>-2.659521377276387E-3</v>
      </c>
      <c r="AH135" s="111">
        <v>4.3048455185402414E-4</v>
      </c>
      <c r="AI135" s="111">
        <v>6.6868743939100606E-4</v>
      </c>
      <c r="AJ135" s="111">
        <v>-7.6760437687440047E-4</v>
      </c>
      <c r="AK135" s="111">
        <v>3.3550691905326736E-4</v>
      </c>
      <c r="AL135" s="111">
        <v>1.2059385999263588E-4</v>
      </c>
      <c r="AM135" s="111">
        <v>-2.8694892000161756E-4</v>
      </c>
      <c r="AN135" s="111">
        <v>1.6849978585963218E-4</v>
      </c>
      <c r="AO135" s="111">
        <v>2.3030556494805889E-5</v>
      </c>
      <c r="AP135" s="111">
        <v>-1.0462924813695114E-4</v>
      </c>
      <c r="AQ135" s="111">
        <v>4.7074105450420474E-5</v>
      </c>
      <c r="AR135" s="111">
        <v>3.9623471576648218E-5</v>
      </c>
      <c r="AS135" s="111">
        <v>-6.0523627519459812E-5</v>
      </c>
      <c r="AT135" s="111">
        <v>3.1359145613697094E-5</v>
      </c>
      <c r="AU135" s="111">
        <v>-6.4316297827300232E-6</v>
      </c>
      <c r="AV135" s="111">
        <v>7.5877550720315749E-7</v>
      </c>
      <c r="AW135" s="111">
        <v>-3.0718253513436838E-8</v>
      </c>
    </row>
    <row r="136" spans="24:49" ht="9.75" customHeight="1">
      <c r="X136" s="111" t="s">
        <v>22</v>
      </c>
      <c r="Y136" s="111">
        <v>0.16370000000000001</v>
      </c>
      <c r="Z136" s="111">
        <v>1.2280336934959099E-6</v>
      </c>
      <c r="AA136" s="111">
        <v>1.6606264270599431E-3</v>
      </c>
      <c r="AB136" s="111">
        <v>15</v>
      </c>
      <c r="AC136" s="111">
        <v>1.0401319882890052</v>
      </c>
      <c r="AD136" s="111">
        <v>-3.7212751451441831E-2</v>
      </c>
      <c r="AE136" s="111">
        <v>-6.8250838641397771E-3</v>
      </c>
      <c r="AF136" s="111">
        <v>5.5597625269187363E-3</v>
      </c>
      <c r="AG136" s="111">
        <v>-1.5306824965766372E-3</v>
      </c>
      <c r="AH136" s="111">
        <v>-8.0659200251030757E-4</v>
      </c>
      <c r="AI136" s="111">
        <v>1.0895459726279874E-3</v>
      </c>
      <c r="AJ136" s="111">
        <v>-3.4679634032526359E-4</v>
      </c>
      <c r="AK136" s="111">
        <v>-3.2163363345126826E-4</v>
      </c>
      <c r="AL136" s="111">
        <v>4.1668432281981776E-4</v>
      </c>
      <c r="AM136" s="111">
        <v>-1.0798425250289074E-4</v>
      </c>
      <c r="AN136" s="111">
        <v>-1.5702783897026505E-4</v>
      </c>
      <c r="AO136" s="111">
        <v>1.4336356634164654E-4</v>
      </c>
      <c r="AP136" s="111">
        <v>1.2822854760412862E-5</v>
      </c>
      <c r="AQ136" s="111">
        <v>-7.7919629670901151E-5</v>
      </c>
      <c r="AR136" s="111">
        <v>1.1121013778477053E-5</v>
      </c>
      <c r="AS136" s="111">
        <v>5.3235411382920209E-5</v>
      </c>
      <c r="AT136" s="111">
        <v>-4.2054202814448674E-5</v>
      </c>
      <c r="AU136" s="111">
        <v>1.1618965843019935E-5</v>
      </c>
      <c r="AV136" s="111">
        <v>-1.7009222422372966E-6</v>
      </c>
      <c r="AW136" s="111">
        <v>8.3711168334698374E-8</v>
      </c>
    </row>
    <row r="137" spans="24:49" ht="9.75" customHeight="1">
      <c r="X137" s="111" t="s">
        <v>215</v>
      </c>
      <c r="Y137" s="111">
        <v>0.13730000000000001</v>
      </c>
      <c r="Z137" s="111">
        <v>5.1878444924532375E-7</v>
      </c>
      <c r="AA137" s="111">
        <v>1.0895459726279874E-3</v>
      </c>
      <c r="AB137" s="111">
        <v>14</v>
      </c>
      <c r="AC137" s="111">
        <v>1.0335668088248775</v>
      </c>
      <c r="AD137" s="111">
        <v>-2.7538122490140149E-2</v>
      </c>
      <c r="AE137" s="111">
        <v>-1.0347289158185101E-2</v>
      </c>
      <c r="AF137" s="111">
        <v>5.0843211930925751E-3</v>
      </c>
      <c r="AG137" s="111">
        <v>1.1323693296350563E-4</v>
      </c>
      <c r="AH137" s="111">
        <v>-1.5860024408839652E-3</v>
      </c>
      <c r="AI137" s="111">
        <v>6.6304089176326398E-4</v>
      </c>
      <c r="AJ137" s="111">
        <v>4.2380561413496128E-4</v>
      </c>
      <c r="AK137" s="111">
        <v>-5.4585792434738679E-4</v>
      </c>
      <c r="AL137" s="111">
        <v>3.7064470226648427E-5</v>
      </c>
      <c r="AM137" s="111">
        <v>2.7448259899719054E-4</v>
      </c>
      <c r="AN137" s="111">
        <v>-1.2858425530517514E-4</v>
      </c>
      <c r="AO137" s="111">
        <v>-1.0060929676182524E-4</v>
      </c>
      <c r="AP137" s="111">
        <v>9.1945544797284652E-5</v>
      </c>
      <c r="AQ137" s="111">
        <v>4.1536146391142742E-5</v>
      </c>
      <c r="AR137" s="111">
        <v>-5.4333992174813848E-5</v>
      </c>
      <c r="AS137" s="111">
        <v>-2.8451199688790445E-5</v>
      </c>
      <c r="AT137" s="111">
        <v>4.913635132750253E-5</v>
      </c>
      <c r="AU137" s="111">
        <v>-1.9532040597877194E-5</v>
      </c>
      <c r="AV137" s="111">
        <v>3.6233135383469386E-6</v>
      </c>
      <c r="AW137" s="111">
        <v>-2.1908402449772742E-7</v>
      </c>
    </row>
    <row r="138" spans="24:49" ht="9.75" customHeight="1">
      <c r="X138" s="111" t="s">
        <v>216</v>
      </c>
      <c r="Y138" s="111">
        <v>0.1188</v>
      </c>
      <c r="Z138" s="111">
        <v>2.5859968423069579E-7</v>
      </c>
      <c r="AA138" s="111">
        <v>7.8894417671546873E-4</v>
      </c>
      <c r="AB138" s="111">
        <v>13</v>
      </c>
      <c r="AC138" s="111">
        <v>1.0264825679456058</v>
      </c>
      <c r="AD138" s="111">
        <v>-1.7619301543801581E-2</v>
      </c>
      <c r="AE138" s="111">
        <v>-1.2922564947065755E-2</v>
      </c>
      <c r="AF138" s="111">
        <v>3.6478577152107266E-3</v>
      </c>
      <c r="AG138" s="111">
        <v>1.6804908289401767E-3</v>
      </c>
      <c r="AH138" s="111">
        <v>-1.5067828686109062E-3</v>
      </c>
      <c r="AI138" s="111">
        <v>-2.5153598078215541E-4</v>
      </c>
      <c r="AJ138" s="111">
        <v>7.4865056638856995E-4</v>
      </c>
      <c r="AK138" s="111">
        <v>-6.6537457150658193E-5</v>
      </c>
      <c r="AL138" s="111">
        <v>-3.9167335200661016E-4</v>
      </c>
      <c r="AM138" s="111">
        <v>1.3624773202314803E-4</v>
      </c>
      <c r="AN138" s="111">
        <v>1.7750986844188694E-4</v>
      </c>
      <c r="AO138" s="111">
        <v>-9.0461105109634822E-5</v>
      </c>
      <c r="AP138" s="111">
        <v>-8.4866613626751025E-5</v>
      </c>
      <c r="AQ138" s="111">
        <v>3.2084301514560511E-5</v>
      </c>
      <c r="AR138" s="111">
        <v>6.0116262112429761E-5</v>
      </c>
      <c r="AS138" s="111">
        <v>-7.2313466067029793E-6</v>
      </c>
      <c r="AT138" s="111">
        <v>-4.8108140910468245E-5</v>
      </c>
      <c r="AU138" s="111">
        <v>3.0264710408854434E-5</v>
      </c>
      <c r="AV138" s="111">
        <v>-7.2725136437434636E-6</v>
      </c>
      <c r="AW138" s="111">
        <v>5.4593866929811369E-7</v>
      </c>
    </row>
    <row r="139" spans="24:49" ht="9.75" customHeight="1">
      <c r="X139" s="111" t="s">
        <v>217</v>
      </c>
      <c r="Y139" s="111">
        <v>0.1053</v>
      </c>
      <c r="Z139" s="111">
        <v>1.4060676370698637E-7</v>
      </c>
      <c r="AA139" s="111">
        <v>-5.7353662383207457E-4</v>
      </c>
      <c r="AB139" s="111">
        <v>12</v>
      </c>
      <c r="AC139" s="111">
        <v>1.019060317018226</v>
      </c>
      <c r="AD139" s="111">
        <v>-7.8504426685996123E-3</v>
      </c>
      <c r="AE139" s="111">
        <v>-1.4360022890950909E-2</v>
      </c>
      <c r="AF139" s="111">
        <v>1.612646754605397E-3</v>
      </c>
      <c r="AG139" s="111">
        <v>2.6328484412764062E-3</v>
      </c>
      <c r="AH139" s="111">
        <v>-6.706373613736881E-4</v>
      </c>
      <c r="AI139" s="111">
        <v>-9.4216942147841095E-4</v>
      </c>
      <c r="AJ139" s="111">
        <v>3.40181181922409E-4</v>
      </c>
      <c r="AK139" s="111">
        <v>4.7161423775098039E-4</v>
      </c>
      <c r="AL139" s="111">
        <v>-2.1459852136939563E-4</v>
      </c>
      <c r="AM139" s="111">
        <v>-2.3739136370546184E-4</v>
      </c>
      <c r="AN139" s="111">
        <v>1.0274778486421398E-4</v>
      </c>
      <c r="AO139" s="111">
        <v>1.3184009608948764E-4</v>
      </c>
      <c r="AP139" s="111">
        <v>-2.9998008030110813E-5</v>
      </c>
      <c r="AQ139" s="111">
        <v>-6.9671775375529832E-5</v>
      </c>
      <c r="AR139" s="111">
        <v>-1.8849699841066096E-5</v>
      </c>
      <c r="AS139" s="111">
        <v>3.7438488255912226E-5</v>
      </c>
      <c r="AT139" s="111">
        <v>3.2959413854095702E-5</v>
      </c>
      <c r="AU139" s="111">
        <v>-4.0689088853504621E-5</v>
      </c>
      <c r="AV139" s="111">
        <v>1.3120543399959471E-5</v>
      </c>
      <c r="AW139" s="111">
        <v>-1.2431606674849651E-6</v>
      </c>
    </row>
    <row r="140" spans="24:49" ht="9.75" customHeight="1">
      <c r="X140" s="111" t="s">
        <v>218</v>
      </c>
      <c r="Y140" s="111">
        <v>9.5000000000000001E-2</v>
      </c>
      <c r="Z140" s="111">
        <v>7.8286818172850791E-8</v>
      </c>
      <c r="AA140" s="111">
        <v>4.1668432281981776E-4</v>
      </c>
      <c r="AB140" s="111">
        <v>11</v>
      </c>
      <c r="AC140" s="111">
        <v>1.0113948458429489</v>
      </c>
      <c r="AD140" s="111">
        <v>1.5440783497440908E-3</v>
      </c>
      <c r="AE140" s="111">
        <v>-1.4650166444570864E-2</v>
      </c>
      <c r="AF140" s="111">
        <v>-5.9874742737939517E-4</v>
      </c>
      <c r="AG140" s="111">
        <v>2.730348877599164E-3</v>
      </c>
      <c r="AH140" s="111">
        <v>4.4284871967052931E-4</v>
      </c>
      <c r="AI140" s="111">
        <v>-9.5505439472907971E-4</v>
      </c>
      <c r="AJ140" s="111">
        <v>-3.567383940219237E-4</v>
      </c>
      <c r="AK140" s="111">
        <v>4.372570553018617E-4</v>
      </c>
      <c r="AL140" s="111">
        <v>2.5751121417957927E-4</v>
      </c>
      <c r="AM140" s="111">
        <v>-1.9172422579494917E-4</v>
      </c>
      <c r="AN140" s="111">
        <v>-1.6932496145040144E-4</v>
      </c>
      <c r="AO140" s="111">
        <v>4.8879879070898299E-5</v>
      </c>
      <c r="AP140" s="111">
        <v>9.6881644519622727E-5</v>
      </c>
      <c r="AQ140" s="111">
        <v>2.4871759148315882E-5</v>
      </c>
      <c r="AR140" s="111">
        <v>-3.7821680900614276E-5</v>
      </c>
      <c r="AS140" s="111">
        <v>-4.0191248574816487E-5</v>
      </c>
      <c r="AT140" s="111">
        <v>-3.0497700802073298E-6</v>
      </c>
      <c r="AU140" s="111">
        <v>4.2993407127251413E-5</v>
      </c>
      <c r="AV140" s="111">
        <v>-2.0196221971943621E-5</v>
      </c>
      <c r="AW140" s="111">
        <v>2.4980201636910303E-6</v>
      </c>
    </row>
    <row r="141" spans="24:49" ht="9.75" customHeight="1">
      <c r="X141" s="111" t="s">
        <v>219</v>
      </c>
      <c r="Y141" s="111">
        <v>8.72E-2</v>
      </c>
      <c r="Z141" s="111">
        <v>4.0400671283364334E-8</v>
      </c>
      <c r="AA141" s="111">
        <v>3.0164256893932422E-4</v>
      </c>
      <c r="AB141" s="111">
        <v>10</v>
      </c>
      <c r="AC141" s="111">
        <v>1.0032968856881999</v>
      </c>
      <c r="AD141" s="111">
        <v>1.0699911206731824E-2</v>
      </c>
      <c r="AE141" s="111">
        <v>-1.3848645079029012E-2</v>
      </c>
      <c r="AF141" s="111">
        <v>-2.6813408004992428E-3</v>
      </c>
      <c r="AG141" s="111">
        <v>2.0042890114846889E-3</v>
      </c>
      <c r="AH141" s="111">
        <v>1.329320165885802E-3</v>
      </c>
      <c r="AI141" s="111">
        <v>-3.2600422688958743E-4</v>
      </c>
      <c r="AJ141" s="111">
        <v>-7.2446665111397274E-4</v>
      </c>
      <c r="AK141" s="111">
        <v>-9.3946857537499721E-5</v>
      </c>
      <c r="AL141" s="111">
        <v>3.6239250337169232E-4</v>
      </c>
      <c r="AM141" s="111">
        <v>1.7170042682741759E-4</v>
      </c>
      <c r="AN141" s="111">
        <v>-1.1093728747806419E-4</v>
      </c>
      <c r="AO141" s="111">
        <v>-1.4011847750432355E-4</v>
      </c>
      <c r="AP141" s="111">
        <v>-1.645823230105461E-5</v>
      </c>
      <c r="AQ141" s="111">
        <v>5.0868601410589232E-5</v>
      </c>
      <c r="AR141" s="111">
        <v>5.401098553151491E-5</v>
      </c>
      <c r="AS141" s="111">
        <v>1.02516011418766E-5</v>
      </c>
      <c r="AT141" s="111">
        <v>-2.8241992103813825E-5</v>
      </c>
      <c r="AU141" s="111">
        <v>-3.1726135520546297E-5</v>
      </c>
      <c r="AV141" s="111">
        <v>2.683762983175778E-5</v>
      </c>
      <c r="AW141" s="111">
        <v>-4.5820804406827237E-6</v>
      </c>
    </row>
    <row r="142" spans="24:49" ht="9.75" customHeight="1">
      <c r="X142" s="111" t="s">
        <v>220</v>
      </c>
      <c r="Y142" s="111">
        <v>8.09E-2</v>
      </c>
      <c r="Z142" s="111">
        <v>2.0245438183921284E-8</v>
      </c>
      <c r="AA142" s="111">
        <v>2.352841668539188E-4</v>
      </c>
      <c r="AB142" s="111">
        <v>9</v>
      </c>
      <c r="AC142" s="111">
        <v>0.99489671841779814</v>
      </c>
      <c r="AD142" s="111">
        <v>1.9362466335255461E-2</v>
      </c>
      <c r="AE142" s="111">
        <v>-1.2072159885799792E-2</v>
      </c>
      <c r="AF142" s="111">
        <v>-4.2670233261167942E-3</v>
      </c>
      <c r="AG142" s="111">
        <v>7.1254498294611585E-4</v>
      </c>
      <c r="AH142" s="111">
        <v>1.5792252758839887E-3</v>
      </c>
      <c r="AI142" s="111">
        <v>4.9849506780005241E-4</v>
      </c>
      <c r="AJ142" s="111">
        <v>-4.5159955746105926E-4</v>
      </c>
      <c r="AK142" s="111">
        <v>-5.058049083897844E-4</v>
      </c>
      <c r="AL142" s="111">
        <v>-2.82282305974916E-5</v>
      </c>
      <c r="AM142" s="111">
        <v>2.4809151091396969E-4</v>
      </c>
      <c r="AN142" s="111">
        <v>1.5361568356172408E-4</v>
      </c>
      <c r="AO142" s="111">
        <v>-2.4733775109509747E-5</v>
      </c>
      <c r="AP142" s="111">
        <v>-8.729052313460493E-5</v>
      </c>
      <c r="AQ142" s="111">
        <v>-5.7379301952371724E-5</v>
      </c>
      <c r="AR142" s="111">
        <v>-1.0154094665501339E-5</v>
      </c>
      <c r="AS142" s="111">
        <v>2.7812129475751925E-5</v>
      </c>
      <c r="AT142" s="111">
        <v>3.988506489526426E-5</v>
      </c>
      <c r="AU142" s="111">
        <v>8.3712740349628938E-6</v>
      </c>
      <c r="AV142" s="111">
        <v>-3.057987787959193E-5</v>
      </c>
      <c r="AW142" s="111">
        <v>7.7277385418161879E-6</v>
      </c>
    </row>
    <row r="143" spans="24:49" ht="9.75" customHeight="1">
      <c r="X143" s="111" t="s">
        <v>221</v>
      </c>
      <c r="Y143" s="111">
        <v>7.5800000000000006E-2</v>
      </c>
      <c r="Z143" s="111">
        <v>1.0654535040252464E-8</v>
      </c>
      <c r="AA143" s="111">
        <v>-1.7705830009772432E-4</v>
      </c>
      <c r="AB143" s="111">
        <v>8</v>
      </c>
      <c r="AC143" s="111">
        <v>0.98602038345395859</v>
      </c>
      <c r="AD143" s="111">
        <v>2.7603038726995384E-2</v>
      </c>
      <c r="AE143" s="111">
        <v>-9.4225015633207492E-3</v>
      </c>
      <c r="AF143" s="111">
        <v>-5.1536794533891921E-3</v>
      </c>
      <c r="AG143" s="111">
        <v>-7.8535738982055733E-4</v>
      </c>
      <c r="AH143" s="111">
        <v>1.1026597119246067E-3</v>
      </c>
      <c r="AI143" s="111">
        <v>9.9882255992028127E-4</v>
      </c>
      <c r="AJ143" s="111">
        <v>2.1374402257996457E-4</v>
      </c>
      <c r="AK143" s="111">
        <v>-3.5764049308801687E-4</v>
      </c>
      <c r="AL143" s="111">
        <v>-3.8086283980157869E-4</v>
      </c>
      <c r="AM143" s="111">
        <v>-7.5388510010975689E-5</v>
      </c>
      <c r="AN143" s="111">
        <v>1.3012584693189249E-4</v>
      </c>
      <c r="AO143" s="111">
        <v>1.4350432122413797E-4</v>
      </c>
      <c r="AP143" s="111">
        <v>5.0456785347737762E-5</v>
      </c>
      <c r="AQ143" s="111">
        <v>-1.4976238629605415E-5</v>
      </c>
      <c r="AR143" s="111">
        <v>-4.5495990948574463E-5</v>
      </c>
      <c r="AS143" s="111">
        <v>-3.9964996766334421E-5</v>
      </c>
      <c r="AT143" s="111">
        <v>-2.2772922194266156E-5</v>
      </c>
      <c r="AU143" s="111">
        <v>1.8730112645977661E-5</v>
      </c>
      <c r="AV143" s="111">
        <v>2.9500186740690791E-5</v>
      </c>
      <c r="AW143" s="111">
        <v>-1.2325330301254809E-5</v>
      </c>
    </row>
    <row r="144" spans="24:49" ht="9.75" customHeight="1">
      <c r="X144" s="111" t="s">
        <v>222</v>
      </c>
      <c r="Y144" s="111">
        <v>7.1599999999999997E-2</v>
      </c>
      <c r="Z144" s="111">
        <v>4.9312855088519423E-9</v>
      </c>
      <c r="AA144" s="111">
        <v>1.2188257860299097E-4</v>
      </c>
      <c r="AB144" s="111">
        <v>7</v>
      </c>
      <c r="AC144" s="111">
        <v>0.97674482834372278</v>
      </c>
      <c r="AD144" s="111">
        <v>3.5234581477692747E-2</v>
      </c>
      <c r="AE144" s="111">
        <v>-6.1121742573014464E-3</v>
      </c>
      <c r="AF144" s="111">
        <v>-5.1944104956662468E-3</v>
      </c>
      <c r="AG144" s="111">
        <v>-2.0410872932436685E-3</v>
      </c>
      <c r="AH144" s="111">
        <v>1.253516590713263E-4</v>
      </c>
      <c r="AI144" s="111">
        <v>8.4974473986775066E-4</v>
      </c>
      <c r="AJ144" s="111">
        <v>6.8903345634450789E-4</v>
      </c>
      <c r="AK144" s="111">
        <v>1.8278800951826026E-4</v>
      </c>
      <c r="AL144" s="111">
        <v>-2.1767822110266703E-4</v>
      </c>
      <c r="AM144" s="111">
        <v>-2.7565951665624468E-4</v>
      </c>
      <c r="AN144" s="111">
        <v>-1.3549258464834904E-4</v>
      </c>
      <c r="AO144" s="111">
        <v>6.609880054203414E-6</v>
      </c>
      <c r="AP144" s="111">
        <v>6.7435471316572664E-5</v>
      </c>
      <c r="AQ144" s="111">
        <v>6.6193249149693493E-5</v>
      </c>
      <c r="AR144" s="111">
        <v>4.769072161796061E-5</v>
      </c>
      <c r="AS144" s="111">
        <v>1.4517220489888288E-5</v>
      </c>
      <c r="AT144" s="111">
        <v>-1.0845492312566975E-5</v>
      </c>
      <c r="AU144" s="111">
        <v>-3.7050966633219919E-5</v>
      </c>
      <c r="AV144" s="111">
        <v>-2.3391308586593639E-5</v>
      </c>
      <c r="AW144" s="111">
        <v>1.9015907305475535E-5</v>
      </c>
    </row>
    <row r="145" spans="1:49" ht="9.75" customHeight="1">
      <c r="X145" s="111" t="s">
        <v>223</v>
      </c>
      <c r="Y145" s="111">
        <v>6.83E-2</v>
      </c>
      <c r="Z145" s="111">
        <v>2.6206868505672993E-9</v>
      </c>
      <c r="AA145" s="111">
        <v>9.7960517343274181E-5</v>
      </c>
      <c r="AB145" s="111">
        <v>6</v>
      </c>
      <c r="AC145" s="111">
        <v>0.96709780094934483</v>
      </c>
      <c r="AD145" s="111">
        <v>4.2134144944031462E-2</v>
      </c>
      <c r="AE145" s="111">
        <v>-2.3827440314513519E-3</v>
      </c>
      <c r="AF145" s="111">
        <v>-4.3942911629227957E-3</v>
      </c>
      <c r="AG145" s="111">
        <v>-2.6945070247401952E-3</v>
      </c>
      <c r="AH145" s="111">
        <v>-9.033703928522102E-4</v>
      </c>
      <c r="AI145" s="111">
        <v>1.5616884241019337E-4</v>
      </c>
      <c r="AJ145" s="111">
        <v>5.6893054646757035E-4</v>
      </c>
      <c r="AK145" s="111">
        <v>5.2051724342238052E-4</v>
      </c>
      <c r="AL145" s="111">
        <v>2.3556382950447883E-4</v>
      </c>
      <c r="AM145" s="111">
        <v>-3.5974899038609975E-5</v>
      </c>
      <c r="AN145" s="111">
        <v>-1.4898610120304501E-4</v>
      </c>
      <c r="AO145" s="111">
        <v>-1.4315501094700712E-4</v>
      </c>
      <c r="AP145" s="111">
        <v>-7.4680461062229164E-5</v>
      </c>
      <c r="AQ145" s="111">
        <v>-2.4504131336428462E-5</v>
      </c>
      <c r="AR145" s="111">
        <v>6.6723235424404331E-6</v>
      </c>
      <c r="AS145" s="111">
        <v>2.469976649865513E-5</v>
      </c>
      <c r="AT145" s="111">
        <v>3.6061207487480958E-5</v>
      </c>
      <c r="AU145" s="111">
        <v>3.7330465763127322E-5</v>
      </c>
      <c r="AV145" s="111">
        <v>1.2708076643664008E-5</v>
      </c>
      <c r="AW145" s="111">
        <v>-2.8384979561961853E-5</v>
      </c>
    </row>
    <row r="146" spans="1:49" ht="9.75" customHeight="1">
      <c r="X146" s="111" t="s">
        <v>224</v>
      </c>
      <c r="Y146" s="111">
        <v>6.5699999999999995E-2</v>
      </c>
      <c r="Z146" s="111">
        <v>1.683638551854988E-9</v>
      </c>
      <c r="AA146" s="111">
        <v>7.1675320005861267E-5</v>
      </c>
      <c r="AB146" s="111">
        <v>5</v>
      </c>
      <c r="AC146" s="111">
        <v>0.95729313427218143</v>
      </c>
      <c r="AD146" s="111">
        <v>4.8087770848447745E-2</v>
      </c>
      <c r="AE146" s="111">
        <v>1.4208270828971001E-3</v>
      </c>
      <c r="AF146" s="111">
        <v>-2.9241425710652509E-3</v>
      </c>
      <c r="AG146" s="111">
        <v>-2.5689813537865072E-3</v>
      </c>
      <c r="AH146" s="111">
        <v>-1.5076910681246928E-3</v>
      </c>
      <c r="AI146" s="111">
        <v>-6.1556316124543309E-4</v>
      </c>
      <c r="AJ146" s="111">
        <v>-2.3565476762857369E-5</v>
      </c>
      <c r="AK146" s="111">
        <v>2.9710964600026261E-4</v>
      </c>
      <c r="AL146" s="111">
        <v>3.6925563554638199E-4</v>
      </c>
      <c r="AM146" s="111">
        <v>2.5302042034983525E-4</v>
      </c>
      <c r="AN146" s="111">
        <v>1.0562096830328522E-4</v>
      </c>
      <c r="AO146" s="111">
        <v>4.2022397171754673E-6</v>
      </c>
      <c r="AP146" s="111">
        <v>-4.1758261134699343E-5</v>
      </c>
      <c r="AQ146" s="111">
        <v>-5.1008198614466152E-5</v>
      </c>
      <c r="AR146" s="111">
        <v>-5.1415663305745496E-5</v>
      </c>
      <c r="AS146" s="111">
        <v>-3.8091156733210617E-5</v>
      </c>
      <c r="AT146" s="111">
        <v>-3.1730799819526611E-5</v>
      </c>
      <c r="AU146" s="111">
        <v>-1.7509762586891669E-5</v>
      </c>
      <c r="AV146" s="111">
        <v>9.9076038845674938E-7</v>
      </c>
      <c r="AW146" s="111">
        <v>3.9525599347780483E-5</v>
      </c>
    </row>
    <row r="147" spans="1:49" ht="9.75" customHeight="1">
      <c r="X147" s="111" t="s">
        <v>225</v>
      </c>
      <c r="Y147" s="111">
        <v>6.3200000000000006E-2</v>
      </c>
      <c r="Z147" s="111">
        <v>9.3659945389234974E-10</v>
      </c>
      <c r="AA147" s="111">
        <v>-6.0523627519459812E-5</v>
      </c>
      <c r="AB147" s="111">
        <v>4</v>
      </c>
      <c r="AC147" s="111">
        <v>0.94760286268672089</v>
      </c>
      <c r="AD147" s="111">
        <v>5.293389863932587E-2</v>
      </c>
      <c r="AE147" s="111">
        <v>4.9486328189155626E-3</v>
      </c>
      <c r="AF147" s="111">
        <v>-1.0936960158795727E-3</v>
      </c>
      <c r="AG147" s="111">
        <v>-1.7615114427106773E-3</v>
      </c>
      <c r="AH147" s="111">
        <v>-1.4522795682804098E-3</v>
      </c>
      <c r="AI147" s="111">
        <v>-9.8172311961176591E-4</v>
      </c>
      <c r="AJ147" s="111">
        <v>-5.6733630381162917E-4</v>
      </c>
      <c r="AK147" s="111">
        <v>-2.1347624920184347E-4</v>
      </c>
      <c r="AL147" s="111">
        <v>3.9467827958725282E-5</v>
      </c>
      <c r="AM147" s="111">
        <v>1.5602030738339314E-4</v>
      </c>
      <c r="AN147" s="111">
        <v>1.6689550408957368E-4</v>
      </c>
      <c r="AO147" s="111">
        <v>1.3585597316917414E-4</v>
      </c>
      <c r="AP147" s="111">
        <v>8.0225816033906245E-5</v>
      </c>
      <c r="AQ147" s="111">
        <v>4.5688746274444808E-5</v>
      </c>
      <c r="AR147" s="111">
        <v>2.6317928114448904E-5</v>
      </c>
      <c r="AS147" s="111">
        <v>8.7011059935013042E-6</v>
      </c>
      <c r="AT147" s="111">
        <v>-1.372756656641589E-6</v>
      </c>
      <c r="AU147" s="111">
        <v>-1.2936572921781825E-5</v>
      </c>
      <c r="AV147" s="111">
        <v>-1.3583481682376808E-5</v>
      </c>
      <c r="AW147" s="111">
        <v>-4.665184322402918E-5</v>
      </c>
    </row>
    <row r="148" spans="1:49" ht="9.75" customHeight="1">
      <c r="X148" s="111" t="s">
        <v>226</v>
      </c>
      <c r="Y148" s="111">
        <v>6.1100000000000002E-2</v>
      </c>
      <c r="Z148" s="111">
        <v>7.0372733147951076E-10</v>
      </c>
      <c r="AA148" s="111">
        <v>4.913635132750253E-5</v>
      </c>
      <c r="AB148" s="111">
        <v>3</v>
      </c>
      <c r="AC148" s="111">
        <v>0.93799585347068004</v>
      </c>
      <c r="AD148" s="111">
        <v>5.6713380278257723E-2</v>
      </c>
      <c r="AE148" s="111">
        <v>8.0283805099973307E-3</v>
      </c>
      <c r="AF148" s="111">
        <v>8.1115188434574461E-4</v>
      </c>
      <c r="AG148" s="111">
        <v>-5.3624467298369195E-4</v>
      </c>
      <c r="AH148" s="111">
        <v>-8.1996943874184953E-4</v>
      </c>
      <c r="AI148" s="111">
        <v>-7.7401188177161353E-4</v>
      </c>
      <c r="AJ148" s="111">
        <v>-6.5808947381995251E-4</v>
      </c>
      <c r="AK148" s="111">
        <v>-4.9600363882053029E-4</v>
      </c>
      <c r="AL148" s="111">
        <v>-3.2300660866618731E-4</v>
      </c>
      <c r="AM148" s="111">
        <v>-1.5565581322271891E-4</v>
      </c>
      <c r="AN148" s="111">
        <v>-4.6883065019141219E-5</v>
      </c>
      <c r="AO148" s="111">
        <v>9.5531548567082297E-6</v>
      </c>
      <c r="AP148" s="111">
        <v>2.9977347288003715E-5</v>
      </c>
      <c r="AQ148" s="111">
        <v>3.3829166717252509E-5</v>
      </c>
      <c r="AR148" s="111">
        <v>3.5622072316250555E-5</v>
      </c>
      <c r="AS148" s="111">
        <v>3.0233871338507664E-5</v>
      </c>
      <c r="AT148" s="111">
        <v>3.1588738478978296E-5</v>
      </c>
      <c r="AU148" s="111">
        <v>3.1437890543955186E-5</v>
      </c>
      <c r="AV148" s="111">
        <v>1.7903109716728224E-5</v>
      </c>
      <c r="AW148" s="111">
        <v>4.0953098508189188E-5</v>
      </c>
    </row>
    <row r="149" spans="1:49" ht="9.75" customHeight="1">
      <c r="X149" s="111" t="s">
        <v>227</v>
      </c>
      <c r="Y149" s="111">
        <v>5.8700000000000002E-2</v>
      </c>
      <c r="Z149" s="111">
        <v>4.8376983074850265E-10</v>
      </c>
      <c r="AA149" s="111">
        <v>4.2993407127251413E-5</v>
      </c>
      <c r="AB149" s="111">
        <v>2</v>
      </c>
      <c r="AC149" s="111">
        <v>0.92881355725940251</v>
      </c>
      <c r="AD149" s="111">
        <v>5.93631106709624E-2</v>
      </c>
      <c r="AE149" s="111">
        <v>1.0428185989222344E-2</v>
      </c>
      <c r="AF149" s="111">
        <v>2.4628697981210587E-3</v>
      </c>
      <c r="AG149" s="111">
        <v>7.2715674938748952E-4</v>
      </c>
      <c r="AH149" s="111">
        <v>6.7753499728638949E-5</v>
      </c>
      <c r="AI149" s="111">
        <v>-1.7416509300584266E-4</v>
      </c>
      <c r="AJ149" s="111">
        <v>-2.8069238389854737E-4</v>
      </c>
      <c r="AK149" s="111">
        <v>-3.1485941269180289E-4</v>
      </c>
      <c r="AL149" s="111">
        <v>-3.0516068214846517E-4</v>
      </c>
      <c r="AM149" s="111">
        <v>-2.4168224611076865E-4</v>
      </c>
      <c r="AN149" s="111">
        <v>-1.7405882351092755E-4</v>
      </c>
      <c r="AO149" s="111">
        <v>-1.2373557883201894E-4</v>
      </c>
      <c r="AP149" s="111">
        <v>-7.4321630084400151E-5</v>
      </c>
      <c r="AQ149" s="111">
        <v>-4.8692182723854047E-5</v>
      </c>
      <c r="AR149" s="111">
        <v>-3.72983019953929E-5</v>
      </c>
      <c r="AS149" s="111">
        <v>-2.4593101583900647E-5</v>
      </c>
      <c r="AT149" s="111">
        <v>-2.1369250809788762E-5</v>
      </c>
      <c r="AU149" s="111">
        <v>-1.7476170123644311E-5</v>
      </c>
      <c r="AV149" s="111">
        <v>-8.3791486357521901E-6</v>
      </c>
      <c r="AW149" s="111">
        <v>-1.6149960669555374E-5</v>
      </c>
    </row>
    <row r="150" spans="1:49" ht="9.75" customHeight="1">
      <c r="X150" s="111" t="s">
        <v>228</v>
      </c>
      <c r="Y150" s="111">
        <v>5.6500000000000002E-2</v>
      </c>
      <c r="Z150" s="111">
        <v>1.9591578935492288E-10</v>
      </c>
      <c r="AA150" s="111">
        <v>-3.057987787959193E-5</v>
      </c>
      <c r="AB150" s="111">
        <v>1</v>
      </c>
      <c r="AC150" s="111">
        <v>0.91924817829048378</v>
      </c>
      <c r="AD150" s="111">
        <v>6.0819731567275409E-2</v>
      </c>
      <c r="AE150" s="111">
        <v>1.2007815963573745E-2</v>
      </c>
      <c r="AF150" s="111">
        <v>3.6533518991877611E-3</v>
      </c>
      <c r="AG150" s="111">
        <v>1.7514648382293786E-3</v>
      </c>
      <c r="AH150" s="111">
        <v>9.1674939924515366E-4</v>
      </c>
      <c r="AI150" s="111">
        <v>5.5078799713856872E-4</v>
      </c>
      <c r="AJ150" s="111">
        <v>3.6681605680832671E-4</v>
      </c>
      <c r="AK150" s="111">
        <v>2.5355870367168031E-4</v>
      </c>
      <c r="AL150" s="111">
        <v>1.7339726480356403E-4</v>
      </c>
      <c r="AM150" s="111">
        <v>1.0626842766427297E-4</v>
      </c>
      <c r="AN150" s="111">
        <v>6.1897989654039213E-5</v>
      </c>
      <c r="AO150" s="111">
        <v>3.7087732964374307E-5</v>
      </c>
      <c r="AP150" s="111">
        <v>1.9231034866516862E-5</v>
      </c>
      <c r="AQ150" s="111">
        <v>1.1225281136322896E-5</v>
      </c>
      <c r="AR150" s="111">
        <v>7.8022553240903352E-6</v>
      </c>
      <c r="AS150" s="111">
        <v>4.6902816521283701E-6</v>
      </c>
      <c r="AT150" s="111">
        <v>3.7658249256999987E-6</v>
      </c>
      <c r="AU150" s="111">
        <v>2.804625738433269E-6</v>
      </c>
      <c r="AV150" s="111">
        <v>1.2285971854052399E-6</v>
      </c>
      <c r="AW150" s="111">
        <v>2.1459684724669475E-6</v>
      </c>
    </row>
    <row r="151" spans="1:49" ht="9.75" customHeight="1">
      <c r="X151" s="111" t="s">
        <v>229</v>
      </c>
      <c r="Y151" s="111">
        <v>5.4100000000000002E-2</v>
      </c>
      <c r="Z151" s="111">
        <v>3.1395128959951424E-10</v>
      </c>
      <c r="AA151" s="111">
        <v>-4.665184322402918E-5</v>
      </c>
      <c r="AB151" s="111">
        <v>0</v>
      </c>
      <c r="AC151" s="111">
        <v>0</v>
      </c>
      <c r="AD151" s="111">
        <v>0</v>
      </c>
      <c r="AE151" s="111">
        <v>0</v>
      </c>
      <c r="AF151" s="111">
        <v>0</v>
      </c>
      <c r="AG151" s="111">
        <v>0</v>
      </c>
      <c r="AH151" s="111">
        <v>0</v>
      </c>
      <c r="AI151" s="111">
        <v>0</v>
      </c>
      <c r="AJ151" s="111">
        <v>0</v>
      </c>
      <c r="AK151" s="111">
        <v>0</v>
      </c>
      <c r="AL151" s="111">
        <v>0</v>
      </c>
      <c r="AM151" s="111">
        <v>0</v>
      </c>
      <c r="AN151" s="111">
        <v>0</v>
      </c>
      <c r="AO151" s="111">
        <v>0</v>
      </c>
      <c r="AP151" s="111">
        <v>0</v>
      </c>
      <c r="AQ151" s="111">
        <v>0</v>
      </c>
      <c r="AR151" s="111">
        <v>0</v>
      </c>
      <c r="AS151" s="111">
        <v>0</v>
      </c>
      <c r="AT151" s="111">
        <v>0</v>
      </c>
      <c r="AU151" s="111">
        <v>0</v>
      </c>
      <c r="AV151" s="111">
        <v>0</v>
      </c>
      <c r="AW151" s="111">
        <v>0</v>
      </c>
    </row>
    <row r="152" spans="1:49" ht="9.75" customHeight="1">
      <c r="X152" s="111" t="s">
        <v>251</v>
      </c>
      <c r="AB152" s="111">
        <v>21</v>
      </c>
      <c r="AC152" s="111">
        <v>1.066231316391538</v>
      </c>
      <c r="AD152" s="111">
        <v>-7.8196410487674783E-2</v>
      </c>
      <c r="AE152" s="111">
        <v>1.5814703003984784E-2</v>
      </c>
      <c r="AF152" s="111">
        <v>-5.6766025731139636E-3</v>
      </c>
      <c r="AG152" s="111">
        <v>2.7893926836973816E-3</v>
      </c>
      <c r="AH152" s="111">
        <v>-1.5625095877405566E-3</v>
      </c>
      <c r="AI152" s="111">
        <v>9.9222544472718586E-4</v>
      </c>
      <c r="AJ152" s="111">
        <v>-6.6327109821100216E-4</v>
      </c>
      <c r="AK152" s="111">
        <v>4.5850636371582527E-4</v>
      </c>
      <c r="AL152" s="111">
        <v>-3.1760806857042466E-4</v>
      </c>
      <c r="AM152" s="111">
        <v>2.1736522163436406E-4</v>
      </c>
      <c r="AN152" s="111">
        <v>-1.4315778488075738E-4</v>
      </c>
      <c r="AO152" s="111">
        <v>9.0431807004025469E-5</v>
      </c>
      <c r="AP152" s="111">
        <v>-5.4369704314162047E-5</v>
      </c>
      <c r="AQ152" s="111">
        <v>2.9180091768629335E-5</v>
      </c>
      <c r="AR152" s="111">
        <v>-1.172320057578688E-5</v>
      </c>
      <c r="AS152" s="111">
        <v>3.1037165636145339E-6</v>
      </c>
      <c r="AT152" s="111">
        <v>-6.2608765234379143E-7</v>
      </c>
      <c r="AU152" s="111">
        <v>5.6255949751354201E-8</v>
      </c>
      <c r="AV152" s="111">
        <v>-3.7043235783719784E-9</v>
      </c>
      <c r="AW152" s="111">
        <v>1.3164743270597191E-9</v>
      </c>
    </row>
    <row r="153" spans="1:49" ht="9.75" customHeight="1">
      <c r="X153" s="111" t="s">
        <v>13</v>
      </c>
      <c r="Y153" s="111">
        <v>4.6590999999999996</v>
      </c>
      <c r="Z153" s="111">
        <v>0.99748378733318555</v>
      </c>
      <c r="AA153" s="111">
        <v>1.066231316391538</v>
      </c>
      <c r="AB153" s="111">
        <v>20</v>
      </c>
      <c r="AC153" s="111">
        <v>1.0637008939166761</v>
      </c>
      <c r="AD153" s="111">
        <v>-7.449834111181898E-2</v>
      </c>
      <c r="AE153" s="111">
        <v>1.3899818943031446E-2</v>
      </c>
      <c r="AF153" s="111">
        <v>-4.2706023615574394E-3</v>
      </c>
      <c r="AG153" s="111">
        <v>1.59322403616265E-3</v>
      </c>
      <c r="AH153" s="111">
        <v>-5.3538269041051364E-4</v>
      </c>
      <c r="AI153" s="111">
        <v>7.318954311685415E-5</v>
      </c>
      <c r="AJ153" s="111">
        <v>1.5172852851103125E-4</v>
      </c>
      <c r="AK153" s="111">
        <v>-2.5656043438869426E-4</v>
      </c>
      <c r="AL153" s="111">
        <v>2.8777064602817601E-4</v>
      </c>
      <c r="AM153" s="111">
        <v>-2.7461041328672006E-4</v>
      </c>
      <c r="AN153" s="111">
        <v>2.3231895307717029E-4</v>
      </c>
      <c r="AO153" s="111">
        <v>-1.793546312971815E-4</v>
      </c>
      <c r="AP153" s="111">
        <v>1.2695375708904081E-4</v>
      </c>
      <c r="AQ153" s="111">
        <v>-7.7513345640452066E-5</v>
      </c>
      <c r="AR153" s="111">
        <v>3.4604331536096885E-5</v>
      </c>
      <c r="AS153" s="111">
        <v>-1.0185261694788764E-5</v>
      </c>
      <c r="AT153" s="111">
        <v>2.2561889302472358E-6</v>
      </c>
      <c r="AU153" s="111">
        <v>-2.2098838885415927E-7</v>
      </c>
      <c r="AV153" s="111">
        <v>1.3057238792413696E-8</v>
      </c>
      <c r="AW153" s="111">
        <v>-6.6291355938397593E-10</v>
      </c>
    </row>
    <row r="154" spans="1:49" ht="9.75" customHeight="1">
      <c r="X154" s="111" t="s">
        <v>15</v>
      </c>
      <c r="Y154" s="111">
        <v>0.88749999999999996</v>
      </c>
      <c r="Z154" s="111">
        <v>2.3911999484151681E-3</v>
      </c>
      <c r="AA154" s="111">
        <v>-7.8196410487674783E-2</v>
      </c>
      <c r="AB154" s="111">
        <v>19</v>
      </c>
      <c r="AC154" s="111">
        <v>1.0603254506320059</v>
      </c>
      <c r="AD154" s="111">
        <v>-6.9168586009943439E-2</v>
      </c>
      <c r="AE154" s="111">
        <v>1.0623777376637224E-2</v>
      </c>
      <c r="AF154" s="111">
        <v>-1.8809287391071243E-3</v>
      </c>
      <c r="AG154" s="111">
        <v>-2.6229532827476849E-4</v>
      </c>
      <c r="AH154" s="111">
        <v>8.4250980706278452E-4</v>
      </c>
      <c r="AI154" s="111">
        <v>-9.1984713891486215E-4</v>
      </c>
      <c r="AJ154" s="111">
        <v>7.8860444685046975E-4</v>
      </c>
      <c r="AK154" s="111">
        <v>-5.803169088826009E-4</v>
      </c>
      <c r="AL154" s="111">
        <v>3.5188520286735808E-4</v>
      </c>
      <c r="AM154" s="111">
        <v>-1.5043262406099595E-4</v>
      </c>
      <c r="AN154" s="111">
        <v>1.3322010201990737E-6</v>
      </c>
      <c r="AO154" s="111">
        <v>8.4625103622562622E-5</v>
      </c>
      <c r="AP154" s="111">
        <v>-1.1437828135459397E-4</v>
      </c>
      <c r="AQ154" s="111">
        <v>9.8950641261583066E-5</v>
      </c>
      <c r="AR154" s="111">
        <v>-5.5822710167500349E-5</v>
      </c>
      <c r="AS154" s="111">
        <v>2.0106809514372345E-5</v>
      </c>
      <c r="AT154" s="111">
        <v>-5.191313146762221E-6</v>
      </c>
      <c r="AU154" s="111">
        <v>5.9579805301717413E-7</v>
      </c>
      <c r="AV154" s="111">
        <v>-4.0136115756747245E-8</v>
      </c>
      <c r="AW154" s="111">
        <v>1.1710734228104025E-9</v>
      </c>
    </row>
    <row r="155" spans="1:49" ht="9.75" customHeight="1">
      <c r="X155" s="111" t="s">
        <v>17</v>
      </c>
      <c r="Y155" s="111">
        <v>0.4199</v>
      </c>
      <c r="Z155" s="111">
        <v>1.054580597899848E-4</v>
      </c>
      <c r="AA155" s="111">
        <v>1.5814703003984784E-2</v>
      </c>
      <c r="AB155" s="111">
        <v>18</v>
      </c>
      <c r="AC155" s="111">
        <v>1.0561910620698456</v>
      </c>
      <c r="AD155" s="111">
        <v>-6.2483792853676397E-2</v>
      </c>
      <c r="AE155" s="111">
        <v>6.4369887435720176E-3</v>
      </c>
      <c r="AF155" s="111">
        <v>8.5380797721219218E-4</v>
      </c>
      <c r="AG155" s="111">
        <v>-1.957475247431876E-3</v>
      </c>
      <c r="AH155" s="111">
        <v>1.6540897072177638E-3</v>
      </c>
      <c r="AI155" s="111">
        <v>-1.0676526462125692E-3</v>
      </c>
      <c r="AJ155" s="111">
        <v>4.7319157686968801E-4</v>
      </c>
      <c r="AK155" s="111">
        <v>-2.1206266471438543E-5</v>
      </c>
      <c r="AL155" s="111">
        <v>-2.3527237339887792E-4</v>
      </c>
      <c r="AM155" s="111">
        <v>3.0052232073366571E-4</v>
      </c>
      <c r="AN155" s="111">
        <v>-2.2653859263893961E-4</v>
      </c>
      <c r="AO155" s="111">
        <v>9.5365420010153521E-5</v>
      </c>
      <c r="AP155" s="111">
        <v>2.2474547873904866E-5</v>
      </c>
      <c r="AQ155" s="111">
        <v>-8.1923803714738461E-5</v>
      </c>
      <c r="AR155" s="111">
        <v>7.1273067456783235E-5</v>
      </c>
      <c r="AS155" s="111">
        <v>-3.4264335198296179E-5</v>
      </c>
      <c r="AT155" s="111">
        <v>1.0719019904952613E-5</v>
      </c>
      <c r="AU155" s="111">
        <v>-1.4822972313441124E-6</v>
      </c>
      <c r="AV155" s="111">
        <v>1.1747996423646328E-7</v>
      </c>
      <c r="AW155" s="111">
        <v>-3.5146866249600329E-9</v>
      </c>
    </row>
    <row r="156" spans="1:49" ht="9.75" customHeight="1">
      <c r="A156" s="143" t="s">
        <v>45</v>
      </c>
      <c r="B156" s="143" t="s">
        <v>46</v>
      </c>
      <c r="X156" s="111" t="s">
        <v>19</v>
      </c>
      <c r="Y156" s="111">
        <v>0.27400000000000002</v>
      </c>
      <c r="Z156" s="111">
        <v>1.3630456167030102E-5</v>
      </c>
      <c r="AA156" s="111">
        <v>-5.6766025731139636E-3</v>
      </c>
      <c r="AB156" s="111">
        <v>17</v>
      </c>
      <c r="AC156" s="111">
        <v>1.0513766321136913</v>
      </c>
      <c r="AD156" s="111">
        <v>-5.4718676488038957E-2</v>
      </c>
      <c r="AE156" s="111">
        <v>1.8199529255335401E-3</v>
      </c>
      <c r="AF156" s="111">
        <v>3.2997919746581973E-3</v>
      </c>
      <c r="AG156" s="111">
        <v>-2.8378970961729735E-3</v>
      </c>
      <c r="AH156" s="111">
        <v>1.4416737937514872E-3</v>
      </c>
      <c r="AI156" s="111">
        <v>-2.9757557403861407E-4</v>
      </c>
      <c r="AJ156" s="111">
        <v>-3.7031391079553002E-4</v>
      </c>
      <c r="AK156" s="111">
        <v>5.4821402212585876E-4</v>
      </c>
      <c r="AL156" s="111">
        <v>-3.8295527165708911E-4</v>
      </c>
      <c r="AM156" s="111">
        <v>9.9788097164858855E-5</v>
      </c>
      <c r="AN156" s="111">
        <v>1.1009545101662957E-4</v>
      </c>
      <c r="AO156" s="111">
        <v>-1.6087218476024308E-4</v>
      </c>
      <c r="AP156" s="111">
        <v>8.3964475438213753E-5</v>
      </c>
      <c r="AQ156" s="111">
        <v>2.4782371632824325E-5</v>
      </c>
      <c r="AR156" s="111">
        <v>-7.059881962200322E-5</v>
      </c>
      <c r="AS156" s="111">
        <v>5.088349348635884E-5</v>
      </c>
      <c r="AT156" s="111">
        <v>-1.9975686667506416E-5</v>
      </c>
      <c r="AU156" s="111">
        <v>3.3959089700296352E-6</v>
      </c>
      <c r="AV156" s="111">
        <v>-3.2102961183889167E-7</v>
      </c>
      <c r="AW156" s="111">
        <v>1.1433895398362569E-8</v>
      </c>
    </row>
    <row r="157" spans="1:49" ht="9.75" customHeight="1">
      <c r="A157" s="143"/>
      <c r="B157" s="143"/>
      <c r="X157" s="111" t="s">
        <v>20</v>
      </c>
      <c r="Y157" s="111">
        <v>0.20469999999999999</v>
      </c>
      <c r="Z157" s="111">
        <v>3.6357125914495947E-6</v>
      </c>
      <c r="AA157" s="111">
        <v>-2.8378970961729735E-3</v>
      </c>
      <c r="AB157" s="111">
        <v>16</v>
      </c>
      <c r="AC157" s="111">
        <v>1.0460377768650626</v>
      </c>
      <c r="AD157" s="111">
        <v>-4.6285731829370153E-2</v>
      </c>
      <c r="AE157" s="111">
        <v>-2.6742270347047303E-3</v>
      </c>
      <c r="AF157" s="111">
        <v>4.9296368944626587E-3</v>
      </c>
      <c r="AG157" s="111">
        <v>-2.6426132699959876E-3</v>
      </c>
      <c r="AH157" s="111">
        <v>4.2892434160867582E-4</v>
      </c>
      <c r="AI157" s="111">
        <v>6.6462295303487012E-4</v>
      </c>
      <c r="AJ157" s="111">
        <v>-7.6634170711564222E-4</v>
      </c>
      <c r="AK157" s="111">
        <v>3.37050470741185E-4</v>
      </c>
      <c r="AL157" s="111">
        <v>1.1721113874493316E-4</v>
      </c>
      <c r="AM157" s="111">
        <v>-2.8676189823419976E-4</v>
      </c>
      <c r="AN157" s="111">
        <v>1.7233705494252912E-4</v>
      </c>
      <c r="AO157" s="111">
        <v>2.098123789924975E-5</v>
      </c>
      <c r="AP157" s="111">
        <v>-1.0479563208073658E-4</v>
      </c>
      <c r="AQ157" s="111">
        <v>4.5207130590774003E-5</v>
      </c>
      <c r="AR157" s="111">
        <v>4.1986958228112127E-5</v>
      </c>
      <c r="AS157" s="111">
        <v>-6.0923781645245009E-5</v>
      </c>
      <c r="AT157" s="111">
        <v>3.1735437685264205E-5</v>
      </c>
      <c r="AU157" s="111">
        <v>-6.8239547511791543E-6</v>
      </c>
      <c r="AV157" s="111">
        <v>7.8149323886712688E-7</v>
      </c>
      <c r="AW157" s="111">
        <v>-3.286834181740566E-8</v>
      </c>
    </row>
    <row r="158" spans="1:49" ht="9.75" customHeight="1">
      <c r="X158" s="111" t="s">
        <v>22</v>
      </c>
      <c r="Y158" s="111">
        <v>0.16350000000000001</v>
      </c>
      <c r="Z158" s="111">
        <v>1.2174002612312578E-6</v>
      </c>
      <c r="AA158" s="111">
        <v>1.6540897072177638E-3</v>
      </c>
      <c r="AB158" s="111">
        <v>15</v>
      </c>
      <c r="AC158" s="111">
        <v>1.0401051404796875</v>
      </c>
      <c r="AD158" s="111">
        <v>-3.7191343638658808E-2</v>
      </c>
      <c r="AE158" s="111">
        <v>-6.8150122681753461E-3</v>
      </c>
      <c r="AF158" s="111">
        <v>5.5433341284795807E-3</v>
      </c>
      <c r="AG158" s="111">
        <v>-1.5227438023417675E-3</v>
      </c>
      <c r="AH158" s="111">
        <v>-7.9504243515703674E-4</v>
      </c>
      <c r="AI158" s="111">
        <v>1.0836302278745043E-3</v>
      </c>
      <c r="AJ158" s="111">
        <v>-3.5341744646940243E-4</v>
      </c>
      <c r="AK158" s="111">
        <v>-3.1535791898322908E-4</v>
      </c>
      <c r="AL158" s="111">
        <v>4.1377023913236066E-4</v>
      </c>
      <c r="AM158" s="111">
        <v>-1.0853996392811029E-4</v>
      </c>
      <c r="AN158" s="111">
        <v>-1.5442140553361647E-4</v>
      </c>
      <c r="AO158" s="111">
        <v>1.4459397549496103E-4</v>
      </c>
      <c r="AP158" s="111">
        <v>1.1033825225223078E-5</v>
      </c>
      <c r="AQ158" s="111">
        <v>-7.6717904429923184E-5</v>
      </c>
      <c r="AR158" s="111">
        <v>9.2104008296433176E-6</v>
      </c>
      <c r="AS158" s="111">
        <v>5.3896334999211843E-5</v>
      </c>
      <c r="AT158" s="111">
        <v>-4.2567281170411709E-5</v>
      </c>
      <c r="AU158" s="111">
        <v>1.2203160323025007E-5</v>
      </c>
      <c r="AV158" s="111">
        <v>-1.7373813648328033E-6</v>
      </c>
      <c r="AW158" s="111">
        <v>8.8674167240379163E-8</v>
      </c>
    </row>
    <row r="159" spans="1:49" ht="9.75" customHeight="1">
      <c r="A159" s="143" t="s">
        <v>239</v>
      </c>
      <c r="B159" s="143"/>
      <c r="X159" s="111" t="s">
        <v>215</v>
      </c>
      <c r="Y159" s="111">
        <v>0.13700000000000001</v>
      </c>
      <c r="Z159" s="111">
        <v>5.0928206314209611E-7</v>
      </c>
      <c r="AA159" s="111">
        <v>1.0836302278745043E-3</v>
      </c>
      <c r="AB159" s="111">
        <v>14</v>
      </c>
      <c r="AC159" s="111">
        <v>1.0335383242786085</v>
      </c>
      <c r="AD159" s="111">
        <v>-2.7517763426042275E-2</v>
      </c>
      <c r="AE159" s="111">
        <v>-1.0330410199406986E-2</v>
      </c>
      <c r="AF159" s="111">
        <v>5.0641350085919492E-3</v>
      </c>
      <c r="AG159" s="111">
        <v>1.2042361616053046E-4</v>
      </c>
      <c r="AH159" s="111">
        <v>-1.5770217472621567E-3</v>
      </c>
      <c r="AI159" s="111">
        <v>6.6014443079088093E-4</v>
      </c>
      <c r="AJ159" s="111">
        <v>4.2087551757503277E-4</v>
      </c>
      <c r="AK159" s="111">
        <v>-5.469876871073237E-4</v>
      </c>
      <c r="AL159" s="111">
        <v>4.0268777022432096E-5</v>
      </c>
      <c r="AM159" s="111">
        <v>2.7665429128198441E-4</v>
      </c>
      <c r="AN159" s="111">
        <v>-1.344889572298689E-4</v>
      </c>
      <c r="AO159" s="111">
        <v>-9.9695316679116348E-5</v>
      </c>
      <c r="AP159" s="111">
        <v>9.452369794788379E-5</v>
      </c>
      <c r="AQ159" s="111">
        <v>4.1135048449448329E-5</v>
      </c>
      <c r="AR159" s="111">
        <v>-5.430201375623119E-5</v>
      </c>
      <c r="AS159" s="111">
        <v>-2.8548676283238315E-5</v>
      </c>
      <c r="AT159" s="111">
        <v>4.9609150945106551E-5</v>
      </c>
      <c r="AU159" s="111">
        <v>-2.0331082180857469E-5</v>
      </c>
      <c r="AV159" s="111">
        <v>3.6861305025644069E-6</v>
      </c>
      <c r="AW159" s="111">
        <v>-2.3084192741050866E-7</v>
      </c>
    </row>
    <row r="160" spans="1:49" ht="9.75" customHeight="1">
      <c r="A160" s="143"/>
      <c r="B160" s="143"/>
      <c r="X160" s="111" t="s">
        <v>216</v>
      </c>
      <c r="Y160" s="111">
        <v>0.1186</v>
      </c>
      <c r="Z160" s="111">
        <v>2.6073991573016585E-7</v>
      </c>
      <c r="AA160" s="111">
        <v>7.8860444685046975E-4</v>
      </c>
      <c r="AB160" s="111">
        <v>13</v>
      </c>
      <c r="AC160" s="111">
        <v>1.0264523512321282</v>
      </c>
      <c r="AD160" s="111">
        <v>-1.7599890414435337E-2</v>
      </c>
      <c r="AE160" s="111">
        <v>-1.289954028909765E-2</v>
      </c>
      <c r="AF160" s="111">
        <v>3.627731417178343E-3</v>
      </c>
      <c r="AG160" s="111">
        <v>1.6843843149169438E-3</v>
      </c>
      <c r="AH160" s="111">
        <v>-1.5026391806485079E-3</v>
      </c>
      <c r="AI160" s="111">
        <v>-2.5130814624212393E-4</v>
      </c>
      <c r="AJ160" s="111">
        <v>7.508056433345857E-4</v>
      </c>
      <c r="AK160" s="111">
        <v>-7.0807795788358117E-5</v>
      </c>
      <c r="AL160" s="111">
        <v>-3.8768565388756641E-4</v>
      </c>
      <c r="AM160" s="111">
        <v>1.3490922569025496E-4</v>
      </c>
      <c r="AN160" s="111">
        <v>1.7715247604184971E-4</v>
      </c>
      <c r="AO160" s="111">
        <v>-9.1099487192307008E-5</v>
      </c>
      <c r="AP160" s="111">
        <v>-8.5669819397003424E-5</v>
      </c>
      <c r="AQ160" s="111">
        <v>3.1268232149232461E-5</v>
      </c>
      <c r="AR160" s="111">
        <v>6.197167630176888E-5</v>
      </c>
      <c r="AS160" s="111">
        <v>-7.5366818343815529E-6</v>
      </c>
      <c r="AT160" s="111">
        <v>-4.9022148102587173E-5</v>
      </c>
      <c r="AU160" s="111">
        <v>3.1466930395496994E-5</v>
      </c>
      <c r="AV160" s="111">
        <v>-7.4168666945160605E-6</v>
      </c>
      <c r="AW160" s="111">
        <v>5.7533518230303309E-7</v>
      </c>
    </row>
    <row r="161" spans="24:49" ht="9.75" customHeight="1">
      <c r="X161" s="111" t="s">
        <v>217</v>
      </c>
      <c r="Y161" s="111">
        <v>0.1051</v>
      </c>
      <c r="Z161" s="111">
        <v>1.3998909914665201E-7</v>
      </c>
      <c r="AA161" s="111">
        <v>-5.803169088826009E-4</v>
      </c>
      <c r="AB161" s="111">
        <v>12</v>
      </c>
      <c r="AC161" s="111">
        <v>1.0190738529484074</v>
      </c>
      <c r="AD161" s="111">
        <v>-7.8941334459176789E-3</v>
      </c>
      <c r="AE161" s="111">
        <v>-1.4322425515012255E-2</v>
      </c>
      <c r="AF161" s="111">
        <v>1.6121658158094704E-3</v>
      </c>
      <c r="AG161" s="111">
        <v>2.6235836500141654E-3</v>
      </c>
      <c r="AH161" s="111">
        <v>-6.7728611186569252E-4</v>
      </c>
      <c r="AI161" s="111">
        <v>-9.3317750017619309E-4</v>
      </c>
      <c r="AJ161" s="111">
        <v>3.458625572257922E-4</v>
      </c>
      <c r="AK161" s="111">
        <v>4.6565904902690308E-4</v>
      </c>
      <c r="AL161" s="111">
        <v>-2.1588264119192099E-4</v>
      </c>
      <c r="AM161" s="111">
        <v>-2.3779968173371114E-4</v>
      </c>
      <c r="AN161" s="111">
        <v>1.0762873243775303E-4</v>
      </c>
      <c r="AO161" s="111">
        <v>1.3036452965753547E-4</v>
      </c>
      <c r="AP161" s="111">
        <v>-3.1882802057553481E-5</v>
      </c>
      <c r="AQ161" s="111">
        <v>-6.7803908740770745E-5</v>
      </c>
      <c r="AR161" s="111">
        <v>-2.0453002662201103E-5</v>
      </c>
      <c r="AS161" s="111">
        <v>3.7660116501907034E-5</v>
      </c>
      <c r="AT161" s="111">
        <v>3.3903359444481988E-5</v>
      </c>
      <c r="AU161" s="111">
        <v>-4.1817458874645248E-5</v>
      </c>
      <c r="AV161" s="111">
        <v>1.3277540932527436E-5</v>
      </c>
      <c r="AW161" s="111">
        <v>-1.2962312255111681E-6</v>
      </c>
    </row>
    <row r="162" spans="24:49" ht="9.75" customHeight="1">
      <c r="X162" s="111" t="s">
        <v>218</v>
      </c>
      <c r="Y162" s="111">
        <v>9.4899999999999998E-2</v>
      </c>
      <c r="Z162" s="111">
        <v>7.7138267763451099E-8</v>
      </c>
      <c r="AA162" s="111">
        <v>4.1377023913236066E-4</v>
      </c>
      <c r="AB162" s="111">
        <v>11</v>
      </c>
      <c r="AC162" s="111">
        <v>1.0113605241340402</v>
      </c>
      <c r="AD162" s="111">
        <v>1.5579648176754484E-3</v>
      </c>
      <c r="AE162" s="111">
        <v>-1.4610131974450102E-2</v>
      </c>
      <c r="AF162" s="111">
        <v>-6.1238912079214828E-4</v>
      </c>
      <c r="AG162" s="111">
        <v>2.7178244016365749E-3</v>
      </c>
      <c r="AH162" s="111">
        <v>4.4420728342580145E-4</v>
      </c>
      <c r="AI162" s="111">
        <v>-9.4629052101486962E-4</v>
      </c>
      <c r="AJ162" s="111">
        <v>-3.6228749577197153E-4</v>
      </c>
      <c r="AK162" s="111">
        <v>4.3844553051098424E-4</v>
      </c>
      <c r="AL162" s="111">
        <v>2.5842597362000754E-4</v>
      </c>
      <c r="AM162" s="111">
        <v>-1.9127185904250414E-4</v>
      </c>
      <c r="AN162" s="111">
        <v>-1.7241549491851471E-4</v>
      </c>
      <c r="AO162" s="111">
        <v>4.9776556232876801E-5</v>
      </c>
      <c r="AP162" s="111">
        <v>1.0019440716567322E-4</v>
      </c>
      <c r="AQ162" s="111">
        <v>2.4223426294836408E-5</v>
      </c>
      <c r="AR162" s="111">
        <v>-3.8684925329820204E-5</v>
      </c>
      <c r="AS162" s="111">
        <v>-4.064928712619877E-5</v>
      </c>
      <c r="AT162" s="111">
        <v>-3.5856490904348638E-6</v>
      </c>
      <c r="AU162" s="111">
        <v>4.4066820877835549E-5</v>
      </c>
      <c r="AV162" s="111">
        <v>-2.0563350092062768E-5</v>
      </c>
      <c r="AW162" s="111">
        <v>2.6163261485731273E-6</v>
      </c>
    </row>
    <row r="163" spans="24:49" ht="9.75" customHeight="1">
      <c r="X163" s="111" t="s">
        <v>219</v>
      </c>
      <c r="Y163" s="111">
        <v>8.6999999999999994E-2</v>
      </c>
      <c r="Z163" s="111">
        <v>4.0264133990019707E-8</v>
      </c>
      <c r="AA163" s="111">
        <v>3.0052232073366571E-4</v>
      </c>
      <c r="AB163" s="111">
        <v>10</v>
      </c>
      <c r="AC163" s="111">
        <v>1.0032607803558606</v>
      </c>
      <c r="AD163" s="111">
        <v>1.0713349676286087E-2</v>
      </c>
      <c r="AE163" s="111">
        <v>-1.3807095289656074E-2</v>
      </c>
      <c r="AF163" s="111">
        <v>-2.6891676738243189E-3</v>
      </c>
      <c r="AG163" s="111">
        <v>1.9896092050032291E-3</v>
      </c>
      <c r="AH163" s="111">
        <v>1.329304151954383E-3</v>
      </c>
      <c r="AI163" s="111">
        <v>-3.2076090685894543E-4</v>
      </c>
      <c r="AJ163" s="111">
        <v>-7.2980966330240648E-4</v>
      </c>
      <c r="AK163" s="111">
        <v>-8.8763518072126218E-5</v>
      </c>
      <c r="AL163" s="111">
        <v>3.5995836489645107E-4</v>
      </c>
      <c r="AM163" s="111">
        <v>1.7321871681045395E-4</v>
      </c>
      <c r="AN163" s="111">
        <v>-1.1265876772060966E-4</v>
      </c>
      <c r="AO163" s="111">
        <v>-1.3871292203723336E-4</v>
      </c>
      <c r="AP163" s="111">
        <v>-1.7623174116695471E-5</v>
      </c>
      <c r="AQ163" s="111">
        <v>4.8786619736398813E-5</v>
      </c>
      <c r="AR163" s="111">
        <v>5.6556246422960771E-5</v>
      </c>
      <c r="AS163" s="111">
        <v>1.1376004084646981E-5</v>
      </c>
      <c r="AT163" s="111">
        <v>-2.8118706106946155E-5</v>
      </c>
      <c r="AU163" s="111">
        <v>-3.3170379001135599E-5</v>
      </c>
      <c r="AV163" s="111">
        <v>2.7778999745567697E-5</v>
      </c>
      <c r="AW163" s="111">
        <v>-4.8373401042590549E-6</v>
      </c>
    </row>
    <row r="164" spans="24:49" ht="9.75" customHeight="1">
      <c r="X164" s="111" t="s">
        <v>220</v>
      </c>
      <c r="Y164" s="111">
        <v>8.0699999999999994E-2</v>
      </c>
      <c r="Z164" s="111">
        <v>2.0777718903310629E-8</v>
      </c>
      <c r="AA164" s="111">
        <v>2.3231895307717029E-4</v>
      </c>
      <c r="AB164" s="111">
        <v>9</v>
      </c>
      <c r="AC164" s="111">
        <v>0.99485883715383883</v>
      </c>
      <c r="AD164" s="111">
        <v>1.9375095866274845E-2</v>
      </c>
      <c r="AE164" s="111">
        <v>-1.2030997289420009E-2</v>
      </c>
      <c r="AF164" s="111">
        <v>-4.2678201967797699E-3</v>
      </c>
      <c r="AG164" s="111">
        <v>6.9879149988977718E-4</v>
      </c>
      <c r="AH164" s="111">
        <v>1.5761406033370309E-3</v>
      </c>
      <c r="AI164" s="111">
        <v>4.9774786890621628E-4</v>
      </c>
      <c r="AJ164" s="111">
        <v>-4.4992908762251543E-4</v>
      </c>
      <c r="AK164" s="111">
        <v>-5.0208974820528576E-4</v>
      </c>
      <c r="AL164" s="111">
        <v>-3.1691753461115357E-5</v>
      </c>
      <c r="AM164" s="111">
        <v>2.4705464038532655E-4</v>
      </c>
      <c r="AN164" s="111">
        <v>1.5721686859447871E-4</v>
      </c>
      <c r="AO164" s="111">
        <v>-2.4622802347034511E-5</v>
      </c>
      <c r="AP164" s="111">
        <v>-8.99433703727787E-5</v>
      </c>
      <c r="AQ164" s="111">
        <v>-5.5456918871025796E-5</v>
      </c>
      <c r="AR164" s="111">
        <v>-1.1555532845873195E-5</v>
      </c>
      <c r="AS164" s="111">
        <v>2.6956298281564762E-5</v>
      </c>
      <c r="AT164" s="111">
        <v>4.0517362262590577E-5</v>
      </c>
      <c r="AU164" s="111">
        <v>9.7127548524527541E-6</v>
      </c>
      <c r="AV164" s="111">
        <v>-3.2150574932759701E-5</v>
      </c>
      <c r="AW164" s="111">
        <v>8.1863582344444644E-6</v>
      </c>
    </row>
    <row r="165" spans="24:49" ht="9.75" customHeight="1">
      <c r="X165" s="111" t="s">
        <v>221</v>
      </c>
      <c r="Y165" s="111">
        <v>7.5700000000000003E-2</v>
      </c>
      <c r="Z165" s="111">
        <v>1.0647778757311195E-8</v>
      </c>
      <c r="AA165" s="111">
        <v>-1.793546312971815E-4</v>
      </c>
      <c r="AB165" s="111">
        <v>8</v>
      </c>
      <c r="AC165" s="111">
        <v>0.98603429046581281</v>
      </c>
      <c r="AD165" s="111">
        <v>2.7565728162136163E-2</v>
      </c>
      <c r="AE165" s="111">
        <v>-9.4027469839868903E-3</v>
      </c>
      <c r="AF165" s="111">
        <v>-5.1408174295393232E-3</v>
      </c>
      <c r="AG165" s="111">
        <v>-7.8435300757984051E-4</v>
      </c>
      <c r="AH165" s="111">
        <v>1.0993089204189739E-3</v>
      </c>
      <c r="AI165" s="111">
        <v>9.8775699625777485E-4</v>
      </c>
      <c r="AJ165" s="111">
        <v>2.176009505124213E-4</v>
      </c>
      <c r="AK165" s="111">
        <v>-3.5845417380509143E-4</v>
      </c>
      <c r="AL165" s="111">
        <v>-3.7810177084665521E-4</v>
      </c>
      <c r="AM165" s="111">
        <v>-7.6659226699056011E-5</v>
      </c>
      <c r="AN165" s="111">
        <v>1.3140090157368531E-4</v>
      </c>
      <c r="AO165" s="111">
        <v>1.4112302575713232E-4</v>
      </c>
      <c r="AP165" s="111">
        <v>5.2071038889373428E-5</v>
      </c>
      <c r="AQ165" s="111">
        <v>-1.4301807397870503E-5</v>
      </c>
      <c r="AR165" s="111">
        <v>-4.6607938120707889E-5</v>
      </c>
      <c r="AS165" s="111">
        <v>-3.9857576063708598E-5</v>
      </c>
      <c r="AT165" s="111">
        <v>-2.3644633562934171E-5</v>
      </c>
      <c r="AU165" s="111">
        <v>1.8005215403273226E-5</v>
      </c>
      <c r="AV165" s="111">
        <v>3.1195209725861266E-5</v>
      </c>
      <c r="AW165" s="111">
        <v>-1.2936338886356087E-5</v>
      </c>
    </row>
    <row r="166" spans="24:49" ht="9.75" customHeight="1">
      <c r="X166" s="111" t="s">
        <v>222</v>
      </c>
      <c r="Y166" s="111">
        <v>7.1599999999999997E-2</v>
      </c>
      <c r="Z166" s="111">
        <v>5.2172686021929907E-9</v>
      </c>
      <c r="AA166" s="111">
        <v>1.2695375708904081E-4</v>
      </c>
      <c r="AB166" s="111">
        <v>7</v>
      </c>
      <c r="AC166" s="111">
        <v>0.9767569285354466</v>
      </c>
      <c r="AD166" s="111">
        <v>3.5196184630671937E-2</v>
      </c>
      <c r="AE166" s="111">
        <v>-6.0954486446699804E-3</v>
      </c>
      <c r="AF166" s="111">
        <v>-5.1762442276291534E-3</v>
      </c>
      <c r="AG166" s="111">
        <v>-2.0354773694432541E-3</v>
      </c>
      <c r="AH166" s="111">
        <v>1.1842782261373246E-4</v>
      </c>
      <c r="AI166" s="111">
        <v>8.3652145069892556E-4</v>
      </c>
      <c r="AJ166" s="111">
        <v>6.9571561335766356E-4</v>
      </c>
      <c r="AK166" s="111">
        <v>1.8090163373094678E-4</v>
      </c>
      <c r="AL166" s="111">
        <v>-2.1381248931616164E-4</v>
      </c>
      <c r="AM166" s="111">
        <v>-2.7686492352802411E-4</v>
      </c>
      <c r="AN166" s="111">
        <v>-1.3999482130269176E-4</v>
      </c>
      <c r="AO166" s="111">
        <v>6.7538740499952214E-6</v>
      </c>
      <c r="AP166" s="111">
        <v>7.0200838843397154E-5</v>
      </c>
      <c r="AQ166" s="111">
        <v>6.418782235455579E-5</v>
      </c>
      <c r="AR166" s="111">
        <v>4.9780582681044888E-5</v>
      </c>
      <c r="AS166" s="111">
        <v>1.5006370956898774E-5</v>
      </c>
      <c r="AT166" s="111">
        <v>-1.0595683893380286E-5</v>
      </c>
      <c r="AU166" s="111">
        <v>-3.726550628933028E-5</v>
      </c>
      <c r="AV166" s="111">
        <v>-2.4660949596796911E-5</v>
      </c>
      <c r="AW166" s="111">
        <v>1.9755440263279311E-5</v>
      </c>
    </row>
    <row r="167" spans="24:49" ht="9.75" customHeight="1">
      <c r="X167" s="111" t="s">
        <v>223</v>
      </c>
      <c r="Y167" s="111">
        <v>6.83E-2</v>
      </c>
      <c r="Z167" s="111">
        <v>2.5710612614210089E-9</v>
      </c>
      <c r="AA167" s="111">
        <v>9.8950641261583066E-5</v>
      </c>
      <c r="AB167" s="111">
        <v>6</v>
      </c>
      <c r="AC167" s="111">
        <v>0.96710809260563146</v>
      </c>
      <c r="AD167" s="111">
        <v>4.2094781202387632E-2</v>
      </c>
      <c r="AE167" s="111">
        <v>-2.3697443285677763E-3</v>
      </c>
      <c r="AF167" s="111">
        <v>-4.373647253061724E-3</v>
      </c>
      <c r="AG167" s="111">
        <v>-2.6847227614021506E-3</v>
      </c>
      <c r="AH167" s="111">
        <v>-9.1083163360496436E-4</v>
      </c>
      <c r="AI167" s="111">
        <v>1.471441153865334E-4</v>
      </c>
      <c r="AJ167" s="111">
        <v>5.7060890016863419E-4</v>
      </c>
      <c r="AK167" s="111">
        <v>5.1890311109177177E-4</v>
      </c>
      <c r="AL167" s="111">
        <v>2.3596341611494421E-4</v>
      </c>
      <c r="AM167" s="111">
        <v>-3.335952722210847E-5</v>
      </c>
      <c r="AN167" s="111">
        <v>-1.499662603324206E-4</v>
      </c>
      <c r="AO167" s="111">
        <v>-1.4086200217180376E-4</v>
      </c>
      <c r="AP167" s="111">
        <v>-7.7622826103046426E-5</v>
      </c>
      <c r="AQ167" s="111">
        <v>-2.4069000863120125E-5</v>
      </c>
      <c r="AR167" s="111">
        <v>6.0641645588996742E-6</v>
      </c>
      <c r="AS167" s="111">
        <v>2.4001725632841265E-5</v>
      </c>
      <c r="AT167" s="111">
        <v>3.671881053409001E-5</v>
      </c>
      <c r="AU167" s="111">
        <v>3.848679455379856E-5</v>
      </c>
      <c r="AV167" s="111">
        <v>1.3448952822855906E-5</v>
      </c>
      <c r="AW167" s="111">
        <v>-2.9388205554276353E-5</v>
      </c>
    </row>
    <row r="168" spans="24:49" ht="9.75" customHeight="1">
      <c r="X168" s="111" t="s">
        <v>224</v>
      </c>
      <c r="Y168" s="111">
        <v>6.5699999999999995E-2</v>
      </c>
      <c r="Z168" s="111">
        <v>1.7481700367785808E-9</v>
      </c>
      <c r="AA168" s="111">
        <v>7.1273067456783235E-5</v>
      </c>
      <c r="AB168" s="111">
        <v>5</v>
      </c>
      <c r="AC168" s="111">
        <v>0.95736175839326854</v>
      </c>
      <c r="AD168" s="111">
        <v>4.8013223618813244E-2</v>
      </c>
      <c r="AE168" s="111">
        <v>1.4039171460218875E-3</v>
      </c>
      <c r="AF168" s="111">
        <v>-2.913906316486341E-3</v>
      </c>
      <c r="AG168" s="111">
        <v>-2.5572695311956222E-3</v>
      </c>
      <c r="AH168" s="111">
        <v>-1.5071218179152337E-3</v>
      </c>
      <c r="AI168" s="111">
        <v>-6.1012037837484515E-4</v>
      </c>
      <c r="AJ168" s="111">
        <v>-2.5747151993420033E-5</v>
      </c>
      <c r="AK168" s="111">
        <v>2.9691927219485198E-4</v>
      </c>
      <c r="AL168" s="111">
        <v>3.6422003648902947E-4</v>
      </c>
      <c r="AM168" s="111">
        <v>2.5357907498912909E-4</v>
      </c>
      <c r="AN168" s="111">
        <v>1.0905292817020351E-4</v>
      </c>
      <c r="AO168" s="111">
        <v>4.0816215723025796E-6</v>
      </c>
      <c r="AP168" s="111">
        <v>-4.3393743164973207E-5</v>
      </c>
      <c r="AQ168" s="111">
        <v>-4.908745285160398E-5</v>
      </c>
      <c r="AR168" s="111">
        <v>-5.2594848144631138E-5</v>
      </c>
      <c r="AS168" s="111">
        <v>-3.7603458617921626E-5</v>
      </c>
      <c r="AT168" s="111">
        <v>-3.261588163362333E-5</v>
      </c>
      <c r="AU168" s="111">
        <v>-1.8682109387134599E-5</v>
      </c>
      <c r="AV168" s="111">
        <v>9.6361008890285447E-7</v>
      </c>
      <c r="AW168" s="111">
        <v>4.042698815816291E-5</v>
      </c>
    </row>
    <row r="169" spans="24:49" ht="9.75" customHeight="1">
      <c r="X169" s="111" t="s">
        <v>225</v>
      </c>
      <c r="Y169" s="111">
        <v>6.3200000000000006E-2</v>
      </c>
      <c r="Z169" s="111">
        <v>9.2908872996924157E-10</v>
      </c>
      <c r="AA169" s="111">
        <v>-6.0923781645245009E-5</v>
      </c>
      <c r="AB169" s="111">
        <v>4</v>
      </c>
      <c r="AC169" s="111">
        <v>0.94761203818850581</v>
      </c>
      <c r="AD169" s="111">
        <v>5.2885542595141548E-2</v>
      </c>
      <c r="AE169" s="111">
        <v>4.9513064587679645E-3</v>
      </c>
      <c r="AF169" s="111">
        <v>-1.0739541793656302E-3</v>
      </c>
      <c r="AG169" s="111">
        <v>-1.7434488208711418E-3</v>
      </c>
      <c r="AH169" s="111">
        <v>-1.4459965365875673E-3</v>
      </c>
      <c r="AI169" s="111">
        <v>-9.7146157489941883E-4</v>
      </c>
      <c r="AJ169" s="111">
        <v>-5.7882510888516666E-4</v>
      </c>
      <c r="AK169" s="111">
        <v>-2.179372347711738E-4</v>
      </c>
      <c r="AL169" s="111">
        <v>3.3184832184937144E-5</v>
      </c>
      <c r="AM169" s="111">
        <v>1.5350252759216738E-4</v>
      </c>
      <c r="AN169" s="111">
        <v>1.7002443915278229E-4</v>
      </c>
      <c r="AO169" s="111">
        <v>1.3543409364397667E-4</v>
      </c>
      <c r="AP169" s="111">
        <v>8.460818866789229E-5</v>
      </c>
      <c r="AQ169" s="111">
        <v>4.4948017788898973E-5</v>
      </c>
      <c r="AR169" s="111">
        <v>2.7810300514931011E-5</v>
      </c>
      <c r="AS169" s="111">
        <v>9.0488260917905413E-6</v>
      </c>
      <c r="AT169" s="111">
        <v>-1.0349944814508994E-6</v>
      </c>
      <c r="AU169" s="111">
        <v>-1.2806787952984777E-5</v>
      </c>
      <c r="AV169" s="111">
        <v>-1.4429906624221566E-5</v>
      </c>
      <c r="AW169" s="111">
        <v>-4.7553323613042278E-5</v>
      </c>
    </row>
    <row r="170" spans="24:49" ht="9.75" customHeight="1">
      <c r="X170" s="111" t="s">
        <v>226</v>
      </c>
      <c r="Y170" s="111">
        <v>6.1100000000000002E-2</v>
      </c>
      <c r="Z170" s="111">
        <v>7.2550701280329486E-10</v>
      </c>
      <c r="AA170" s="111">
        <v>4.9609150945106551E-5</v>
      </c>
      <c r="AB170" s="111">
        <v>3</v>
      </c>
      <c r="AC170" s="111">
        <v>0.93800367117038641</v>
      </c>
      <c r="AD170" s="111">
        <v>5.6664421754206183E-2</v>
      </c>
      <c r="AE170" s="111">
        <v>8.0275316222163627E-3</v>
      </c>
      <c r="AF170" s="111">
        <v>8.2606169046947414E-4</v>
      </c>
      <c r="AG170" s="111">
        <v>-5.20857807340805E-4</v>
      </c>
      <c r="AH170" s="111">
        <v>-8.0937594056280536E-4</v>
      </c>
      <c r="AI170" s="111">
        <v>-7.6053931242612313E-4</v>
      </c>
      <c r="AJ170" s="111">
        <v>-6.6487452632381654E-4</v>
      </c>
      <c r="AK170" s="111">
        <v>-4.9629792111995465E-4</v>
      </c>
      <c r="AL170" s="111">
        <v>-3.211052849687196E-4</v>
      </c>
      <c r="AM170" s="111">
        <v>-1.5784992774127698E-4</v>
      </c>
      <c r="AN170" s="111">
        <v>-5.0548104601767086E-5</v>
      </c>
      <c r="AO170" s="111">
        <v>7.7912394564705184E-6</v>
      </c>
      <c r="AP170" s="111">
        <v>2.9858978206963607E-5</v>
      </c>
      <c r="AQ170" s="111">
        <v>3.1600876044614139E-5</v>
      </c>
      <c r="AR170" s="111">
        <v>3.5474776102826915E-5</v>
      </c>
      <c r="AS170" s="111">
        <v>2.9185523136405633E-5</v>
      </c>
      <c r="AT170" s="111">
        <v>3.1947563320569835E-5</v>
      </c>
      <c r="AU170" s="111">
        <v>3.2411400308082857E-5</v>
      </c>
      <c r="AV170" s="111">
        <v>1.9272802462779698E-5</v>
      </c>
      <c r="AW170" s="111">
        <v>4.2219428770281687E-5</v>
      </c>
    </row>
    <row r="171" spans="24:49" ht="9.75" customHeight="1">
      <c r="X171" s="111" t="s">
        <v>227</v>
      </c>
      <c r="Y171" s="111">
        <v>5.8700000000000002E-2</v>
      </c>
      <c r="Z171" s="111">
        <v>5.1223252636125016E-10</v>
      </c>
      <c r="AA171" s="111">
        <v>4.4066820877835549E-5</v>
      </c>
      <c r="AB171" s="111">
        <v>2</v>
      </c>
      <c r="AC171" s="111">
        <v>0.92887003104460664</v>
      </c>
      <c r="AD171" s="111">
        <v>5.9300544369174805E-2</v>
      </c>
      <c r="AE171" s="111">
        <v>1.0410124647801331E-2</v>
      </c>
      <c r="AF171" s="111">
        <v>2.4621162703693193E-3</v>
      </c>
      <c r="AG171" s="111">
        <v>7.2953472759632564E-4</v>
      </c>
      <c r="AH171" s="111">
        <v>7.4295925304275888E-5</v>
      </c>
      <c r="AI171" s="111">
        <v>-1.6658272903293168E-4</v>
      </c>
      <c r="AJ171" s="111">
        <v>-2.7897719128742131E-4</v>
      </c>
      <c r="AK171" s="111">
        <v>-3.1043401594259431E-4</v>
      </c>
      <c r="AL171" s="111">
        <v>-2.9714272371318483E-4</v>
      </c>
      <c r="AM171" s="111">
        <v>-2.3940236493220777E-4</v>
      </c>
      <c r="AN171" s="111">
        <v>-1.7748005051731563E-4</v>
      </c>
      <c r="AO171" s="111">
        <v>-1.2301524716428424E-4</v>
      </c>
      <c r="AP171" s="111">
        <v>-7.788085530701451E-5</v>
      </c>
      <c r="AQ171" s="111">
        <v>-4.7167114805255794E-5</v>
      </c>
      <c r="AR171" s="111">
        <v>-3.821871309503714E-5</v>
      </c>
      <c r="AS171" s="111">
        <v>-2.4170871938507647E-5</v>
      </c>
      <c r="AT171" s="111">
        <v>-2.1880956571080491E-5</v>
      </c>
      <c r="AU171" s="111">
        <v>-1.8296403770131359E-5</v>
      </c>
      <c r="AV171" s="111">
        <v>-9.1304127864973314E-6</v>
      </c>
      <c r="AW171" s="111">
        <v>-1.686733398886584E-5</v>
      </c>
    </row>
    <row r="172" spans="24:49" ht="9.75" customHeight="1">
      <c r="X172" s="111" t="s">
        <v>228</v>
      </c>
      <c r="Y172" s="111">
        <v>5.6399999999999999E-2</v>
      </c>
      <c r="Z172" s="111">
        <v>2.1548893054714889E-10</v>
      </c>
      <c r="AA172" s="111">
        <v>-3.2150574932759701E-5</v>
      </c>
      <c r="AB172" s="111">
        <v>1</v>
      </c>
      <c r="AC172" s="111">
        <v>0.91940732367850353</v>
      </c>
      <c r="AD172" s="111">
        <v>6.0742930059041259E-2</v>
      </c>
      <c r="AE172" s="111">
        <v>1.1969134694635302E-2</v>
      </c>
      <c r="AF172" s="111">
        <v>3.6332175820685793E-3</v>
      </c>
      <c r="AG172" s="111">
        <v>1.735357136512554E-3</v>
      </c>
      <c r="AH172" s="111">
        <v>9.1144045082142968E-4</v>
      </c>
      <c r="AI172" s="111">
        <v>5.4287920806520506E-4</v>
      </c>
      <c r="AJ172" s="111">
        <v>3.7112105894464796E-4</v>
      </c>
      <c r="AK172" s="111">
        <v>2.5339003171068923E-4</v>
      </c>
      <c r="AL172" s="111">
        <v>1.7122706282435011E-4</v>
      </c>
      <c r="AM172" s="111">
        <v>1.0634752606779665E-4</v>
      </c>
      <c r="AN172" s="111">
        <v>6.3758334856352738E-5</v>
      </c>
      <c r="AO172" s="111">
        <v>3.7215354367109186E-5</v>
      </c>
      <c r="AP172" s="111">
        <v>2.0386451834891504E-5</v>
      </c>
      <c r="AQ172" s="111">
        <v>1.1018923649719004E-5</v>
      </c>
      <c r="AR172" s="111">
        <v>8.1028520022292623E-6</v>
      </c>
      <c r="AS172" s="111">
        <v>4.6612870642069677E-6</v>
      </c>
      <c r="AT172" s="111">
        <v>3.8938988370690434E-6</v>
      </c>
      <c r="AU172" s="111">
        <v>2.9721736355863584E-6</v>
      </c>
      <c r="AV172" s="111">
        <v>1.3534466694717012E-6</v>
      </c>
      <c r="AW172" s="111">
        <v>2.2687878874247815E-6</v>
      </c>
    </row>
    <row r="173" spans="24:49" ht="9.75" customHeight="1">
      <c r="X173" s="111" t="s">
        <v>229</v>
      </c>
      <c r="Y173" s="111">
        <v>5.4100000000000002E-2</v>
      </c>
      <c r="Z173" s="111">
        <v>3.3179521785240327E-10</v>
      </c>
      <c r="AA173" s="111">
        <v>-4.7553323613042278E-5</v>
      </c>
      <c r="AB173" s="111">
        <v>0</v>
      </c>
      <c r="AC173" s="111">
        <v>0</v>
      </c>
      <c r="AD173" s="111">
        <v>0</v>
      </c>
      <c r="AE173" s="111">
        <v>0</v>
      </c>
      <c r="AF173" s="111">
        <v>0</v>
      </c>
      <c r="AG173" s="111">
        <v>0</v>
      </c>
      <c r="AH173" s="111">
        <v>0</v>
      </c>
      <c r="AI173" s="111">
        <v>0</v>
      </c>
      <c r="AJ173" s="111">
        <v>0</v>
      </c>
      <c r="AK173" s="111">
        <v>0</v>
      </c>
      <c r="AL173" s="111">
        <v>0</v>
      </c>
      <c r="AM173" s="111">
        <v>0</v>
      </c>
      <c r="AN173" s="111">
        <v>0</v>
      </c>
      <c r="AO173" s="111">
        <v>0</v>
      </c>
      <c r="AP173" s="111">
        <v>0</v>
      </c>
      <c r="AQ173" s="111">
        <v>0</v>
      </c>
      <c r="AR173" s="111">
        <v>0</v>
      </c>
      <c r="AS173" s="111">
        <v>0</v>
      </c>
      <c r="AT173" s="111">
        <v>0</v>
      </c>
      <c r="AU173" s="111">
        <v>0</v>
      </c>
      <c r="AV173" s="111">
        <v>0</v>
      </c>
      <c r="AW173" s="111">
        <v>0</v>
      </c>
    </row>
    <row r="174" spans="24:49" ht="9.75" customHeight="1">
      <c r="X174" s="111" t="s">
        <v>252</v>
      </c>
      <c r="AB174" s="111">
        <v>21</v>
      </c>
      <c r="AC174" s="111">
        <v>1.0455398833411578</v>
      </c>
      <c r="AD174" s="111">
        <v>-5.4289896143863793E-2</v>
      </c>
      <c r="AE174" s="111">
        <v>1.1692082971166289E-2</v>
      </c>
      <c r="AF174" s="111">
        <v>-4.3330919419207088E-3</v>
      </c>
      <c r="AG174" s="111">
        <v>2.134486347542076E-3</v>
      </c>
      <c r="AH174" s="111">
        <v>-1.2053406150192879E-3</v>
      </c>
      <c r="AI174" s="111">
        <v>7.6705929563753372E-4</v>
      </c>
      <c r="AJ174" s="111">
        <v>-5.1562527746021813E-4</v>
      </c>
      <c r="AK174" s="111">
        <v>3.5442686138107261E-4</v>
      </c>
      <c r="AL174" s="111">
        <v>-2.4306331281315129E-4</v>
      </c>
      <c r="AM174" s="111">
        <v>1.6564253456724447E-4</v>
      </c>
      <c r="AN174" s="111">
        <v>-1.0798452883193274E-4</v>
      </c>
      <c r="AO174" s="111">
        <v>6.6897271655302711E-5</v>
      </c>
      <c r="AP174" s="111">
        <v>-4.0549201543546169E-5</v>
      </c>
      <c r="AQ174" s="111">
        <v>2.1942826936010577E-5</v>
      </c>
      <c r="AR174" s="111">
        <v>-8.8490320752856592E-6</v>
      </c>
      <c r="AS174" s="111">
        <v>2.4589271090542294E-6</v>
      </c>
      <c r="AT174" s="111">
        <v>-5.2362940361429338E-7</v>
      </c>
      <c r="AU174" s="111">
        <v>4.4984475539390624E-8</v>
      </c>
      <c r="AV174" s="111">
        <v>-2.5488306855411037E-9</v>
      </c>
      <c r="AW174" s="111">
        <v>8.7013461410782569E-10</v>
      </c>
    </row>
    <row r="175" spans="24:49" ht="9.75" customHeight="1">
      <c r="X175" s="111" t="s">
        <v>13</v>
      </c>
      <c r="Y175" s="111">
        <v>5.3188000000000004</v>
      </c>
      <c r="Z175" s="111">
        <v>0.99872533957033949</v>
      </c>
      <c r="AA175" s="111">
        <v>1.0455398833411578</v>
      </c>
      <c r="AB175" s="111">
        <v>20</v>
      </c>
      <c r="AC175" s="111">
        <v>1.0442667782370032</v>
      </c>
      <c r="AD175" s="111">
        <v>-5.2260490342962818E-2</v>
      </c>
      <c r="AE175" s="111">
        <v>1.0382326200338835E-2</v>
      </c>
      <c r="AF175" s="111">
        <v>-3.2902695529243172E-3</v>
      </c>
      <c r="AG175" s="111">
        <v>1.2329353725103972E-3</v>
      </c>
      <c r="AH175" s="111">
        <v>-4.1883188027937575E-4</v>
      </c>
      <c r="AI175" s="111">
        <v>5.8587119750055534E-5</v>
      </c>
      <c r="AJ175" s="111">
        <v>1.1728348475332958E-4</v>
      </c>
      <c r="AK175" s="111">
        <v>-1.9770152814958564E-4</v>
      </c>
      <c r="AL175" s="111">
        <v>2.2049145260865418E-4</v>
      </c>
      <c r="AM175" s="111">
        <v>-2.100589823395492E-4</v>
      </c>
      <c r="AN175" s="111">
        <v>1.7588523218738819E-4</v>
      </c>
      <c r="AO175" s="111">
        <v>-1.335742628948502E-4</v>
      </c>
      <c r="AP175" s="111">
        <v>9.5374538867606473E-5</v>
      </c>
      <c r="AQ175" s="111">
        <v>-5.8675720343106639E-5</v>
      </c>
      <c r="AR175" s="111">
        <v>2.635326944042078E-5</v>
      </c>
      <c r="AS175" s="111">
        <v>-8.1371008714089787E-6</v>
      </c>
      <c r="AT175" s="111">
        <v>1.8974216230953196E-6</v>
      </c>
      <c r="AU175" s="111">
        <v>-1.8194032080820511E-7</v>
      </c>
      <c r="AV175" s="111">
        <v>9.4151035885685312E-9</v>
      </c>
      <c r="AW175" s="111">
        <v>-4.3310155235202946E-10</v>
      </c>
    </row>
    <row r="176" spans="24:49" ht="9.75" customHeight="1">
      <c r="X176" s="111" t="s">
        <v>15</v>
      </c>
      <c r="Y176" s="111">
        <v>0.86009999999999998</v>
      </c>
      <c r="Z176" s="111">
        <v>1.2055903407723007E-3</v>
      </c>
      <c r="AA176" s="111">
        <v>-5.4289896143863793E-2</v>
      </c>
      <c r="AB176" s="111">
        <v>19</v>
      </c>
      <c r="AC176" s="111">
        <v>1.0423627856453683</v>
      </c>
      <c r="AD176" s="111">
        <v>-4.9024304902904346E-2</v>
      </c>
      <c r="AE176" s="111">
        <v>8.0660353946654662E-3</v>
      </c>
      <c r="AF176" s="111">
        <v>-1.5110434953376349E-3</v>
      </c>
      <c r="AG176" s="111">
        <v>-1.5921265289488509E-4</v>
      </c>
      <c r="AH176" s="111">
        <v>6.2504081475829045E-4</v>
      </c>
      <c r="AI176" s="111">
        <v>-6.9522660161810252E-4</v>
      </c>
      <c r="AJ176" s="111">
        <v>6.0230994519692375E-4</v>
      </c>
      <c r="AK176" s="111">
        <v>-4.4173918434674302E-4</v>
      </c>
      <c r="AL176" s="111">
        <v>2.6571145270342576E-4</v>
      </c>
      <c r="AM176" s="111">
        <v>-1.1290802430582402E-4</v>
      </c>
      <c r="AN176" s="111">
        <v>1.1294936595703974E-6</v>
      </c>
      <c r="AO176" s="111">
        <v>6.2825582001639694E-5</v>
      </c>
      <c r="AP176" s="111">
        <v>-8.5508850644224773E-5</v>
      </c>
      <c r="AQ176" s="111">
        <v>7.4265932677846719E-5</v>
      </c>
      <c r="AR176" s="111">
        <v>-4.2233774004600803E-5</v>
      </c>
      <c r="AS176" s="111">
        <v>1.5921677698104583E-5</v>
      </c>
      <c r="AT176" s="111">
        <v>-4.3040612557009127E-6</v>
      </c>
      <c r="AU176" s="111">
        <v>4.8355801716904658E-7</v>
      </c>
      <c r="AV176" s="111">
        <v>-2.8772911930298338E-8</v>
      </c>
      <c r="AW176" s="111">
        <v>8.2347906769571783E-10</v>
      </c>
    </row>
    <row r="177" spans="24:49" ht="9.75" customHeight="1">
      <c r="X177" s="111" t="s">
        <v>17</v>
      </c>
      <c r="Y177" s="111">
        <v>0.41959999999999997</v>
      </c>
      <c r="Z177" s="111">
        <v>5.7751260699437918E-5</v>
      </c>
      <c r="AA177" s="111">
        <v>1.1692082971166289E-2</v>
      </c>
      <c r="AB177" s="111">
        <v>18</v>
      </c>
      <c r="AC177" s="111">
        <v>1.0398610283604026</v>
      </c>
      <c r="AD177" s="111">
        <v>-4.4717112761040061E-2</v>
      </c>
      <c r="AE177" s="111">
        <v>5.018493551013508E-3</v>
      </c>
      <c r="AF177" s="111">
        <v>5.6863160660876127E-4</v>
      </c>
      <c r="AG177" s="111">
        <v>-1.4596380259099145E-3</v>
      </c>
      <c r="AH177" s="111">
        <v>1.258660984705862E-3</v>
      </c>
      <c r="AI177" s="111">
        <v>-8.1815559275845255E-4</v>
      </c>
      <c r="AJ177" s="111">
        <v>3.6657870129203757E-4</v>
      </c>
      <c r="AK177" s="111">
        <v>-1.8527727856977859E-5</v>
      </c>
      <c r="AL177" s="111">
        <v>-1.7865365772538639E-4</v>
      </c>
      <c r="AM177" s="111">
        <v>2.2955890797910004E-4</v>
      </c>
      <c r="AN177" s="111">
        <v>-1.7312444373902654E-4</v>
      </c>
      <c r="AO177" s="111">
        <v>7.3350079005652248E-5</v>
      </c>
      <c r="AP177" s="111">
        <v>1.438154056338681E-5</v>
      </c>
      <c r="AQ177" s="111">
        <v>-5.9372745249842401E-5</v>
      </c>
      <c r="AR177" s="111">
        <v>5.3029389679689406E-5</v>
      </c>
      <c r="AS177" s="111">
        <v>-2.676331520303398E-5</v>
      </c>
      <c r="AT177" s="111">
        <v>8.7376362742939044E-6</v>
      </c>
      <c r="AU177" s="111">
        <v>-1.1835451938860294E-6</v>
      </c>
      <c r="AV177" s="111">
        <v>8.359151689036746E-8</v>
      </c>
      <c r="AW177" s="111">
        <v>-2.5343652234540672E-9</v>
      </c>
    </row>
    <row r="178" spans="24:49" ht="9.75" customHeight="1">
      <c r="X178" s="111" t="s">
        <v>19</v>
      </c>
      <c r="Y178" s="111">
        <v>0.27589999999999998</v>
      </c>
      <c r="Z178" s="111">
        <v>7.8663895851136985E-6</v>
      </c>
      <c r="AA178" s="111">
        <v>-4.3330919419207088E-3</v>
      </c>
      <c r="AB178" s="111">
        <v>17</v>
      </c>
      <c r="AC178" s="111">
        <v>1.0368335515892857</v>
      </c>
      <c r="AD178" s="111">
        <v>-3.9564274487708065E-2</v>
      </c>
      <c r="AE178" s="111">
        <v>1.620137519925332E-3</v>
      </c>
      <c r="AF178" s="111">
        <v>2.4463801215361207E-3</v>
      </c>
      <c r="AG178" s="111">
        <v>-2.1509751933883651E-3</v>
      </c>
      <c r="AH178" s="111">
        <v>1.1138664773676281E-3</v>
      </c>
      <c r="AI178" s="111">
        <v>-2.3896160262628212E-4</v>
      </c>
      <c r="AJ178" s="111">
        <v>-2.7680771922207584E-4</v>
      </c>
      <c r="AK178" s="111">
        <v>4.1552526914706816E-4</v>
      </c>
      <c r="AL178" s="111">
        <v>-2.9020368304303484E-4</v>
      </c>
      <c r="AM178" s="111">
        <v>7.5627424852656053E-5</v>
      </c>
      <c r="AN178" s="111">
        <v>8.2338221769866614E-5</v>
      </c>
      <c r="AO178" s="111">
        <v>-1.2103927842262788E-4</v>
      </c>
      <c r="AP178" s="111">
        <v>6.5620096006558537E-5</v>
      </c>
      <c r="AQ178" s="111">
        <v>1.5120068905163975E-5</v>
      </c>
      <c r="AR178" s="111">
        <v>-5.1654027088976282E-5</v>
      </c>
      <c r="AS178" s="111">
        <v>3.9358967084521999E-5</v>
      </c>
      <c r="AT178" s="111">
        <v>-1.606574107606759E-5</v>
      </c>
      <c r="AU178" s="111">
        <v>2.675009516593131E-6</v>
      </c>
      <c r="AV178" s="111">
        <v>-2.27249666620875E-7</v>
      </c>
      <c r="AW178" s="111">
        <v>8.2168454923141393E-9</v>
      </c>
    </row>
    <row r="179" spans="24:49" ht="9.75" customHeight="1">
      <c r="X179" s="111" t="s">
        <v>20</v>
      </c>
      <c r="Y179" s="111">
        <v>0.2064</v>
      </c>
      <c r="Z179" s="111">
        <v>2.1126690271966557E-6</v>
      </c>
      <c r="AA179" s="111">
        <v>-2.1509751933883651E-3</v>
      </c>
      <c r="AB179" s="111">
        <v>16</v>
      </c>
      <c r="AC179" s="111">
        <v>1.0334236997643023</v>
      </c>
      <c r="AD179" s="111">
        <v>-3.3918973793557294E-2</v>
      </c>
      <c r="AE179" s="111">
        <v>-1.682470652863444E-3</v>
      </c>
      <c r="AF179" s="111">
        <v>3.7033932752129277E-3</v>
      </c>
      <c r="AG179" s="111">
        <v>-2.0272040708502171E-3</v>
      </c>
      <c r="AH179" s="111">
        <v>3.5858195985530148E-4</v>
      </c>
      <c r="AI179" s="111">
        <v>4.8898122832534017E-4</v>
      </c>
      <c r="AJ179" s="111">
        <v>-5.8268095965200806E-4</v>
      </c>
      <c r="AK179" s="111">
        <v>2.616372855978287E-4</v>
      </c>
      <c r="AL179" s="111">
        <v>8.3557027253302045E-5</v>
      </c>
      <c r="AM179" s="111">
        <v>-2.1563627536323656E-4</v>
      </c>
      <c r="AN179" s="111">
        <v>1.3273229979053172E-4</v>
      </c>
      <c r="AO179" s="111">
        <v>1.2055644218093847E-5</v>
      </c>
      <c r="AP179" s="111">
        <v>-7.7106753358272185E-5</v>
      </c>
      <c r="AQ179" s="111">
        <v>3.6295700443069523E-5</v>
      </c>
      <c r="AR179" s="111">
        <v>2.8848468631230703E-5</v>
      </c>
      <c r="AS179" s="111">
        <v>-4.5746232504533732E-5</v>
      </c>
      <c r="AT179" s="111">
        <v>2.473502682983743E-5</v>
      </c>
      <c r="AU179" s="111">
        <v>-5.2182243285621923E-6</v>
      </c>
      <c r="AV179" s="111">
        <v>5.4248542585040293E-7</v>
      </c>
      <c r="AW179" s="111">
        <v>-2.3203407178739119E-8</v>
      </c>
    </row>
    <row r="180" spans="24:49" ht="9.75" customHeight="1">
      <c r="X180" s="111" t="s">
        <v>22</v>
      </c>
      <c r="Y180" s="111">
        <v>0.16500000000000001</v>
      </c>
      <c r="Z180" s="111">
        <v>7.1468498594654139E-7</v>
      </c>
      <c r="AA180" s="111">
        <v>1.258660984705862E-3</v>
      </c>
      <c r="AB180" s="111">
        <v>15</v>
      </c>
      <c r="AC180" s="111">
        <v>1.0294958071486524</v>
      </c>
      <c r="AD180" s="111">
        <v>-2.7639686554529488E-2</v>
      </c>
      <c r="AE180" s="111">
        <v>-4.8047765386518828E-3</v>
      </c>
      <c r="AF180" s="111">
        <v>4.2129827611361416E-3</v>
      </c>
      <c r="AG180" s="111">
        <v>-1.1869682213336528E-3</v>
      </c>
      <c r="AH180" s="111">
        <v>-5.8881347519686589E-4</v>
      </c>
      <c r="AI180" s="111">
        <v>8.2682432076368491E-4</v>
      </c>
      <c r="AJ180" s="111">
        <v>-2.7605006209079281E-4</v>
      </c>
      <c r="AK180" s="111">
        <v>-2.386630158497275E-4</v>
      </c>
      <c r="AL180" s="111">
        <v>3.1763482217847208E-4</v>
      </c>
      <c r="AM180" s="111">
        <v>-8.5601504212581974E-5</v>
      </c>
      <c r="AN180" s="111">
        <v>-1.1643580150339832E-4</v>
      </c>
      <c r="AO180" s="111">
        <v>1.1303956538545045E-4</v>
      </c>
      <c r="AP180" s="111">
        <v>3.1400956599227402E-6</v>
      </c>
      <c r="AQ180" s="111">
        <v>-5.7136124652044969E-5</v>
      </c>
      <c r="AR180" s="111">
        <v>1.0185137705854898E-5</v>
      </c>
      <c r="AS180" s="111">
        <v>3.8785798057326023E-5</v>
      </c>
      <c r="AT180" s="111">
        <v>-3.228900344066016E-5</v>
      </c>
      <c r="AU180" s="111">
        <v>9.1585461516057902E-6</v>
      </c>
      <c r="AV180" s="111">
        <v>-1.200310256026237E-6</v>
      </c>
      <c r="AW180" s="111">
        <v>6.2416027980968033E-8</v>
      </c>
    </row>
    <row r="181" spans="24:49" ht="9.75" customHeight="1">
      <c r="X181" s="111" t="s">
        <v>215</v>
      </c>
      <c r="Y181" s="111">
        <v>0.1384</v>
      </c>
      <c r="Z181" s="111">
        <v>2.9927587124229708E-7</v>
      </c>
      <c r="AA181" s="111">
        <v>8.2682432076368491E-4</v>
      </c>
      <c r="AB181" s="111">
        <v>14</v>
      </c>
      <c r="AC181" s="111">
        <v>1.0250962456730008</v>
      </c>
      <c r="AD181" s="111">
        <v>-2.0920087952096777E-2</v>
      </c>
      <c r="AE181" s="111">
        <v>-7.4613815087016229E-3</v>
      </c>
      <c r="AF181" s="111">
        <v>3.8908734658958098E-3</v>
      </c>
      <c r="AG181" s="111">
        <v>5.2164366090048722E-5</v>
      </c>
      <c r="AH181" s="111">
        <v>-1.2008311810867102E-3</v>
      </c>
      <c r="AI181" s="111">
        <v>5.2073675985147649E-4</v>
      </c>
      <c r="AJ181" s="111">
        <v>3.0920620938833921E-4</v>
      </c>
      <c r="AK181" s="111">
        <v>-4.1825372857884775E-4</v>
      </c>
      <c r="AL181" s="111">
        <v>3.8366111000882475E-5</v>
      </c>
      <c r="AM181" s="111">
        <v>2.056538053329916E-4</v>
      </c>
      <c r="AN181" s="111">
        <v>-1.0353500846710552E-4</v>
      </c>
      <c r="AO181" s="111">
        <v>-7.3263075342785863E-5</v>
      </c>
      <c r="AP181" s="111">
        <v>7.312217989921332E-5</v>
      </c>
      <c r="AQ181" s="111">
        <v>2.8103680655217249E-5</v>
      </c>
      <c r="AR181" s="111">
        <v>-4.2332416576427556E-5</v>
      </c>
      <c r="AS181" s="111">
        <v>-1.8874223003025828E-5</v>
      </c>
      <c r="AT181" s="111">
        <v>3.6722590476221411E-5</v>
      </c>
      <c r="AU181" s="111">
        <v>-1.501005056156991E-5</v>
      </c>
      <c r="AV181" s="111">
        <v>2.5362496887932004E-6</v>
      </c>
      <c r="AW181" s="111">
        <v>-1.6194686541664701E-7</v>
      </c>
    </row>
    <row r="182" spans="24:49" ht="9.75" customHeight="1">
      <c r="X182" s="111" t="s">
        <v>216</v>
      </c>
      <c r="Y182" s="111">
        <v>0.1198</v>
      </c>
      <c r="Z182" s="111">
        <v>1.5048166010300717E-7</v>
      </c>
      <c r="AA182" s="111">
        <v>6.0230994519692375E-4</v>
      </c>
      <c r="AB182" s="111">
        <v>13</v>
      </c>
      <c r="AC182" s="111">
        <v>1.0202463806934261</v>
      </c>
      <c r="AD182" s="111">
        <v>-1.3912067309253751E-2</v>
      </c>
      <c r="AE182" s="111">
        <v>-9.4465107780303571E-3</v>
      </c>
      <c r="AF182" s="111">
        <v>2.826609213398864E-3</v>
      </c>
      <c r="AG182" s="111">
        <v>1.2535463960077875E-3</v>
      </c>
      <c r="AH182" s="111">
        <v>-1.1620082131260753E-3</v>
      </c>
      <c r="AI182" s="111">
        <v>-1.7523929143536287E-4</v>
      </c>
      <c r="AJ182" s="111">
        <v>5.7146820931780918E-4</v>
      </c>
      <c r="AK182" s="111">
        <v>-5.7086431779200937E-5</v>
      </c>
      <c r="AL182" s="111">
        <v>-2.9681020637232358E-4</v>
      </c>
      <c r="AM182" s="111">
        <v>1.0622698990560757E-4</v>
      </c>
      <c r="AN182" s="111">
        <v>1.3453571707832182E-4</v>
      </c>
      <c r="AO182" s="111">
        <v>-7.4417697812728027E-5</v>
      </c>
      <c r="AP182" s="111">
        <v>-6.1315224580808694E-5</v>
      </c>
      <c r="AQ182" s="111">
        <v>2.6291548811969983E-5</v>
      </c>
      <c r="AR182" s="111">
        <v>4.5651507193809826E-5</v>
      </c>
      <c r="AS182" s="111">
        <v>-8.2210999574453984E-6</v>
      </c>
      <c r="AT182" s="111">
        <v>-3.5269934515764202E-5</v>
      </c>
      <c r="AU182" s="111">
        <v>2.2942667386789263E-5</v>
      </c>
      <c r="AV182" s="111">
        <v>-5.1115551601216393E-6</v>
      </c>
      <c r="AW182" s="111">
        <v>4.0479949721903917E-7</v>
      </c>
    </row>
    <row r="183" spans="24:49" ht="9.75" customHeight="1">
      <c r="X183" s="111" t="s">
        <v>217</v>
      </c>
      <c r="Y183" s="111">
        <v>0.10630000000000001</v>
      </c>
      <c r="Z183" s="111">
        <v>8.1951780176706995E-8</v>
      </c>
      <c r="AA183" s="111">
        <v>-4.4173918434674302E-4</v>
      </c>
      <c r="AB183" s="111">
        <v>12</v>
      </c>
      <c r="AC183" s="111">
        <v>1.0151177647668093</v>
      </c>
      <c r="AD183" s="111">
        <v>-6.9737157910481967E-3</v>
      </c>
      <c r="AE183" s="111">
        <v>-1.0584755267192993E-2</v>
      </c>
      <c r="AF183" s="111">
        <v>1.2963030849388439E-3</v>
      </c>
      <c r="AG183" s="111">
        <v>1.9900345109476335E-3</v>
      </c>
      <c r="AH183" s="111">
        <v>-5.3469641668853598E-4</v>
      </c>
      <c r="AI183" s="111">
        <v>-7.1096444970355805E-4</v>
      </c>
      <c r="AJ183" s="111">
        <v>2.7043481146358817E-4</v>
      </c>
      <c r="AK183" s="111">
        <v>3.566852127550141E-4</v>
      </c>
      <c r="AL183" s="111">
        <v>-1.7057611375799849E-4</v>
      </c>
      <c r="AM183" s="111">
        <v>-1.7813754818573179E-4</v>
      </c>
      <c r="AN183" s="111">
        <v>8.2265444687978158E-5</v>
      </c>
      <c r="AO183" s="111">
        <v>1.0048378331150335E-4</v>
      </c>
      <c r="AP183" s="111">
        <v>-2.7074233528556544E-5</v>
      </c>
      <c r="AQ183" s="111">
        <v>-5.1691849391615383E-5</v>
      </c>
      <c r="AR183" s="111">
        <v>-1.3936523826108773E-5</v>
      </c>
      <c r="AS183" s="111">
        <v>2.9846451682630261E-5</v>
      </c>
      <c r="AT183" s="111">
        <v>2.4058755480588653E-5</v>
      </c>
      <c r="AU183" s="111">
        <v>-3.0729689175706632E-5</v>
      </c>
      <c r="AV183" s="111">
        <v>9.3298681809427439E-6</v>
      </c>
      <c r="AW183" s="111">
        <v>-9.288077578114675E-7</v>
      </c>
    </row>
    <row r="184" spans="24:49" ht="9.75" customHeight="1">
      <c r="X184" s="111" t="s">
        <v>218</v>
      </c>
      <c r="Y184" s="111">
        <v>9.6000000000000002E-2</v>
      </c>
      <c r="Z184" s="111">
        <v>4.5346134438347687E-8</v>
      </c>
      <c r="AA184" s="111">
        <v>3.1763482217847208E-4</v>
      </c>
      <c r="AB184" s="111">
        <v>11</v>
      </c>
      <c r="AC184" s="111">
        <v>1.0097064251424837</v>
      </c>
      <c r="AD184" s="111">
        <v>-1.8280999097715087E-4</v>
      </c>
      <c r="AE184" s="111">
        <v>-1.0867865086309681E-2</v>
      </c>
      <c r="AF184" s="111">
        <v>-4.0429050106440516E-4</v>
      </c>
      <c r="AG184" s="111">
        <v>2.0763638131816782E-3</v>
      </c>
      <c r="AH184" s="111">
        <v>3.2946267054399602E-4</v>
      </c>
      <c r="AI184" s="111">
        <v>-7.3163576923989467E-4</v>
      </c>
      <c r="AJ184" s="111">
        <v>-2.6973530977166747E-4</v>
      </c>
      <c r="AK184" s="111">
        <v>3.3498423993038153E-4</v>
      </c>
      <c r="AL184" s="111">
        <v>1.9683666715566067E-4</v>
      </c>
      <c r="AM184" s="111">
        <v>-1.4552913868209636E-4</v>
      </c>
      <c r="AN184" s="111">
        <v>-1.3200708091037561E-4</v>
      </c>
      <c r="AO184" s="111">
        <v>4.0186472042002604E-5</v>
      </c>
      <c r="AP184" s="111">
        <v>7.4718898180711039E-5</v>
      </c>
      <c r="AQ184" s="111">
        <v>1.7510122329160473E-5</v>
      </c>
      <c r="AR184" s="111">
        <v>-2.9157451797348521E-5</v>
      </c>
      <c r="AS184" s="111">
        <v>-3.1029818328746018E-5</v>
      </c>
      <c r="AT184" s="111">
        <v>-2.7633337095374099E-6</v>
      </c>
      <c r="AU184" s="111">
        <v>3.3321664595202393E-5</v>
      </c>
      <c r="AV184" s="111">
        <v>-1.4908389366016632E-5</v>
      </c>
      <c r="AW184" s="111">
        <v>1.9221797137933942E-6</v>
      </c>
    </row>
    <row r="185" spans="24:49" ht="9.75" customHeight="1">
      <c r="X185" s="111" t="s">
        <v>219</v>
      </c>
      <c r="Y185" s="111">
        <v>8.7999999999999995E-2</v>
      </c>
      <c r="Z185" s="111">
        <v>2.2905515643724447E-8</v>
      </c>
      <c r="AA185" s="111">
        <v>2.2955890797910004E-4</v>
      </c>
      <c r="AB185" s="111">
        <v>10</v>
      </c>
      <c r="AC185" s="111">
        <v>1.0040032871172557</v>
      </c>
      <c r="AD185" s="111">
        <v>6.3904611678467383E-3</v>
      </c>
      <c r="AE185" s="111">
        <v>-1.0332760121097762E-2</v>
      </c>
      <c r="AF185" s="111">
        <v>-1.9871096444191456E-3</v>
      </c>
      <c r="AG185" s="111">
        <v>1.5307030614293421E-3</v>
      </c>
      <c r="AH185" s="111">
        <v>1.0110923500976185E-3</v>
      </c>
      <c r="AI185" s="111">
        <v>-2.5795910262963823E-4</v>
      </c>
      <c r="AJ185" s="111">
        <v>-5.5154091884412329E-4</v>
      </c>
      <c r="AK185" s="111">
        <v>-6.8315082756059708E-5</v>
      </c>
      <c r="AL185" s="111">
        <v>2.7760198699003944E-4</v>
      </c>
      <c r="AM185" s="111">
        <v>1.2869012188716815E-4</v>
      </c>
      <c r="AN185" s="111">
        <v>-8.4645902525659175E-5</v>
      </c>
      <c r="AO185" s="111">
        <v>-1.0693999694418591E-4</v>
      </c>
      <c r="AP185" s="111">
        <v>-1.0970850455829658E-5</v>
      </c>
      <c r="AQ185" s="111">
        <v>3.7273119275193028E-5</v>
      </c>
      <c r="AR185" s="111">
        <v>4.1479927369072682E-5</v>
      </c>
      <c r="AS185" s="111">
        <v>8.2359152982377016E-6</v>
      </c>
      <c r="AT185" s="111">
        <v>-1.9440138360803802E-5</v>
      </c>
      <c r="AU185" s="111">
        <v>-2.6211089232225348E-5</v>
      </c>
      <c r="AV185" s="111">
        <v>2.0678164122421824E-5</v>
      </c>
      <c r="AW185" s="111">
        <v>-3.6100843066901163E-6</v>
      </c>
    </row>
    <row r="186" spans="24:49" ht="9.75" customHeight="1">
      <c r="X186" s="111" t="s">
        <v>220</v>
      </c>
      <c r="Y186" s="111">
        <v>8.1699999999999995E-2</v>
      </c>
      <c r="Z186" s="111">
        <v>1.2026842736571695E-8</v>
      </c>
      <c r="AA186" s="111">
        <v>1.7588523218738819E-4</v>
      </c>
      <c r="AB186" s="111">
        <v>9</v>
      </c>
      <c r="AC186" s="111">
        <v>0.99803284543126458</v>
      </c>
      <c r="AD186" s="111">
        <v>1.2641371175680333E-2</v>
      </c>
      <c r="AE186" s="111">
        <v>-9.0650341655365233E-3</v>
      </c>
      <c r="AF186" s="111">
        <v>-3.1972190799875377E-3</v>
      </c>
      <c r="AG186" s="111">
        <v>5.5048804727215973E-4</v>
      </c>
      <c r="AH186" s="111">
        <v>1.2068392636819841E-3</v>
      </c>
      <c r="AI186" s="111">
        <v>3.7121617787628142E-4</v>
      </c>
      <c r="AJ186" s="111">
        <v>-3.4399930512472805E-4</v>
      </c>
      <c r="AK186" s="111">
        <v>-3.8405002435641579E-4</v>
      </c>
      <c r="AL186" s="111">
        <v>-2.1461224615096725E-5</v>
      </c>
      <c r="AM186" s="111">
        <v>1.8679337999618105E-4</v>
      </c>
      <c r="AN186" s="111">
        <v>1.202493683539937E-4</v>
      </c>
      <c r="AO186" s="111">
        <v>-2.0692474039300307E-5</v>
      </c>
      <c r="AP186" s="111">
        <v>-6.7898313964204183E-5</v>
      </c>
      <c r="AQ186" s="111">
        <v>-4.1465642302976245E-5</v>
      </c>
      <c r="AR186" s="111">
        <v>-7.9166227500777952E-6</v>
      </c>
      <c r="AS186" s="111">
        <v>2.1025348328646318E-5</v>
      </c>
      <c r="AT186" s="111">
        <v>2.8206010376884452E-5</v>
      </c>
      <c r="AU186" s="111">
        <v>8.9168728682145792E-6</v>
      </c>
      <c r="AV186" s="111">
        <v>-2.4365946791178357E-5</v>
      </c>
      <c r="AW186" s="111">
        <v>6.1517237692162975E-6</v>
      </c>
    </row>
    <row r="187" spans="24:49" ht="9.75" customHeight="1">
      <c r="X187" s="111" t="s">
        <v>221</v>
      </c>
      <c r="Y187" s="111">
        <v>7.6499999999999999E-2</v>
      </c>
      <c r="Z187" s="111">
        <v>6.2728741250532979E-9</v>
      </c>
      <c r="AA187" s="111">
        <v>-1.335742628948502E-4</v>
      </c>
      <c r="AB187" s="111">
        <v>8</v>
      </c>
      <c r="AC187" s="111">
        <v>0.99169425976508063</v>
      </c>
      <c r="AD187" s="111">
        <v>1.8594486144048759E-2</v>
      </c>
      <c r="AE187" s="111">
        <v>-7.1534209349119046E-3</v>
      </c>
      <c r="AF187" s="111">
        <v>-3.8756224949112778E-3</v>
      </c>
      <c r="AG187" s="111">
        <v>-5.8265876825789014E-4</v>
      </c>
      <c r="AH187" s="111">
        <v>8.4878176053797434E-4</v>
      </c>
      <c r="AI187" s="111">
        <v>7.5482935269618892E-4</v>
      </c>
      <c r="AJ187" s="111">
        <v>1.5987445457711728E-4</v>
      </c>
      <c r="AK187" s="111">
        <v>-2.746645846216975E-4</v>
      </c>
      <c r="AL187" s="111">
        <v>-2.8954798068366641E-4</v>
      </c>
      <c r="AM187" s="111">
        <v>-5.5518160623090369E-5</v>
      </c>
      <c r="AN187" s="111">
        <v>9.943507667519862E-5</v>
      </c>
      <c r="AO187" s="111">
        <v>1.0897306534063586E-4</v>
      </c>
      <c r="AP187" s="111">
        <v>3.7131388604260337E-5</v>
      </c>
      <c r="AQ187" s="111">
        <v>-1.145588947922838E-5</v>
      </c>
      <c r="AR187" s="111">
        <v>-3.4606986115932001E-5</v>
      </c>
      <c r="AS187" s="111">
        <v>-3.0500804561919254E-5</v>
      </c>
      <c r="AT187" s="111">
        <v>-1.6453093705801483E-5</v>
      </c>
      <c r="AU187" s="111">
        <v>1.2403582225894808E-5</v>
      </c>
      <c r="AV187" s="111">
        <v>2.4034486282901612E-5</v>
      </c>
      <c r="AW187" s="111">
        <v>-9.7593781981163341E-6</v>
      </c>
    </row>
    <row r="188" spans="24:49" ht="9.75" customHeight="1">
      <c r="X188" s="111" t="s">
        <v>222</v>
      </c>
      <c r="Y188" s="111">
        <v>7.2300000000000003E-2</v>
      </c>
      <c r="Z188" s="111">
        <v>2.9205213112991401E-9</v>
      </c>
      <c r="AA188" s="111">
        <v>9.5374538867606473E-5</v>
      </c>
      <c r="AB188" s="111">
        <v>7</v>
      </c>
      <c r="AC188" s="111">
        <v>0.98500139950441867</v>
      </c>
      <c r="AD188" s="111">
        <v>2.4148984611334978E-2</v>
      </c>
      <c r="AE188" s="111">
        <v>-4.7425630335531117E-3</v>
      </c>
      <c r="AF188" s="111">
        <v>-3.9192662472410057E-3</v>
      </c>
      <c r="AG188" s="111">
        <v>-1.537302494358337E-3</v>
      </c>
      <c r="AH188" s="111">
        <v>1.0735461638627361E-4</v>
      </c>
      <c r="AI188" s="111">
        <v>6.4873291002410561E-4</v>
      </c>
      <c r="AJ188" s="111">
        <v>5.2233666629333158E-4</v>
      </c>
      <c r="AK188" s="111">
        <v>1.3425514643857495E-4</v>
      </c>
      <c r="AL188" s="111">
        <v>-1.6787111303184652E-4</v>
      </c>
      <c r="AM188" s="111">
        <v>-2.0745435415598097E-4</v>
      </c>
      <c r="AN188" s="111">
        <v>-1.0533937707470581E-4</v>
      </c>
      <c r="AO188" s="111">
        <v>7.636430358115175E-6</v>
      </c>
      <c r="AP188" s="111">
        <v>5.3666325272236362E-5</v>
      </c>
      <c r="AQ188" s="111">
        <v>4.8022549459050174E-5</v>
      </c>
      <c r="AR188" s="111">
        <v>3.591652612498631E-5</v>
      </c>
      <c r="AS188" s="111">
        <v>1.084938696349697E-5</v>
      </c>
      <c r="AT188" s="111">
        <v>-7.5350992164354891E-6</v>
      </c>
      <c r="AU188" s="111">
        <v>-2.748503098080888E-5</v>
      </c>
      <c r="AV188" s="111">
        <v>-1.9108400208738054E-5</v>
      </c>
      <c r="AW188" s="111">
        <v>1.4770476747737966E-5</v>
      </c>
    </row>
    <row r="189" spans="24:49" ht="9.75" customHeight="1">
      <c r="X189" s="111" t="s">
        <v>223</v>
      </c>
      <c r="Y189" s="111">
        <v>6.9000000000000006E-2</v>
      </c>
      <c r="Z189" s="111">
        <v>1.4397135723766063E-9</v>
      </c>
      <c r="AA189" s="111">
        <v>7.4265932677846719E-5</v>
      </c>
      <c r="AB189" s="111">
        <v>6</v>
      </c>
      <c r="AC189" s="111">
        <v>0.97792118668301908</v>
      </c>
      <c r="AD189" s="111">
        <v>2.9246180651583034E-2</v>
      </c>
      <c r="AE189" s="111">
        <v>-1.9897037309462408E-3</v>
      </c>
      <c r="AF189" s="111">
        <v>-3.3259403069290775E-3</v>
      </c>
      <c r="AG189" s="111">
        <v>-2.0440449350897449E-3</v>
      </c>
      <c r="AH189" s="111">
        <v>-6.8342702830101042E-4</v>
      </c>
      <c r="AI189" s="111">
        <v>1.241774649345979E-4</v>
      </c>
      <c r="AJ189" s="111">
        <v>4.351161043939653E-4</v>
      </c>
      <c r="AK189" s="111">
        <v>3.9668845062838641E-4</v>
      </c>
      <c r="AL189" s="111">
        <v>1.7860223897419244E-4</v>
      </c>
      <c r="AM189" s="111">
        <v>-2.8391370149866514E-5</v>
      </c>
      <c r="AN189" s="111">
        <v>-1.1518723975844192E-4</v>
      </c>
      <c r="AO189" s="111">
        <v>-1.0979214471988771E-4</v>
      </c>
      <c r="AP189" s="111">
        <v>-5.660966172223295E-5</v>
      </c>
      <c r="AQ189" s="111">
        <v>-1.6868115970575867E-5</v>
      </c>
      <c r="AR189" s="111">
        <v>5.7347050621520537E-6</v>
      </c>
      <c r="AS189" s="111">
        <v>1.9297040912384559E-5</v>
      </c>
      <c r="AT189" s="111">
        <v>2.5772834607481196E-5</v>
      </c>
      <c r="AU189" s="111">
        <v>2.8687063666847891E-5</v>
      </c>
      <c r="AV189" s="111">
        <v>1.0255031819447075E-5</v>
      </c>
      <c r="AW189" s="111">
        <v>-2.1733736015070654E-5</v>
      </c>
    </row>
    <row r="190" spans="24:49" ht="9.75" customHeight="1">
      <c r="X190" s="111" t="s">
        <v>224</v>
      </c>
      <c r="Y190" s="111">
        <v>6.6400000000000001E-2</v>
      </c>
      <c r="Z190" s="111">
        <v>9.585799045950069E-10</v>
      </c>
      <c r="AA190" s="111">
        <v>5.3029389679689406E-5</v>
      </c>
      <c r="AB190" s="111">
        <v>5</v>
      </c>
      <c r="AC190" s="111">
        <v>0.97070830154238485</v>
      </c>
      <c r="AD190" s="111">
        <v>3.3651179297801356E-2</v>
      </c>
      <c r="AE190" s="111">
        <v>8.0976628918405492E-4</v>
      </c>
      <c r="AF190" s="111">
        <v>-2.2309776130829896E-3</v>
      </c>
      <c r="AG190" s="111">
        <v>-1.9588971435519089E-3</v>
      </c>
      <c r="AH190" s="111">
        <v>-1.1478929952147734E-3</v>
      </c>
      <c r="AI190" s="111">
        <v>-4.5944083428555793E-4</v>
      </c>
      <c r="AJ190" s="111">
        <v>-1.079611032961266E-5</v>
      </c>
      <c r="AK190" s="111">
        <v>2.3172327085661072E-4</v>
      </c>
      <c r="AL190" s="111">
        <v>2.8193182583963552E-4</v>
      </c>
      <c r="AM190" s="111">
        <v>1.8829958189329628E-4</v>
      </c>
      <c r="AN190" s="111">
        <v>8.1121285766280266E-5</v>
      </c>
      <c r="AO190" s="111">
        <v>6.9972849564059024E-7</v>
      </c>
      <c r="AP190" s="111">
        <v>-3.3966437593968344E-5</v>
      </c>
      <c r="AQ190" s="111">
        <v>-3.7328251352035213E-5</v>
      </c>
      <c r="AR190" s="111">
        <v>-3.8934828955087424E-5</v>
      </c>
      <c r="AS190" s="111">
        <v>-2.9052672265291604E-5</v>
      </c>
      <c r="AT190" s="111">
        <v>-2.2620856384501284E-5</v>
      </c>
      <c r="AU190" s="111">
        <v>-1.3882258028251442E-5</v>
      </c>
      <c r="AV190" s="111">
        <v>1.0355388997759868E-6</v>
      </c>
      <c r="AW190" s="111">
        <v>2.9731639922400213E-5</v>
      </c>
    </row>
    <row r="191" spans="24:49" ht="9.75" customHeight="1">
      <c r="X191" s="111" t="s">
        <v>225</v>
      </c>
      <c r="Y191" s="111">
        <v>6.3799999999999996E-2</v>
      </c>
      <c r="Z191" s="111">
        <v>5.3752627773136212E-10</v>
      </c>
      <c r="AA191" s="111">
        <v>-4.5746232504533732E-5</v>
      </c>
      <c r="AB191" s="111">
        <v>4</v>
      </c>
      <c r="AC191" s="111">
        <v>0.96343025919695013</v>
      </c>
      <c r="AD191" s="111">
        <v>3.7311812705870487E-2</v>
      </c>
      <c r="AE191" s="111">
        <v>3.4498261232340918E-3</v>
      </c>
      <c r="AF191" s="111">
        <v>-8.4367769177013557E-4</v>
      </c>
      <c r="AG191" s="111">
        <v>-1.3483451445889597E-3</v>
      </c>
      <c r="AH191" s="111">
        <v>-1.11118040391652E-3</v>
      </c>
      <c r="AI191" s="111">
        <v>-7.4457359639369875E-4</v>
      </c>
      <c r="AJ191" s="111">
        <v>-4.3061240223771452E-4</v>
      </c>
      <c r="AK191" s="111">
        <v>-1.6129290935728308E-4</v>
      </c>
      <c r="AL191" s="111">
        <v>3.0750067234045495E-5</v>
      </c>
      <c r="AM191" s="111">
        <v>1.1797259353408901E-4</v>
      </c>
      <c r="AN191" s="111">
        <v>1.3035904452681548E-4</v>
      </c>
      <c r="AO191" s="111">
        <v>1.0545586777470356E-4</v>
      </c>
      <c r="AP191" s="111">
        <v>6.2164214098816959E-5</v>
      </c>
      <c r="AQ191" s="111">
        <v>3.2675954804297212E-5</v>
      </c>
      <c r="AR191" s="111">
        <v>1.9379229326307214E-5</v>
      </c>
      <c r="AS191" s="111">
        <v>6.2181101072930651E-6</v>
      </c>
      <c r="AT191" s="111">
        <v>-1.200134648130261E-6</v>
      </c>
      <c r="AU191" s="111">
        <v>-9.7743023287286869E-6</v>
      </c>
      <c r="AV191" s="111">
        <v>-1.1460312481828799E-5</v>
      </c>
      <c r="AW191" s="111">
        <v>-3.4756209737258632E-5</v>
      </c>
    </row>
    <row r="192" spans="24:49" ht="9.75" customHeight="1">
      <c r="X192" s="111" t="s">
        <v>226</v>
      </c>
      <c r="Y192" s="111">
        <v>6.1800000000000001E-2</v>
      </c>
      <c r="Z192" s="111">
        <v>3.8010329299585972E-10</v>
      </c>
      <c r="AA192" s="111">
        <v>3.6722590476221411E-5</v>
      </c>
      <c r="AB192" s="111">
        <v>3</v>
      </c>
      <c r="AC192" s="111">
        <v>0.95619455557554722</v>
      </c>
      <c r="AD192" s="111">
        <v>4.0189070492954192E-2</v>
      </c>
      <c r="AE192" s="111">
        <v>5.7462168646016569E-3</v>
      </c>
      <c r="AF192" s="111">
        <v>5.9349340241328342E-4</v>
      </c>
      <c r="AG192" s="111">
        <v>-4.2246285712088476E-4</v>
      </c>
      <c r="AH192" s="111">
        <v>-6.325035941573509E-4</v>
      </c>
      <c r="AI192" s="111">
        <v>-5.9175374070659565E-4</v>
      </c>
      <c r="AJ192" s="111">
        <v>-5.0326129267133852E-4</v>
      </c>
      <c r="AK192" s="111">
        <v>-3.7916740648565652E-4</v>
      </c>
      <c r="AL192" s="111">
        <v>-2.4419265384336845E-4</v>
      </c>
      <c r="AM192" s="111">
        <v>-1.1444353587866482E-4</v>
      </c>
      <c r="AN192" s="111">
        <v>-3.5405387852755864E-5</v>
      </c>
      <c r="AO192" s="111">
        <v>8.8799285778403246E-6</v>
      </c>
      <c r="AP192" s="111">
        <v>2.4115470525988664E-5</v>
      </c>
      <c r="AQ192" s="111">
        <v>2.4643074424777218E-5</v>
      </c>
      <c r="AR192" s="111">
        <v>2.6910941869323929E-5</v>
      </c>
      <c r="AS192" s="111">
        <v>2.311011558900115E-5</v>
      </c>
      <c r="AT192" s="111">
        <v>2.2562499684601715E-5</v>
      </c>
      <c r="AU192" s="111">
        <v>2.4207736270139617E-5</v>
      </c>
      <c r="AV192" s="111">
        <v>1.4963554550481872E-5</v>
      </c>
      <c r="AW192" s="111">
        <v>3.0460811708256972E-5</v>
      </c>
    </row>
    <row r="193" spans="1:49" ht="9.75" customHeight="1">
      <c r="X193" s="111" t="s">
        <v>227</v>
      </c>
      <c r="Y193" s="111">
        <v>5.9400000000000001E-2</v>
      </c>
      <c r="Z193" s="111">
        <v>2.8627340263285011E-10</v>
      </c>
      <c r="AA193" s="111">
        <v>3.3321664595202393E-5</v>
      </c>
      <c r="AB193" s="111">
        <v>2</v>
      </c>
      <c r="AC193" s="111">
        <v>0.94917743111225272</v>
      </c>
      <c r="AD193" s="111">
        <v>4.2262094755419692E-2</v>
      </c>
      <c r="AE193" s="111">
        <v>7.5516806057048403E-3</v>
      </c>
      <c r="AF193" s="111">
        <v>1.8489112351872934E-3</v>
      </c>
      <c r="AG193" s="111">
        <v>5.3994574236863478E-4</v>
      </c>
      <c r="AH193" s="111">
        <v>4.7297255929049002E-5</v>
      </c>
      <c r="AI193" s="111">
        <v>-1.3649706765782603E-4</v>
      </c>
      <c r="AJ193" s="111">
        <v>-2.1642934176450081E-4</v>
      </c>
      <c r="AK193" s="111">
        <v>-2.4230372787843312E-4</v>
      </c>
      <c r="AL193" s="111">
        <v>-2.3200107347312398E-4</v>
      </c>
      <c r="AM193" s="111">
        <v>-1.8099543242369606E-4</v>
      </c>
      <c r="AN193" s="111">
        <v>-1.3591861686319958E-4</v>
      </c>
      <c r="AO193" s="111">
        <v>-9.624731507580639E-5</v>
      </c>
      <c r="AP193" s="111">
        <v>-5.7930643618480495E-5</v>
      </c>
      <c r="AQ193" s="111">
        <v>-3.507813526361722E-5</v>
      </c>
      <c r="AR193" s="111">
        <v>-2.7868191452127177E-5</v>
      </c>
      <c r="AS193" s="111">
        <v>-1.8569963748339245E-5</v>
      </c>
      <c r="AT193" s="111">
        <v>-1.5143618510018108E-5</v>
      </c>
      <c r="AU193" s="111">
        <v>-1.3467402068178649E-5</v>
      </c>
      <c r="AV193" s="111">
        <v>-6.9547779197124673E-6</v>
      </c>
      <c r="AW193" s="111">
        <v>-1.1955399144785071E-5</v>
      </c>
    </row>
    <row r="194" spans="1:49" ht="9.75" customHeight="1">
      <c r="X194" s="111" t="s">
        <v>228</v>
      </c>
      <c r="Y194" s="111">
        <v>5.7000000000000002E-2</v>
      </c>
      <c r="Z194" s="111">
        <v>1.2384068324853507E-10</v>
      </c>
      <c r="AA194" s="111">
        <v>-2.4365946791178357E-5</v>
      </c>
      <c r="AB194" s="111">
        <v>1</v>
      </c>
      <c r="AC194" s="111">
        <v>0.94178132256451597</v>
      </c>
      <c r="AD194" s="111">
        <v>4.3470805306947753E-2</v>
      </c>
      <c r="AE194" s="111">
        <v>8.7509777131335505E-3</v>
      </c>
      <c r="AF194" s="111">
        <v>2.7576279746306023E-3</v>
      </c>
      <c r="AG194" s="111">
        <v>1.3227694153998926E-3</v>
      </c>
      <c r="AH194" s="111">
        <v>6.9992755408362711E-4</v>
      </c>
      <c r="AI194" s="111">
        <v>4.170329938625301E-4</v>
      </c>
      <c r="AJ194" s="111">
        <v>2.7954793048283645E-4</v>
      </c>
      <c r="AK194" s="111">
        <v>1.9338955359232763E-4</v>
      </c>
      <c r="AL194" s="111">
        <v>1.3124800884536887E-4</v>
      </c>
      <c r="AM194" s="111">
        <v>7.8924843291397221E-5</v>
      </c>
      <c r="AN194" s="111">
        <v>4.809380978333414E-5</v>
      </c>
      <c r="AO194" s="111">
        <v>2.8617655878211897E-5</v>
      </c>
      <c r="AP194" s="111">
        <v>1.4908001113686839E-5</v>
      </c>
      <c r="AQ194" s="111">
        <v>8.0570408983446925E-6</v>
      </c>
      <c r="AR194" s="111">
        <v>5.8071634297218138E-6</v>
      </c>
      <c r="AS194" s="111">
        <v>3.522648258850709E-6</v>
      </c>
      <c r="AT194" s="111">
        <v>2.6587169301153094E-6</v>
      </c>
      <c r="AU194" s="111">
        <v>2.1620100423142001E-6</v>
      </c>
      <c r="AV194" s="111">
        <v>1.0154305498520828E-6</v>
      </c>
      <c r="AW194" s="111">
        <v>1.5836643282496943E-6</v>
      </c>
    </row>
    <row r="195" spans="1:49" ht="9.75" customHeight="1">
      <c r="X195" s="111" t="s">
        <v>229</v>
      </c>
      <c r="Y195" s="111">
        <v>5.4699999999999999E-2</v>
      </c>
      <c r="Z195" s="111">
        <v>1.7735374193301141E-10</v>
      </c>
      <c r="AA195" s="111">
        <v>-3.4756209737258632E-5</v>
      </c>
      <c r="AB195" s="111">
        <v>0</v>
      </c>
      <c r="AC195" s="111">
        <v>0</v>
      </c>
      <c r="AD195" s="111">
        <v>0</v>
      </c>
      <c r="AE195" s="111">
        <v>0</v>
      </c>
      <c r="AF195" s="111">
        <v>0</v>
      </c>
      <c r="AG195" s="111">
        <v>0</v>
      </c>
      <c r="AH195" s="111">
        <v>0</v>
      </c>
      <c r="AI195" s="111">
        <v>0</v>
      </c>
      <c r="AJ195" s="111">
        <v>0</v>
      </c>
      <c r="AK195" s="111">
        <v>0</v>
      </c>
      <c r="AL195" s="111">
        <v>0</v>
      </c>
      <c r="AM195" s="111">
        <v>0</v>
      </c>
      <c r="AN195" s="111">
        <v>0</v>
      </c>
      <c r="AO195" s="111">
        <v>0</v>
      </c>
      <c r="AP195" s="111">
        <v>0</v>
      </c>
      <c r="AQ195" s="111">
        <v>0</v>
      </c>
      <c r="AR195" s="111">
        <v>0</v>
      </c>
      <c r="AS195" s="111">
        <v>0</v>
      </c>
      <c r="AT195" s="111">
        <v>0</v>
      </c>
      <c r="AU195" s="111">
        <v>0</v>
      </c>
      <c r="AV195" s="111">
        <v>0</v>
      </c>
      <c r="AW195" s="111">
        <v>0</v>
      </c>
    </row>
    <row r="196" spans="1:49" ht="9.75" customHeight="1">
      <c r="X196" s="111" t="s">
        <v>253</v>
      </c>
      <c r="AB196" s="111">
        <v>21</v>
      </c>
      <c r="AC196" s="111">
        <v>1.0557209817626585</v>
      </c>
      <c r="AD196" s="111">
        <v>-6.4843082470753058E-2</v>
      </c>
      <c r="AE196" s="111">
        <v>1.1949237082494159E-2</v>
      </c>
      <c r="AF196" s="111">
        <v>-4.1709059126807044E-3</v>
      </c>
      <c r="AG196" s="111">
        <v>2.0449183740560263E-3</v>
      </c>
      <c r="AH196" s="111">
        <v>-1.1405294959367003E-3</v>
      </c>
      <c r="AI196" s="111">
        <v>7.2490860520257438E-4</v>
      </c>
      <c r="AJ196" s="111">
        <v>-4.8391268601057606E-4</v>
      </c>
      <c r="AK196" s="111">
        <v>3.343582944642332E-4</v>
      </c>
      <c r="AL196" s="111">
        <v>-2.2980560660441378E-4</v>
      </c>
      <c r="AM196" s="111">
        <v>1.5722351681257067E-4</v>
      </c>
      <c r="AN196" s="111">
        <v>-1.0371875963634086E-4</v>
      </c>
      <c r="AO196" s="111">
        <v>6.5560495171678335E-5</v>
      </c>
      <c r="AP196" s="111">
        <v>-3.9756266112521867E-5</v>
      </c>
      <c r="AQ196" s="111">
        <v>2.1786147370654252E-5</v>
      </c>
      <c r="AR196" s="111">
        <v>-9.4351996974316954E-6</v>
      </c>
      <c r="AS196" s="111">
        <v>2.6769599670625408E-6</v>
      </c>
      <c r="AT196" s="111">
        <v>-5.4750432514483191E-7</v>
      </c>
      <c r="AU196" s="111">
        <v>4.3755514819859656E-8</v>
      </c>
      <c r="AV196" s="111">
        <v>-2.9468653436748898E-9</v>
      </c>
      <c r="AW196" s="111">
        <v>1.8549115220673153E-9</v>
      </c>
    </row>
    <row r="197" spans="1:49" ht="9.75" customHeight="1">
      <c r="X197" s="111" t="s">
        <v>13</v>
      </c>
      <c r="Y197" s="111">
        <v>5.3331999999999997</v>
      </c>
      <c r="Z197" s="111">
        <v>0.99836119432384052</v>
      </c>
      <c r="AA197" s="111">
        <v>1.0557209817626585</v>
      </c>
      <c r="AB197" s="111">
        <v>20</v>
      </c>
      <c r="AC197" s="111">
        <v>1.053169182306162</v>
      </c>
      <c r="AD197" s="111">
        <v>-6.1317806381296504E-2</v>
      </c>
      <c r="AE197" s="111">
        <v>1.0413871945631224E-2</v>
      </c>
      <c r="AF197" s="111">
        <v>-3.1162145702213987E-3</v>
      </c>
      <c r="AG197" s="111">
        <v>1.1600127717294741E-3</v>
      </c>
      <c r="AH197" s="111">
        <v>-3.9006025344212012E-4</v>
      </c>
      <c r="AI197" s="111">
        <v>5.5922637049658452E-5</v>
      </c>
      <c r="AJ197" s="111">
        <v>1.0709104100535068E-4</v>
      </c>
      <c r="AK197" s="111">
        <v>-1.8310405115866965E-4</v>
      </c>
      <c r="AL197" s="111">
        <v>2.0454683242900531E-4</v>
      </c>
      <c r="AM197" s="111">
        <v>-1.9576239007779584E-4</v>
      </c>
      <c r="AN197" s="111">
        <v>1.6572791992700481E-4</v>
      </c>
      <c r="AO197" s="111">
        <v>-1.2836524461915251E-4</v>
      </c>
      <c r="AP197" s="111">
        <v>9.1581998862747549E-5</v>
      </c>
      <c r="AQ197" s="111">
        <v>-5.7247299442311383E-5</v>
      </c>
      <c r="AR197" s="111">
        <v>2.7485579316739794E-5</v>
      </c>
      <c r="AS197" s="111">
        <v>-8.656081381221362E-6</v>
      </c>
      <c r="AT197" s="111">
        <v>1.9606072869477217E-6</v>
      </c>
      <c r="AU197" s="111">
        <v>-1.7718664612692714E-7</v>
      </c>
      <c r="AV197" s="111">
        <v>1.0650412774483088E-8</v>
      </c>
      <c r="AW197" s="111">
        <v>-8.3152733543648071E-10</v>
      </c>
    </row>
    <row r="198" spans="1:49" ht="9.75" customHeight="1">
      <c r="X198" s="111" t="s">
        <v>15</v>
      </c>
      <c r="Y198" s="111">
        <v>0.92700000000000005</v>
      </c>
      <c r="Z198" s="111">
        <v>1.5674909421777088E-3</v>
      </c>
      <c r="AA198" s="111">
        <v>-6.4843082470753058E-2</v>
      </c>
      <c r="AB198" s="111">
        <v>19</v>
      </c>
      <c r="AC198" s="111">
        <v>1.0500042172660347</v>
      </c>
      <c r="AD198" s="111">
        <v>-5.6610611804762484E-2</v>
      </c>
      <c r="AE198" s="111">
        <v>7.901234120306978E-3</v>
      </c>
      <c r="AF198" s="111">
        <v>-1.3624367262381175E-3</v>
      </c>
      <c r="AG198" s="111">
        <v>-1.9398889743739775E-4</v>
      </c>
      <c r="AH198" s="111">
        <v>6.1044309980836753E-4</v>
      </c>
      <c r="AI198" s="111">
        <v>-6.6744315731594162E-4</v>
      </c>
      <c r="AJ198" s="111">
        <v>5.7363866125688336E-4</v>
      </c>
      <c r="AK198" s="111">
        <v>-4.250604969061151E-4</v>
      </c>
      <c r="AL198" s="111">
        <v>2.595579187087221E-4</v>
      </c>
      <c r="AM198" s="111">
        <v>-1.1526470377013791E-4</v>
      </c>
      <c r="AN198" s="111">
        <v>8.509532377448335E-6</v>
      </c>
      <c r="AO198" s="111">
        <v>5.4941096009909747E-5</v>
      </c>
      <c r="AP198" s="111">
        <v>-7.7978616420391013E-5</v>
      </c>
      <c r="AQ198" s="111">
        <v>7.0532685430514601E-5</v>
      </c>
      <c r="AR198" s="111">
        <v>-4.2863771362635352E-5</v>
      </c>
      <c r="AS198" s="111">
        <v>1.6488290485116134E-5</v>
      </c>
      <c r="AT198" s="111">
        <v>-4.3484097339337465E-6</v>
      </c>
      <c r="AU198" s="111">
        <v>4.6462102072264911E-7</v>
      </c>
      <c r="AV198" s="111">
        <v>-3.1879853871017765E-8</v>
      </c>
      <c r="AW198" s="111">
        <v>1.1723618708321434E-9</v>
      </c>
    </row>
    <row r="199" spans="1:49" ht="9.75" customHeight="1">
      <c r="A199" s="143" t="s">
        <v>38</v>
      </c>
      <c r="B199" s="143" t="s">
        <v>39</v>
      </c>
      <c r="X199" s="111" t="s">
        <v>17</v>
      </c>
      <c r="Y199" s="111">
        <v>0.42030000000000001</v>
      </c>
      <c r="Z199" s="111">
        <v>6.0687867732920914E-5</v>
      </c>
      <c r="AA199" s="111">
        <v>1.1949237082494159E-2</v>
      </c>
      <c r="AB199" s="111">
        <v>18</v>
      </c>
      <c r="AC199" s="111">
        <v>1.0462875552850481</v>
      </c>
      <c r="AD199" s="111">
        <v>-5.0926684017704671E-2</v>
      </c>
      <c r="AE199" s="111">
        <v>4.7394865737673151E-3</v>
      </c>
      <c r="AF199" s="111">
        <v>6.3409174004158198E-4</v>
      </c>
      <c r="AG199" s="111">
        <v>-1.4313960451573335E-3</v>
      </c>
      <c r="AH199" s="111">
        <v>1.2064455133126396E-3</v>
      </c>
      <c r="AI199" s="111">
        <v>-7.863007275465023E-4</v>
      </c>
      <c r="AJ199" s="111">
        <v>3.5688319261747325E-4</v>
      </c>
      <c r="AK199" s="111">
        <v>-2.9260395797796235E-5</v>
      </c>
      <c r="AL199" s="111">
        <v>-1.5951185965105874E-4</v>
      </c>
      <c r="AM199" s="111">
        <v>2.1303396685597371E-4</v>
      </c>
      <c r="AN199" s="111">
        <v>-1.659391451745778E-4</v>
      </c>
      <c r="AO199" s="111">
        <v>7.5624335131233182E-5</v>
      </c>
      <c r="AP199" s="111">
        <v>7.114219850527119E-6</v>
      </c>
      <c r="AQ199" s="111">
        <v>-5.374414820680177E-5</v>
      </c>
      <c r="AR199" s="111">
        <v>5.1850741561132968E-5</v>
      </c>
      <c r="AS199" s="111">
        <v>-2.6798106538842157E-5</v>
      </c>
      <c r="AT199" s="111">
        <v>8.5775147497450168E-6</v>
      </c>
      <c r="AU199" s="111">
        <v>-1.1159237683524733E-6</v>
      </c>
      <c r="AV199" s="111">
        <v>9.0428516391826893E-8</v>
      </c>
      <c r="AW199" s="111">
        <v>-3.1419062753540941E-9</v>
      </c>
    </row>
    <row r="200" spans="1:49" ht="9.75" customHeight="1">
      <c r="A200" s="143"/>
      <c r="B200" s="143"/>
      <c r="X200" s="111" t="s">
        <v>19</v>
      </c>
      <c r="Y200" s="111">
        <v>0.27200000000000002</v>
      </c>
      <c r="Z200" s="111">
        <v>7.4320065548950479E-6</v>
      </c>
      <c r="AA200" s="111">
        <v>-4.1709059126807044E-3</v>
      </c>
      <c r="AB200" s="111">
        <v>17</v>
      </c>
      <c r="AC200" s="111">
        <v>1.0420762801849814</v>
      </c>
      <c r="AD200" s="111">
        <v>-4.4468499981533467E-2</v>
      </c>
      <c r="AE200" s="111">
        <v>1.277059090802681E-3</v>
      </c>
      <c r="AF200" s="111">
        <v>2.4202575356805497E-3</v>
      </c>
      <c r="AG200" s="111">
        <v>-2.0821547729875929E-3</v>
      </c>
      <c r="AH200" s="111">
        <v>1.0652577805038855E-3</v>
      </c>
      <c r="AI200" s="111">
        <v>-2.3740645856297384E-4</v>
      </c>
      <c r="AJ200" s="111">
        <v>-2.5445000591764575E-4</v>
      </c>
      <c r="AK200" s="111">
        <v>3.9465337306552744E-4</v>
      </c>
      <c r="AL200" s="111">
        <v>-2.8407281523455712E-4</v>
      </c>
      <c r="AM200" s="111">
        <v>8.4639051781772894E-5</v>
      </c>
      <c r="AN200" s="111">
        <v>6.8305290348786427E-5</v>
      </c>
      <c r="AO200" s="111">
        <v>-1.1359303587794788E-4</v>
      </c>
      <c r="AP200" s="111">
        <v>6.7119660928766678E-5</v>
      </c>
      <c r="AQ200" s="111">
        <v>9.071145329030438E-6</v>
      </c>
      <c r="AR200" s="111">
        <v>-4.7114590969746876E-5</v>
      </c>
      <c r="AS200" s="111">
        <v>3.7623468851049607E-5</v>
      </c>
      <c r="AT200" s="111">
        <v>-1.5210317060440616E-5</v>
      </c>
      <c r="AU200" s="111">
        <v>2.4650329002956001E-6</v>
      </c>
      <c r="AV200" s="111">
        <v>-2.3955354202451867E-7</v>
      </c>
      <c r="AW200" s="111">
        <v>9.9165123477890997E-9</v>
      </c>
    </row>
    <row r="201" spans="1:49" ht="9.75" customHeight="1">
      <c r="X201" s="111" t="s">
        <v>20</v>
      </c>
      <c r="Y201" s="111">
        <v>0.2029</v>
      </c>
      <c r="Z201" s="111">
        <v>1.9607296685114692E-6</v>
      </c>
      <c r="AA201" s="111">
        <v>-2.0821547729875929E-3</v>
      </c>
      <c r="AB201" s="111">
        <v>16</v>
      </c>
      <c r="AC201" s="111">
        <v>1.0374594467578695</v>
      </c>
      <c r="AD201" s="111">
        <v>-3.7494442661894466E-2</v>
      </c>
      <c r="AE201" s="111">
        <v>-2.1131876145327037E-3</v>
      </c>
      <c r="AF201" s="111">
        <v>3.6272669473356228E-3</v>
      </c>
      <c r="AG201" s="111">
        <v>-1.9525468648955318E-3</v>
      </c>
      <c r="AH201" s="111">
        <v>3.314098600350021E-4</v>
      </c>
      <c r="AI201" s="111">
        <v>4.7411161676462395E-4</v>
      </c>
      <c r="AJ201" s="111">
        <v>-5.6329780246701291E-4</v>
      </c>
      <c r="AK201" s="111">
        <v>2.6139995647944474E-4</v>
      </c>
      <c r="AL201" s="111">
        <v>7.0560698807584514E-5</v>
      </c>
      <c r="AM201" s="111">
        <v>-2.0500174642904139E-4</v>
      </c>
      <c r="AN201" s="111">
        <v>1.3324292574654336E-4</v>
      </c>
      <c r="AO201" s="111">
        <v>5.2168759171211348E-6</v>
      </c>
      <c r="AP201" s="111">
        <v>-7.2929576996586773E-5</v>
      </c>
      <c r="AQ201" s="111">
        <v>3.9452705703304808E-5</v>
      </c>
      <c r="AR201" s="111">
        <v>2.3059511916166491E-5</v>
      </c>
      <c r="AS201" s="111">
        <v>-4.2699686184999824E-5</v>
      </c>
      <c r="AT201" s="111">
        <v>2.3233543997416157E-5</v>
      </c>
      <c r="AU201" s="111">
        <v>-4.8408877619687334E-6</v>
      </c>
      <c r="AV201" s="111">
        <v>5.7318144210968102E-7</v>
      </c>
      <c r="AW201" s="111">
        <v>-2.7740852355291569E-8</v>
      </c>
    </row>
    <row r="202" spans="1:49" ht="9.75" customHeight="1">
      <c r="X202" s="111" t="s">
        <v>22</v>
      </c>
      <c r="Y202" s="111">
        <v>0.16170000000000001</v>
      </c>
      <c r="Z202" s="111">
        <v>6.5618176980050289E-7</v>
      </c>
      <c r="AA202" s="111">
        <v>1.2064455133126396E-3</v>
      </c>
      <c r="AB202" s="111">
        <v>15</v>
      </c>
      <c r="AC202" s="111">
        <v>1.0323840008997995</v>
      </c>
      <c r="AD202" s="111">
        <v>-3.0011172137795458E-2</v>
      </c>
      <c r="AE202" s="111">
        <v>-5.2513549529206232E-3</v>
      </c>
      <c r="AF202" s="111">
        <v>4.0923796148924947E-3</v>
      </c>
      <c r="AG202" s="111">
        <v>-1.1341602967849232E-3</v>
      </c>
      <c r="AH202" s="111">
        <v>-5.7509645082749695E-4</v>
      </c>
      <c r="AI202" s="111">
        <v>8.0187485256694104E-4</v>
      </c>
      <c r="AJ202" s="111">
        <v>-2.7593424013245594E-4</v>
      </c>
      <c r="AK202" s="111">
        <v>-2.1812316429843583E-4</v>
      </c>
      <c r="AL202" s="111">
        <v>3.0335654279711147E-4</v>
      </c>
      <c r="AM202" s="111">
        <v>-8.9694759163472793E-5</v>
      </c>
      <c r="AN202" s="111">
        <v>-1.0482987102209649E-4</v>
      </c>
      <c r="AO202" s="111">
        <v>1.0867834542092459E-4</v>
      </c>
      <c r="AP202" s="111">
        <v>-2.4426957577818272E-7</v>
      </c>
      <c r="AQ202" s="111">
        <v>-5.5768168375729279E-5</v>
      </c>
      <c r="AR202" s="111">
        <v>1.3056957353372104E-5</v>
      </c>
      <c r="AS202" s="111">
        <v>3.6207249012197087E-5</v>
      </c>
      <c r="AT202" s="111">
        <v>-3.0619977532858546E-5</v>
      </c>
      <c r="AU202" s="111">
        <v>8.6465146730494823E-6</v>
      </c>
      <c r="AV202" s="111">
        <v>-1.2771854257900721E-6</v>
      </c>
      <c r="AW202" s="111">
        <v>7.4497339647037848E-8</v>
      </c>
    </row>
    <row r="203" spans="1:49" ht="9.75" customHeight="1">
      <c r="X203" s="111" t="s">
        <v>215</v>
      </c>
      <c r="Y203" s="111">
        <v>0.13550000000000001</v>
      </c>
      <c r="Z203" s="111">
        <v>2.7798260133500859E-7</v>
      </c>
      <c r="AA203" s="111">
        <v>8.0187485256694104E-4</v>
      </c>
      <c r="AB203" s="111">
        <v>14</v>
      </c>
      <c r="AC203" s="111">
        <v>1.0268762445746935</v>
      </c>
      <c r="AD203" s="111">
        <v>-2.2173269589708028E-2</v>
      </c>
      <c r="AE203" s="111">
        <v>-7.8863046993117667E-3</v>
      </c>
      <c r="AF203" s="111">
        <v>3.7495941499000574E-3</v>
      </c>
      <c r="AG203" s="111">
        <v>6.6730895908651621E-5</v>
      </c>
      <c r="AH203" s="111">
        <v>-1.1555152636881301E-3</v>
      </c>
      <c r="AI203" s="111">
        <v>5.0479286575548922E-4</v>
      </c>
      <c r="AJ203" s="111">
        <v>2.9113811140637661E-4</v>
      </c>
      <c r="AK203" s="111">
        <v>-4.0278741062467808E-4</v>
      </c>
      <c r="AL203" s="111">
        <v>4.3353377544814845E-5</v>
      </c>
      <c r="AM203" s="111">
        <v>1.9606119780996134E-4</v>
      </c>
      <c r="AN203" s="111">
        <v>-1.0565060933595804E-4</v>
      </c>
      <c r="AO203" s="111">
        <v>-6.5547967596386004E-5</v>
      </c>
      <c r="AP203" s="111">
        <v>7.1884215481890203E-5</v>
      </c>
      <c r="AQ203" s="111">
        <v>2.4589919689372914E-5</v>
      </c>
      <c r="AR203" s="111">
        <v>-4.0792977054752831E-5</v>
      </c>
      <c r="AS203" s="111">
        <v>-1.7859000979258808E-5</v>
      </c>
      <c r="AT203" s="111">
        <v>3.522510614301992E-5</v>
      </c>
      <c r="AU203" s="111">
        <v>-1.44046106585433E-5</v>
      </c>
      <c r="AV203" s="111">
        <v>2.7096461471440012E-6</v>
      </c>
      <c r="AW203" s="111">
        <v>-1.9193152450904427E-7</v>
      </c>
    </row>
    <row r="204" spans="1:49" ht="9.75" customHeight="1">
      <c r="X204" s="111" t="s">
        <v>216</v>
      </c>
      <c r="Y204" s="111">
        <v>0.1172</v>
      </c>
      <c r="Z204" s="111">
        <v>1.4035781630580265E-7</v>
      </c>
      <c r="AA204" s="111">
        <v>5.7363866125688336E-4</v>
      </c>
      <c r="AB204" s="111">
        <v>13</v>
      </c>
      <c r="AC204" s="111">
        <v>1.0209631188104551</v>
      </c>
      <c r="AD204" s="111">
        <v>-1.4135464082128723E-2</v>
      </c>
      <c r="AE204" s="111">
        <v>-9.8195393469236014E-3</v>
      </c>
      <c r="AF204" s="111">
        <v>2.6902385904088522E-3</v>
      </c>
      <c r="AG204" s="111">
        <v>1.2281118574717503E-3</v>
      </c>
      <c r="AH204" s="111">
        <v>-1.1096653949223363E-3</v>
      </c>
      <c r="AI204" s="111">
        <v>-1.7082691534551811E-4</v>
      </c>
      <c r="AJ204" s="111">
        <v>5.5226379106119679E-4</v>
      </c>
      <c r="AK204" s="111">
        <v>-6.3466180581777903E-5</v>
      </c>
      <c r="AL204" s="111">
        <v>-2.8151926862556291E-4</v>
      </c>
      <c r="AM204" s="111">
        <v>1.0734815262484991E-4</v>
      </c>
      <c r="AN204" s="111">
        <v>1.2493237593878885E-4</v>
      </c>
      <c r="AO204" s="111">
        <v>-7.3023114008688851E-5</v>
      </c>
      <c r="AP204" s="111">
        <v>-5.7967041456988554E-5</v>
      </c>
      <c r="AQ204" s="111">
        <v>2.8207163269768913E-5</v>
      </c>
      <c r="AR204" s="111">
        <v>4.1435143319550108E-5</v>
      </c>
      <c r="AS204" s="111">
        <v>-7.1407995651025972E-6</v>
      </c>
      <c r="AT204" s="111">
        <v>-3.4475253761756106E-5</v>
      </c>
      <c r="AU204" s="111">
        <v>2.2443588244420085E-5</v>
      </c>
      <c r="AV204" s="111">
        <v>-5.4891938259930274E-6</v>
      </c>
      <c r="AW204" s="111">
        <v>4.7711835106665104E-7</v>
      </c>
    </row>
    <row r="205" spans="1:49" ht="9.75" customHeight="1">
      <c r="X205" s="111" t="s">
        <v>217</v>
      </c>
      <c r="Y205" s="111">
        <v>0.10390000000000001</v>
      </c>
      <c r="Z205" s="111">
        <v>7.4282452257949367E-8</v>
      </c>
      <c r="AA205" s="111">
        <v>-4.250604969061151E-4</v>
      </c>
      <c r="AB205" s="111">
        <v>12</v>
      </c>
      <c r="AC205" s="111">
        <v>1.0148772952830842</v>
      </c>
      <c r="AD205" s="111">
        <v>-6.3266908067685888E-3</v>
      </c>
      <c r="AE205" s="111">
        <v>-1.0878415377742095E-2</v>
      </c>
      <c r="AF205" s="111">
        <v>1.2081440601456512E-3</v>
      </c>
      <c r="AG205" s="111">
        <v>1.9264715421434243E-3</v>
      </c>
      <c r="AH205" s="111">
        <v>-5.0908741297947297E-4</v>
      </c>
      <c r="AI205" s="111">
        <v>-6.8295572253995729E-4</v>
      </c>
      <c r="AJ205" s="111">
        <v>2.6958326002594717E-4</v>
      </c>
      <c r="AK205" s="111">
        <v>3.3255065435992804E-4</v>
      </c>
      <c r="AL205" s="111">
        <v>-1.6772089614966516E-4</v>
      </c>
      <c r="AM205" s="111">
        <v>-1.6627697659208124E-4</v>
      </c>
      <c r="AN205" s="111">
        <v>8.4231760148590558E-5</v>
      </c>
      <c r="AO205" s="111">
        <v>9.1470955275356434E-5</v>
      </c>
      <c r="AP205" s="111">
        <v>-2.7883599286907609E-5</v>
      </c>
      <c r="AQ205" s="111">
        <v>-4.9719287151874405E-5</v>
      </c>
      <c r="AR205" s="111">
        <v>-1.0365711953263015E-5</v>
      </c>
      <c r="AS205" s="111">
        <v>2.6934861335611467E-5</v>
      </c>
      <c r="AT205" s="111">
        <v>2.3696136323978559E-5</v>
      </c>
      <c r="AU205" s="111">
        <v>-3.0071249941939982E-5</v>
      </c>
      <c r="AV205" s="111">
        <v>9.8761339537381638E-6</v>
      </c>
      <c r="AW205" s="111">
        <v>-1.0676056917913953E-6</v>
      </c>
    </row>
    <row r="206" spans="1:49" ht="9.75" customHeight="1">
      <c r="X206" s="111" t="s">
        <v>218</v>
      </c>
      <c r="Y206" s="111">
        <v>9.3799999999999994E-2</v>
      </c>
      <c r="Z206" s="111">
        <v>4.1333634249294622E-8</v>
      </c>
      <c r="AA206" s="111">
        <v>3.0335654279711147E-4</v>
      </c>
      <c r="AB206" s="111">
        <v>11</v>
      </c>
      <c r="AC206" s="111">
        <v>1.0085599567701835</v>
      </c>
      <c r="AD206" s="111">
        <v>1.2639845474263659E-3</v>
      </c>
      <c r="AE206" s="111">
        <v>-1.10821644429782E-2</v>
      </c>
      <c r="AF206" s="111">
        <v>-4.3406966479297548E-4</v>
      </c>
      <c r="AG206" s="111">
        <v>2.0057024271852566E-3</v>
      </c>
      <c r="AH206" s="111">
        <v>3.152169315828625E-4</v>
      </c>
      <c r="AI206" s="111">
        <v>-7.0478201339966001E-4</v>
      </c>
      <c r="AJ206" s="111">
        <v>-2.5151129576402373E-4</v>
      </c>
      <c r="AK206" s="111">
        <v>3.2538050438478985E-4</v>
      </c>
      <c r="AL206" s="111">
        <v>1.822708027789493E-4</v>
      </c>
      <c r="AM206" s="111">
        <v>-1.4558382840015725E-4</v>
      </c>
      <c r="AN206" s="111">
        <v>-1.2221510894639648E-4</v>
      </c>
      <c r="AO206" s="111">
        <v>4.3057046651341676E-5</v>
      </c>
      <c r="AP206" s="111">
        <v>7.1549317225672111E-5</v>
      </c>
      <c r="AQ206" s="111">
        <v>1.3371429947640475E-5</v>
      </c>
      <c r="AR206" s="111">
        <v>-2.9180919285399514E-5</v>
      </c>
      <c r="AS206" s="111">
        <v>-2.7474890460608896E-5</v>
      </c>
      <c r="AT206" s="111">
        <v>-2.1486285916399513E-6</v>
      </c>
      <c r="AU206" s="111">
        <v>3.1819576462066268E-5</v>
      </c>
      <c r="AV206" s="111">
        <v>-1.5310172610529749E-5</v>
      </c>
      <c r="AW206" s="111">
        <v>2.1316114010790555E-6</v>
      </c>
    </row>
    <row r="207" spans="1:49" ht="9.75" customHeight="1">
      <c r="X207" s="111" t="s">
        <v>219</v>
      </c>
      <c r="Y207" s="111">
        <v>8.5999999999999993E-2</v>
      </c>
      <c r="Z207" s="111">
        <v>2.1104262410709672E-8</v>
      </c>
      <c r="AA207" s="111">
        <v>2.1303396685597371E-4</v>
      </c>
      <c r="AB207" s="111">
        <v>10</v>
      </c>
      <c r="AC207" s="111">
        <v>1.001978627222448</v>
      </c>
      <c r="AD207" s="111">
        <v>8.598621718211805E-3</v>
      </c>
      <c r="AE207" s="111">
        <v>-1.0462718256044298E-2</v>
      </c>
      <c r="AF207" s="111">
        <v>-1.9728604935259366E-3</v>
      </c>
      <c r="AG207" s="111">
        <v>1.4785884717264705E-3</v>
      </c>
      <c r="AH207" s="111">
        <v>9.7073789341113679E-4</v>
      </c>
      <c r="AI207" s="111">
        <v>-2.4960955143204475E-4</v>
      </c>
      <c r="AJ207" s="111">
        <v>-5.3536759613100992E-4</v>
      </c>
      <c r="AK207" s="111">
        <v>-5.3774202608016184E-5</v>
      </c>
      <c r="AL207" s="111">
        <v>2.6846097421592851E-4</v>
      </c>
      <c r="AM207" s="111">
        <v>1.1836554935150001E-4</v>
      </c>
      <c r="AN207" s="111">
        <v>-8.7058251887938898E-5</v>
      </c>
      <c r="AO207" s="111">
        <v>-9.9576421576904405E-5</v>
      </c>
      <c r="AP207" s="111">
        <v>-8.2271150908202149E-6</v>
      </c>
      <c r="AQ207" s="111">
        <v>3.8781724164944373E-5</v>
      </c>
      <c r="AR207" s="111">
        <v>3.8086135912612322E-5</v>
      </c>
      <c r="AS207" s="111">
        <v>6.3785413831061212E-6</v>
      </c>
      <c r="AT207" s="111">
        <v>-2.0175871137079531E-5</v>
      </c>
      <c r="AU207" s="111">
        <v>-2.4095108220024009E-5</v>
      </c>
      <c r="AV207" s="111">
        <v>2.0709907687236596E-5</v>
      </c>
      <c r="AW207" s="111">
        <v>-3.8952708590924334E-6</v>
      </c>
    </row>
    <row r="208" spans="1:49" ht="9.75" customHeight="1">
      <c r="X208" s="111" t="s">
        <v>220</v>
      </c>
      <c r="Y208" s="111">
        <v>7.9799999999999996E-2</v>
      </c>
      <c r="Z208" s="111">
        <v>1.0985499748462855E-8</v>
      </c>
      <c r="AA208" s="111">
        <v>-1.659391451745778E-4</v>
      </c>
      <c r="AB208" s="111">
        <v>9</v>
      </c>
      <c r="AC208" s="111">
        <v>0.99519832636758054</v>
      </c>
      <c r="AD208" s="111">
        <v>1.5531296681360081E-2</v>
      </c>
      <c r="AE208" s="111">
        <v>-9.1088805404759294E-3</v>
      </c>
      <c r="AF208" s="111">
        <v>-3.1485281538919923E-3</v>
      </c>
      <c r="AG208" s="111">
        <v>5.330244300992906E-4</v>
      </c>
      <c r="AH208" s="111">
        <v>1.1587789522704518E-3</v>
      </c>
      <c r="AI208" s="111">
        <v>3.5749539536367327E-4</v>
      </c>
      <c r="AJ208" s="111">
        <v>-3.4277915702332797E-4</v>
      </c>
      <c r="AK208" s="111">
        <v>-3.6214721946387053E-4</v>
      </c>
      <c r="AL208" s="111">
        <v>-1.4572164390042761E-5</v>
      </c>
      <c r="AM208" s="111">
        <v>1.8271339295975923E-4</v>
      </c>
      <c r="AN208" s="111">
        <v>1.1136230712803584E-4</v>
      </c>
      <c r="AO208" s="111">
        <v>-2.3795248783677028E-5</v>
      </c>
      <c r="AP208" s="111">
        <v>-6.6051493387090022E-5</v>
      </c>
      <c r="AQ208" s="111">
        <v>-3.9012840151427695E-5</v>
      </c>
      <c r="AR208" s="111">
        <v>-5.2636696652429677E-6</v>
      </c>
      <c r="AS208" s="111">
        <v>1.9639597203743593E-5</v>
      </c>
      <c r="AT208" s="111">
        <v>2.8634189532105648E-5</v>
      </c>
      <c r="AU208" s="111">
        <v>7.2992004487883779E-6</v>
      </c>
      <c r="AV208" s="111">
        <v>-2.4056313046587169E-5</v>
      </c>
      <c r="AW208" s="111">
        <v>6.5162863337143004E-6</v>
      </c>
    </row>
    <row r="209" spans="24:49" ht="9.75" customHeight="1">
      <c r="X209" s="111" t="s">
        <v>221</v>
      </c>
      <c r="Y209" s="111">
        <v>7.4700000000000003E-2</v>
      </c>
      <c r="Z209" s="111">
        <v>5.6217654505446632E-9</v>
      </c>
      <c r="AA209" s="111">
        <v>-1.2836524461915251E-4</v>
      </c>
      <c r="AB209" s="111">
        <v>8</v>
      </c>
      <c r="AC209" s="111">
        <v>0.98813545041172823</v>
      </c>
      <c r="AD209" s="111">
        <v>2.2074220004218884E-2</v>
      </c>
      <c r="AE209" s="111">
        <v>-7.111790556118709E-3</v>
      </c>
      <c r="AF209" s="111">
        <v>-3.8055204174284765E-3</v>
      </c>
      <c r="AG209" s="111">
        <v>-5.5901304484539207E-4</v>
      </c>
      <c r="AH209" s="111">
        <v>8.1293413554398453E-4</v>
      </c>
      <c r="AI209" s="111">
        <v>7.2827323806190091E-4</v>
      </c>
      <c r="AJ209" s="111">
        <v>1.4611973774537223E-4</v>
      </c>
      <c r="AK209" s="111">
        <v>-2.6749812531573247E-4</v>
      </c>
      <c r="AL209" s="111">
        <v>-2.7625537878330197E-4</v>
      </c>
      <c r="AM209" s="111">
        <v>-4.8206595612713053E-5</v>
      </c>
      <c r="AN209" s="111">
        <v>9.9486535887327842E-5</v>
      </c>
      <c r="AO209" s="111">
        <v>1.0242435476053583E-4</v>
      </c>
      <c r="AP209" s="111">
        <v>3.4250735745047805E-5</v>
      </c>
      <c r="AQ209" s="111">
        <v>-1.3810516164171746E-5</v>
      </c>
      <c r="AR209" s="111">
        <v>-3.3401355218084094E-5</v>
      </c>
      <c r="AS209" s="111">
        <v>-2.7294450626748468E-5</v>
      </c>
      <c r="AT209" s="111">
        <v>-1.6398024257663611E-5</v>
      </c>
      <c r="AU209" s="111">
        <v>1.2678226814831182E-5</v>
      </c>
      <c r="AV209" s="111">
        <v>2.3525839405368607E-5</v>
      </c>
      <c r="AW209" s="111">
        <v>-1.017475554040054E-5</v>
      </c>
    </row>
    <row r="210" spans="24:49" ht="9.75" customHeight="1">
      <c r="X210" s="111" t="s">
        <v>222</v>
      </c>
      <c r="Y210" s="111">
        <v>7.0699999999999999E-2</v>
      </c>
      <c r="Z210" s="111">
        <v>2.6898868196340561E-9</v>
      </c>
      <c r="AA210" s="111">
        <v>9.1581998862747549E-5</v>
      </c>
      <c r="AB210" s="111">
        <v>7</v>
      </c>
      <c r="AC210" s="111">
        <v>0.98081465368468979</v>
      </c>
      <c r="AD210" s="111">
        <v>2.812582994708911E-2</v>
      </c>
      <c r="AE210" s="111">
        <v>-4.6193184064963659E-3</v>
      </c>
      <c r="AF210" s="111">
        <v>-3.8438531546608752E-3</v>
      </c>
      <c r="AG210" s="111">
        <v>-1.4784822906904033E-3</v>
      </c>
      <c r="AH210" s="111">
        <v>9.7892154707471637E-5</v>
      </c>
      <c r="AI210" s="111">
        <v>6.2594094009254598E-4</v>
      </c>
      <c r="AJ210" s="111">
        <v>5.0475042716310989E-4</v>
      </c>
      <c r="AK210" s="111">
        <v>1.2072559876475426E-4</v>
      </c>
      <c r="AL210" s="111">
        <v>-1.6451220492372918E-4</v>
      </c>
      <c r="AM210" s="111">
        <v>-2.0000310289132076E-4</v>
      </c>
      <c r="AN210" s="111">
        <v>-9.769451803709982E-5</v>
      </c>
      <c r="AO210" s="111">
        <v>1.0369879862269235E-5</v>
      </c>
      <c r="AP210" s="111">
        <v>5.2545821460548204E-5</v>
      </c>
      <c r="AQ210" s="111">
        <v>4.7263625352728007E-5</v>
      </c>
      <c r="AR210" s="111">
        <v>3.2700310574452978E-5</v>
      </c>
      <c r="AS210" s="111">
        <v>9.0656649788396156E-6</v>
      </c>
      <c r="AT210" s="111">
        <v>-7.9463801473676639E-6</v>
      </c>
      <c r="AU210" s="111">
        <v>-2.6483890647108928E-5</v>
      </c>
      <c r="AV210" s="111">
        <v>-1.861105098632997E-5</v>
      </c>
      <c r="AW210" s="111">
        <v>1.5166944745381103E-5</v>
      </c>
    </row>
    <row r="211" spans="24:49" ht="9.75" customHeight="1">
      <c r="X211" s="111" t="s">
        <v>223</v>
      </c>
      <c r="Y211" s="111">
        <v>6.7400000000000002E-2</v>
      </c>
      <c r="Z211" s="111">
        <v>1.3502649813999588E-9</v>
      </c>
      <c r="AA211" s="111">
        <v>7.0532685430514601E-5</v>
      </c>
      <c r="AB211" s="111">
        <v>6</v>
      </c>
      <c r="AC211" s="111">
        <v>0.97326193919948822</v>
      </c>
      <c r="AD211" s="111">
        <v>3.3593708415522873E-2</v>
      </c>
      <c r="AE211" s="111">
        <v>-1.8107885310914738E-3</v>
      </c>
      <c r="AF211" s="111">
        <v>-3.265575322012083E-3</v>
      </c>
      <c r="AG211" s="111">
        <v>-1.9625158146034296E-3</v>
      </c>
      <c r="AH211" s="111">
        <v>-6.5807150637887208E-4</v>
      </c>
      <c r="AI211" s="111">
        <v>1.2269229521780697E-4</v>
      </c>
      <c r="AJ211" s="111">
        <v>4.2702171357925474E-4</v>
      </c>
      <c r="AK211" s="111">
        <v>3.7510322554052121E-4</v>
      </c>
      <c r="AL211" s="111">
        <v>1.6613883026393318E-4</v>
      </c>
      <c r="AM211" s="111">
        <v>-3.1947444123186196E-5</v>
      </c>
      <c r="AN211" s="111">
        <v>-1.1299568013542026E-4</v>
      </c>
      <c r="AO211" s="111">
        <v>-1.0284466839337177E-4</v>
      </c>
      <c r="AP211" s="111">
        <v>-5.3162235338887352E-5</v>
      </c>
      <c r="AQ211" s="111">
        <v>-1.4447491401972003E-5</v>
      </c>
      <c r="AR211" s="111">
        <v>6.8822639541474223E-6</v>
      </c>
      <c r="AS211" s="111">
        <v>1.7814267317116426E-5</v>
      </c>
      <c r="AT211" s="111">
        <v>2.6038936875436456E-5</v>
      </c>
      <c r="AU211" s="111">
        <v>2.6956440234940222E-5</v>
      </c>
      <c r="AV211" s="111">
        <v>9.7772385590918565E-6</v>
      </c>
      <c r="AW211" s="111">
        <v>-2.1724133074590034E-5</v>
      </c>
    </row>
    <row r="212" spans="24:49" ht="9.75" customHeight="1">
      <c r="X212" s="111" t="s">
        <v>224</v>
      </c>
      <c r="Y212" s="111">
        <v>6.4899999999999999E-2</v>
      </c>
      <c r="Z212" s="111">
        <v>8.5870423123636573E-10</v>
      </c>
      <c r="AA212" s="111">
        <v>5.1850741561132968E-5</v>
      </c>
      <c r="AB212" s="111">
        <v>5</v>
      </c>
      <c r="AC212" s="111">
        <v>0.96563760120944764</v>
      </c>
      <c r="AD212" s="111">
        <v>3.8320805114529753E-2</v>
      </c>
      <c r="AE212" s="111">
        <v>1.058493655990158E-3</v>
      </c>
      <c r="AF212" s="111">
        <v>-2.192780885838332E-3</v>
      </c>
      <c r="AG212" s="111">
        <v>-1.880229403058387E-3</v>
      </c>
      <c r="AH212" s="111">
        <v>-1.1057502400769637E-3</v>
      </c>
      <c r="AI212" s="111">
        <v>-4.4336429778645139E-4</v>
      </c>
      <c r="AJ212" s="111">
        <v>-6.1105511370150608E-6</v>
      </c>
      <c r="AK212" s="111">
        <v>2.2483640059253764E-4</v>
      </c>
      <c r="AL212" s="111">
        <v>2.7139805724660254E-4</v>
      </c>
      <c r="AM212" s="111">
        <v>1.8139861044417284E-4</v>
      </c>
      <c r="AN212" s="111">
        <v>7.543312867250659E-5</v>
      </c>
      <c r="AO212" s="111">
        <v>-1.821889761914164E-6</v>
      </c>
      <c r="AP212" s="111">
        <v>-3.4164121965946356E-5</v>
      </c>
      <c r="AQ212" s="111">
        <v>-3.8069101723512606E-5</v>
      </c>
      <c r="AR212" s="111">
        <v>-3.7001142561076822E-5</v>
      </c>
      <c r="AS212" s="111">
        <v>-2.6022374412269091E-5</v>
      </c>
      <c r="AT212" s="111">
        <v>-2.2530916660016304E-5</v>
      </c>
      <c r="AU212" s="111">
        <v>-1.2513258563794524E-5</v>
      </c>
      <c r="AV212" s="111">
        <v>1.4919246627939189E-6</v>
      </c>
      <c r="AW212" s="111">
        <v>2.8900081958795464E-5</v>
      </c>
    </row>
    <row r="213" spans="24:49" ht="9.75" customHeight="1">
      <c r="X213" s="111" t="s">
        <v>225</v>
      </c>
      <c r="Y213" s="111">
        <v>6.2399999999999997E-2</v>
      </c>
      <c r="Z213" s="111">
        <v>4.6130196504207187E-10</v>
      </c>
      <c r="AA213" s="111">
        <v>-4.2699686184999824E-5</v>
      </c>
      <c r="AB213" s="111">
        <v>4</v>
      </c>
      <c r="AC213" s="111">
        <v>0.95801696677659187</v>
      </c>
      <c r="AD213" s="111">
        <v>4.2246264088254548E-2</v>
      </c>
      <c r="AE213" s="111">
        <v>3.7792499095882061E-3</v>
      </c>
      <c r="AF213" s="111">
        <v>-8.2412470376747667E-4</v>
      </c>
      <c r="AG213" s="111">
        <v>-1.2869844497399629E-3</v>
      </c>
      <c r="AH213" s="111">
        <v>-1.0691829388407975E-3</v>
      </c>
      <c r="AI213" s="111">
        <v>-7.219586624234533E-4</v>
      </c>
      <c r="AJ213" s="111">
        <v>-4.2097932363598252E-4</v>
      </c>
      <c r="AK213" s="111">
        <v>-1.5134501207289571E-4</v>
      </c>
      <c r="AL213" s="111">
        <v>3.0899532896750222E-5</v>
      </c>
      <c r="AM213" s="111">
        <v>1.1577390616413118E-4</v>
      </c>
      <c r="AN213" s="111">
        <v>1.2623110196287624E-4</v>
      </c>
      <c r="AO213" s="111">
        <v>9.9652540761782386E-5</v>
      </c>
      <c r="AP213" s="111">
        <v>6.0040716458033208E-5</v>
      </c>
      <c r="AQ213" s="111">
        <v>3.2003981693600832E-5</v>
      </c>
      <c r="AR213" s="111">
        <v>1.8035871462452862E-5</v>
      </c>
      <c r="AS213" s="111">
        <v>5.5861489578374405E-6</v>
      </c>
      <c r="AT213" s="111">
        <v>-1.1575005843414266E-6</v>
      </c>
      <c r="AU213" s="111">
        <v>-9.6042847121644041E-6</v>
      </c>
      <c r="AV213" s="111">
        <v>-1.1832818308299917E-5</v>
      </c>
      <c r="AW213" s="111">
        <v>-3.3534880707509926E-5</v>
      </c>
    </row>
    <row r="214" spans="24:49" ht="9.75" customHeight="1">
      <c r="X214" s="111" t="s">
        <v>226</v>
      </c>
      <c r="Y214" s="111">
        <v>6.0400000000000002E-2</v>
      </c>
      <c r="Z214" s="111">
        <v>3.6567259698655569E-10</v>
      </c>
      <c r="AA214" s="111">
        <v>3.522510614301992E-5</v>
      </c>
      <c r="AB214" s="111">
        <v>3</v>
      </c>
      <c r="AC214" s="111">
        <v>0.95059848059700613</v>
      </c>
      <c r="AD214" s="111">
        <v>4.5292114213348056E-2</v>
      </c>
      <c r="AE214" s="111">
        <v>6.1301621376820409E-3</v>
      </c>
      <c r="AF214" s="111">
        <v>5.8531634776359213E-4</v>
      </c>
      <c r="AG214" s="111">
        <v>-3.9286927924695071E-4</v>
      </c>
      <c r="AH214" s="111">
        <v>-6.0484552199065926E-4</v>
      </c>
      <c r="AI214" s="111">
        <v>-5.7102068960720054E-4</v>
      </c>
      <c r="AJ214" s="111">
        <v>-4.9164115448545299E-4</v>
      </c>
      <c r="AK214" s="111">
        <v>-3.5954558093739911E-4</v>
      </c>
      <c r="AL214" s="111">
        <v>-2.3358645017343142E-4</v>
      </c>
      <c r="AM214" s="111">
        <v>-1.1044638313095848E-4</v>
      </c>
      <c r="AN214" s="111">
        <v>-3.38799927476281E-5</v>
      </c>
      <c r="AO214" s="111">
        <v>8.374334414816146E-6</v>
      </c>
      <c r="AP214" s="111">
        <v>2.299245961704124E-5</v>
      </c>
      <c r="AQ214" s="111">
        <v>2.4426690173688135E-5</v>
      </c>
      <c r="AR214" s="111">
        <v>2.5114617990564088E-5</v>
      </c>
      <c r="AS214" s="111">
        <v>2.0448002605320793E-5</v>
      </c>
      <c r="AT214" s="111">
        <v>2.2369175526411743E-5</v>
      </c>
      <c r="AU214" s="111">
        <v>2.2982129862652446E-5</v>
      </c>
      <c r="AV214" s="111">
        <v>1.5358889694800082E-5</v>
      </c>
      <c r="AW214" s="111">
        <v>2.9695456635445777E-5</v>
      </c>
    </row>
    <row r="215" spans="24:49" ht="9.75" customHeight="1">
      <c r="X215" s="111" t="s">
        <v>227</v>
      </c>
      <c r="Y215" s="111">
        <v>5.8099999999999999E-2</v>
      </c>
      <c r="Z215" s="111">
        <v>2.6047207554182018E-10</v>
      </c>
      <c r="AA215" s="111">
        <v>3.1819576462066268E-5</v>
      </c>
      <c r="AB215" s="111">
        <v>2</v>
      </c>
      <c r="AC215" s="111">
        <v>0.94359252393929693</v>
      </c>
      <c r="AD215" s="111">
        <v>4.7436325193187037E-2</v>
      </c>
      <c r="AE215" s="111">
        <v>7.9583115505517023E-3</v>
      </c>
      <c r="AF215" s="111">
        <v>1.8031831346823853E-3</v>
      </c>
      <c r="AG215" s="111">
        <v>5.2671179588579826E-4</v>
      </c>
      <c r="AH215" s="111">
        <v>4.6921875336884187E-5</v>
      </c>
      <c r="AI215" s="111">
        <v>-1.2948414872611169E-4</v>
      </c>
      <c r="AJ215" s="111">
        <v>-2.1037863821199079E-4</v>
      </c>
      <c r="AK215" s="111">
        <v>-2.2884385783140493E-4</v>
      </c>
      <c r="AL215" s="111">
        <v>-2.2094634832025596E-4</v>
      </c>
      <c r="AM215" s="111">
        <v>-1.7425133055709095E-4</v>
      </c>
      <c r="AN215" s="111">
        <v>-1.3009290875285248E-4</v>
      </c>
      <c r="AO215" s="111">
        <v>-9.0211718181691628E-5</v>
      </c>
      <c r="AP215" s="111">
        <v>-5.5709807009942939E-5</v>
      </c>
      <c r="AQ215" s="111">
        <v>-3.4498612804602981E-5</v>
      </c>
      <c r="AR215" s="111">
        <v>-2.6068269425610479E-5</v>
      </c>
      <c r="AS215" s="111">
        <v>-1.6557230165300214E-5</v>
      </c>
      <c r="AT215" s="111">
        <v>-1.5130362932786101E-5</v>
      </c>
      <c r="AU215" s="111">
        <v>-1.2794794825260311E-5</v>
      </c>
      <c r="AV215" s="111">
        <v>-7.1861312137761712E-6</v>
      </c>
      <c r="AW215" s="111">
        <v>-1.1823329982151868E-5</v>
      </c>
    </row>
    <row r="216" spans="24:49" ht="9.75" customHeight="1">
      <c r="X216" s="111" t="s">
        <v>228</v>
      </c>
      <c r="Y216" s="111">
        <v>5.5800000000000002E-2</v>
      </c>
      <c r="Z216" s="111">
        <v>1.2332311774811114E-10</v>
      </c>
      <c r="AA216" s="111">
        <v>-2.4056313046587169E-5</v>
      </c>
      <c r="AB216" s="111">
        <v>1</v>
      </c>
      <c r="AC216" s="111">
        <v>0.93638503781174875</v>
      </c>
      <c r="AD216" s="111">
        <v>4.8656056877229785E-2</v>
      </c>
      <c r="AE216" s="111">
        <v>9.1660322237372346E-3</v>
      </c>
      <c r="AF216" s="111">
        <v>2.6800604477165272E-3</v>
      </c>
      <c r="AG216" s="111">
        <v>1.2710190961794706E-3</v>
      </c>
      <c r="AH216" s="111">
        <v>6.6920892315567725E-4</v>
      </c>
      <c r="AI216" s="111">
        <v>4.039114618414001E-4</v>
      </c>
      <c r="AJ216" s="111">
        <v>2.7260795503154426E-4</v>
      </c>
      <c r="AK216" s="111">
        <v>1.8344470997623067E-4</v>
      </c>
      <c r="AL216" s="111">
        <v>1.2522793005374512E-4</v>
      </c>
      <c r="AM216" s="111">
        <v>7.6182140310493283E-5</v>
      </c>
      <c r="AN216" s="111">
        <v>4.6051327293591199E-5</v>
      </c>
      <c r="AO216" s="111">
        <v>2.6880349076020385E-5</v>
      </c>
      <c r="AP216" s="111">
        <v>1.4372290377957394E-5</v>
      </c>
      <c r="AQ216" s="111">
        <v>7.9299593288030823E-6</v>
      </c>
      <c r="AR216" s="111">
        <v>5.4467697213831391E-6</v>
      </c>
      <c r="AS216" s="111">
        <v>3.1587274435648859E-6</v>
      </c>
      <c r="AT216" s="111">
        <v>2.6715744505274638E-6</v>
      </c>
      <c r="AU216" s="111">
        <v>2.0599702787236251E-6</v>
      </c>
      <c r="AV216" s="111">
        <v>1.0558083006126879E-6</v>
      </c>
      <c r="AW216" s="111">
        <v>1.5836467476527846E-6</v>
      </c>
    </row>
    <row r="217" spans="24:49" ht="9.75" customHeight="1">
      <c r="X217" s="111" t="s">
        <v>229</v>
      </c>
      <c r="Y217" s="111">
        <v>5.3600000000000002E-2</v>
      </c>
      <c r="Z217" s="111">
        <v>1.7059820451803053E-10</v>
      </c>
      <c r="AA217" s="111">
        <v>-3.3534880707509926E-5</v>
      </c>
      <c r="AB217" s="111">
        <v>0</v>
      </c>
      <c r="AC217" s="111">
        <v>0</v>
      </c>
      <c r="AD217" s="111">
        <v>0</v>
      </c>
      <c r="AE217" s="111">
        <v>0</v>
      </c>
      <c r="AF217" s="111">
        <v>0</v>
      </c>
      <c r="AG217" s="111">
        <v>0</v>
      </c>
      <c r="AH217" s="111">
        <v>0</v>
      </c>
      <c r="AI217" s="111">
        <v>0</v>
      </c>
      <c r="AJ217" s="111">
        <v>0</v>
      </c>
      <c r="AK217" s="111">
        <v>0</v>
      </c>
      <c r="AL217" s="111">
        <v>0</v>
      </c>
      <c r="AM217" s="111">
        <v>0</v>
      </c>
      <c r="AN217" s="111">
        <v>0</v>
      </c>
      <c r="AO217" s="111">
        <v>0</v>
      </c>
      <c r="AP217" s="111">
        <v>0</v>
      </c>
      <c r="AQ217" s="111">
        <v>0</v>
      </c>
      <c r="AR217" s="111">
        <v>0</v>
      </c>
      <c r="AS217" s="111">
        <v>0</v>
      </c>
      <c r="AT217" s="111">
        <v>0</v>
      </c>
      <c r="AU217" s="111">
        <v>0</v>
      </c>
      <c r="AV217" s="111">
        <v>0</v>
      </c>
      <c r="AW217" s="111">
        <v>0</v>
      </c>
    </row>
    <row r="218" spans="24:49" ht="9.75" customHeight="1">
      <c r="X218" s="111" t="s">
        <v>254</v>
      </c>
      <c r="AB218" s="111">
        <v>21</v>
      </c>
      <c r="AC218" s="111">
        <v>1.0507086102943439</v>
      </c>
      <c r="AD218" s="111">
        <v>-5.971251492370297E-2</v>
      </c>
      <c r="AE218" s="111">
        <v>1.1894599458823622E-2</v>
      </c>
      <c r="AF218" s="111">
        <v>-4.2761096183383269E-3</v>
      </c>
      <c r="AG218" s="111">
        <v>2.1170786988738708E-3</v>
      </c>
      <c r="AH218" s="111">
        <v>-1.1886485604485247E-3</v>
      </c>
      <c r="AI218" s="111">
        <v>7.5318508266235934E-4</v>
      </c>
      <c r="AJ218" s="111">
        <v>-5.0052430540503006E-4</v>
      </c>
      <c r="AK218" s="111">
        <v>3.4397020942793683E-4</v>
      </c>
      <c r="AL218" s="111">
        <v>-2.3857394494408227E-4</v>
      </c>
      <c r="AM218" s="111">
        <v>1.63708523109101E-4</v>
      </c>
      <c r="AN218" s="111">
        <v>-1.0596553187042481E-4</v>
      </c>
      <c r="AO218" s="111">
        <v>6.5371658946033285E-5</v>
      </c>
      <c r="AP218" s="111">
        <v>-3.8166889557182418E-5</v>
      </c>
      <c r="AQ218" s="111">
        <v>2.0553564247489946E-5</v>
      </c>
      <c r="AR218" s="111">
        <v>-8.4888658457120996E-6</v>
      </c>
      <c r="AS218" s="111">
        <v>2.3488794878255178E-6</v>
      </c>
      <c r="AT218" s="111">
        <v>-4.7259745899375554E-7</v>
      </c>
      <c r="AU218" s="111">
        <v>4.3086115393217006E-8</v>
      </c>
      <c r="AV218" s="111">
        <v>-4.5470808802563356E-9</v>
      </c>
      <c r="AW218" s="111">
        <v>3.2861411559257088E-10</v>
      </c>
    </row>
    <row r="219" spans="24:49" ht="9.75" customHeight="1">
      <c r="X219" s="111" t="s">
        <v>13</v>
      </c>
      <c r="Y219" s="111">
        <v>5.3261000000000003</v>
      </c>
      <c r="Z219" s="111">
        <v>0.99854788859412669</v>
      </c>
      <c r="AA219" s="111">
        <v>1.0507086102943439</v>
      </c>
      <c r="AB219" s="111">
        <v>20</v>
      </c>
      <c r="AC219" s="111">
        <v>1.0487818506156572</v>
      </c>
      <c r="AD219" s="111">
        <v>-5.6896892401330099E-2</v>
      </c>
      <c r="AE219" s="111">
        <v>1.0435833985101541E-2</v>
      </c>
      <c r="AF219" s="111">
        <v>-3.1987147311326922E-3</v>
      </c>
      <c r="AG219" s="111">
        <v>1.1942554543657418E-3</v>
      </c>
      <c r="AH219" s="111">
        <v>-3.9456469710976729E-4</v>
      </c>
      <c r="AI219" s="111">
        <v>4.5054503611910684E-5</v>
      </c>
      <c r="AJ219" s="111">
        <v>1.2400802640058329E-4</v>
      </c>
      <c r="AK219" s="111">
        <v>-2.0067693152632767E-4</v>
      </c>
      <c r="AL219" s="111">
        <v>2.2381971459119101E-4</v>
      </c>
      <c r="AM219" s="111">
        <v>-2.1235074242139889E-4</v>
      </c>
      <c r="AN219" s="111">
        <v>1.7629948435525023E-4</v>
      </c>
      <c r="AO219" s="111">
        <v>-1.3268232356546762E-4</v>
      </c>
      <c r="AP219" s="111">
        <v>9.1342853991594204E-5</v>
      </c>
      <c r="AQ219" s="111">
        <v>-5.6007831943276748E-5</v>
      </c>
      <c r="AR219" s="111">
        <v>2.5737962381835327E-5</v>
      </c>
      <c r="AS219" s="111">
        <v>-7.9091706168113472E-6</v>
      </c>
      <c r="AT219" s="111">
        <v>1.7465206238602188E-6</v>
      </c>
      <c r="AU219" s="111">
        <v>-1.603155864768751E-7</v>
      </c>
      <c r="AV219" s="111">
        <v>1.0302994039623261E-8</v>
      </c>
      <c r="AW219" s="111">
        <v>-2.7884169321772759E-10</v>
      </c>
    </row>
    <row r="220" spans="24:49" ht="9.75" customHeight="1">
      <c r="X220" s="111" t="s">
        <v>15</v>
      </c>
      <c r="Y220" s="111">
        <v>0.89459999999999995</v>
      </c>
      <c r="Z220" s="111">
        <v>1.3815489158875726E-3</v>
      </c>
      <c r="AA220" s="111">
        <v>-5.971251492370297E-2</v>
      </c>
      <c r="AB220" s="111">
        <v>19</v>
      </c>
      <c r="AC220" s="111">
        <v>1.0462301064269277</v>
      </c>
      <c r="AD220" s="111">
        <v>-5.2880244083264159E-2</v>
      </c>
      <c r="AE220" s="111">
        <v>7.9820791588665393E-3</v>
      </c>
      <c r="AF220" s="111">
        <v>-1.4045887630098845E-3</v>
      </c>
      <c r="AG220" s="111">
        <v>-2.045320878226175E-4</v>
      </c>
      <c r="AH220" s="111">
        <v>6.4237052156486505E-4</v>
      </c>
      <c r="AI220" s="111">
        <v>-6.9592843777695125E-4</v>
      </c>
      <c r="AJ220" s="111">
        <v>5.9102850931294854E-4</v>
      </c>
      <c r="AK220" s="111">
        <v>-4.2971213502172178E-4</v>
      </c>
      <c r="AL220" s="111">
        <v>2.5708459221021086E-4</v>
      </c>
      <c r="AM220" s="111">
        <v>-1.0654864069217529E-4</v>
      </c>
      <c r="AN220" s="111">
        <v>-5.5202168830309409E-6</v>
      </c>
      <c r="AO220" s="111">
        <v>6.6417350363337109E-5</v>
      </c>
      <c r="AP220" s="111">
        <v>-8.5194679916935576E-5</v>
      </c>
      <c r="AQ220" s="111">
        <v>7.3420041134835432E-5</v>
      </c>
      <c r="AR220" s="111">
        <v>-4.2404710248658527E-5</v>
      </c>
      <c r="AS220" s="111">
        <v>1.5813638465824625E-5</v>
      </c>
      <c r="AT220" s="111">
        <v>-4.0502855395445204E-6</v>
      </c>
      <c r="AU220" s="111">
        <v>4.3340842972128866E-7</v>
      </c>
      <c r="AV220" s="111">
        <v>-3.0372918429985605E-8</v>
      </c>
      <c r="AW220" s="111">
        <v>7.6581826360391338E-10</v>
      </c>
    </row>
    <row r="221" spans="24:49" ht="9.75" customHeight="1">
      <c r="X221" s="111" t="s">
        <v>17</v>
      </c>
      <c r="Y221" s="111">
        <v>0.42070000000000002</v>
      </c>
      <c r="Z221" s="111">
        <v>5.9524691281046601E-5</v>
      </c>
      <c r="AA221" s="111">
        <v>1.1894599458823622E-2</v>
      </c>
      <c r="AB221" s="111">
        <v>18</v>
      </c>
      <c r="AC221" s="111">
        <v>1.0431228639658521</v>
      </c>
      <c r="AD221" s="111">
        <v>-4.78776256732764E-2</v>
      </c>
      <c r="AE221" s="111">
        <v>4.8740029475848037E-3</v>
      </c>
      <c r="AF221" s="111">
        <v>6.2786030510758313E-4</v>
      </c>
      <c r="AG221" s="111">
        <v>-1.4682365525626724E-3</v>
      </c>
      <c r="AH221" s="111">
        <v>1.2436065769433561E-3</v>
      </c>
      <c r="AI221" s="111">
        <v>-7.9942457763059588E-4</v>
      </c>
      <c r="AJ221" s="111">
        <v>3.4949047095422401E-4</v>
      </c>
      <c r="AK221" s="111">
        <v>-1.1840456468821594E-5</v>
      </c>
      <c r="AL221" s="111">
        <v>-1.7978063325541907E-4</v>
      </c>
      <c r="AM221" s="111">
        <v>2.259998328253223E-4</v>
      </c>
      <c r="AN221" s="111">
        <v>-1.6661417884647085E-4</v>
      </c>
      <c r="AO221" s="111">
        <v>6.7746439806082867E-5</v>
      </c>
      <c r="AP221" s="111">
        <v>1.8337723008960987E-5</v>
      </c>
      <c r="AQ221" s="111">
        <v>-6.0817221400217167E-5</v>
      </c>
      <c r="AR221" s="111">
        <v>5.3722802916402749E-5</v>
      </c>
      <c r="AS221" s="111">
        <v>-2.6519802827705155E-5</v>
      </c>
      <c r="AT221" s="111">
        <v>8.2057484559066219E-6</v>
      </c>
      <c r="AU221" s="111">
        <v>-1.062017227968787E-6</v>
      </c>
      <c r="AV221" s="111">
        <v>8.6779777983288982E-8</v>
      </c>
      <c r="AW221" s="111">
        <v>-2.4797348606848599E-9</v>
      </c>
    </row>
    <row r="222" spans="24:49" ht="9.75" customHeight="1">
      <c r="X222" s="111" t="s">
        <v>19</v>
      </c>
      <c r="Y222" s="111">
        <v>0.27410000000000001</v>
      </c>
      <c r="Z222" s="111">
        <v>7.6819775586170233E-6</v>
      </c>
      <c r="AA222" s="111">
        <v>-4.2761096183383269E-3</v>
      </c>
      <c r="AB222" s="111">
        <v>17</v>
      </c>
      <c r="AC222" s="111">
        <v>1.0394840500725242</v>
      </c>
      <c r="AD222" s="111">
        <v>-4.2026526274888072E-2</v>
      </c>
      <c r="AE222" s="111">
        <v>1.4135638580590677E-3</v>
      </c>
      <c r="AF222" s="111">
        <v>2.4652082343152816E-3</v>
      </c>
      <c r="AG222" s="111">
        <v>-2.1337756738840827E-3</v>
      </c>
      <c r="AH222" s="111">
        <v>1.0829443551660632E-3</v>
      </c>
      <c r="AI222" s="111">
        <v>-2.1955046773809202E-4</v>
      </c>
      <c r="AJ222" s="111">
        <v>-2.826996748181132E-4</v>
      </c>
      <c r="AK222" s="111">
        <v>4.1179061811019642E-4</v>
      </c>
      <c r="AL222" s="111">
        <v>-2.8605121300339021E-4</v>
      </c>
      <c r="AM222" s="111">
        <v>7.3788592321918543E-5</v>
      </c>
      <c r="AN222" s="111">
        <v>8.4227849265007377E-5</v>
      </c>
      <c r="AO222" s="111">
        <v>-1.1955828841682036E-4</v>
      </c>
      <c r="AP222" s="111">
        <v>6.1749124133219635E-5</v>
      </c>
      <c r="AQ222" s="111">
        <v>1.7077743908936201E-5</v>
      </c>
      <c r="AR222" s="111">
        <v>-5.1972163916793567E-5</v>
      </c>
      <c r="AS222" s="111">
        <v>3.8552201712224655E-5</v>
      </c>
      <c r="AT222" s="111">
        <v>-1.500110676838169E-5</v>
      </c>
      <c r="AU222" s="111">
        <v>2.4091578122291631E-6</v>
      </c>
      <c r="AV222" s="111">
        <v>-2.3490929962646705E-7</v>
      </c>
      <c r="AW222" s="111">
        <v>7.9654057617594626E-9</v>
      </c>
    </row>
    <row r="223" spans="24:49" ht="9.75" customHeight="1">
      <c r="X223" s="111" t="s">
        <v>20</v>
      </c>
      <c r="Y223" s="111">
        <v>0.20499999999999999</v>
      </c>
      <c r="Z223" s="111">
        <v>2.061361593171338E-6</v>
      </c>
      <c r="AA223" s="111">
        <v>-2.1337756738840827E-3</v>
      </c>
      <c r="AB223" s="111">
        <v>16</v>
      </c>
      <c r="AC223" s="111">
        <v>1.0354481548704944</v>
      </c>
      <c r="AD223" s="111">
        <v>-3.56693851487161E-2</v>
      </c>
      <c r="AE223" s="111">
        <v>-1.9585722192704737E-3</v>
      </c>
      <c r="AF223" s="111">
        <v>3.6927074884051565E-3</v>
      </c>
      <c r="AG223" s="111">
        <v>-1.9922439232084167E-3</v>
      </c>
      <c r="AH223" s="111">
        <v>3.2305610676787737E-4</v>
      </c>
      <c r="AI223" s="111">
        <v>5.0063484866306725E-4</v>
      </c>
      <c r="AJ223" s="111">
        <v>-5.7506156020500194E-4</v>
      </c>
      <c r="AK223" s="111">
        <v>2.5145441567375417E-4</v>
      </c>
      <c r="AL223" s="111">
        <v>9.0289024216725158E-5</v>
      </c>
      <c r="AM223" s="111">
        <v>-2.1498828508106305E-4</v>
      </c>
      <c r="AN223" s="111">
        <v>1.2627058111622759E-4</v>
      </c>
      <c r="AO223" s="111">
        <v>1.7249086329997377E-5</v>
      </c>
      <c r="AP223" s="111">
        <v>-7.841106291108329E-5</v>
      </c>
      <c r="AQ223" s="111">
        <v>3.5283392579001284E-5</v>
      </c>
      <c r="AR223" s="111">
        <v>2.9697503109223299E-5</v>
      </c>
      <c r="AS223" s="111">
        <v>-4.536656746072841E-5</v>
      </c>
      <c r="AT223" s="111">
        <v>2.3507098370404023E-5</v>
      </c>
      <c r="AU223" s="111">
        <v>-4.8214560678385426E-6</v>
      </c>
      <c r="AV223" s="111">
        <v>5.6883729376577361E-7</v>
      </c>
      <c r="AW223" s="111">
        <v>-2.3030098619134173E-8</v>
      </c>
    </row>
    <row r="224" spans="24:49" ht="9.75" customHeight="1">
      <c r="X224" s="111" t="s">
        <v>22</v>
      </c>
      <c r="Y224" s="111">
        <v>0.16370000000000001</v>
      </c>
      <c r="Z224" s="111">
        <v>6.8871201737410273E-7</v>
      </c>
      <c r="AA224" s="111">
        <v>1.2436065769433561E-3</v>
      </c>
      <c r="AB224" s="111">
        <v>15</v>
      </c>
      <c r="AC224" s="111">
        <v>1.0309345931953502</v>
      </c>
      <c r="AD224" s="111">
        <v>-2.8763372636881852E-2</v>
      </c>
      <c r="AE224" s="111">
        <v>-5.0947378599760368E-3</v>
      </c>
      <c r="AF224" s="111">
        <v>4.1630851138192157E-3</v>
      </c>
      <c r="AG224" s="111">
        <v>-1.1479038346799016E-3</v>
      </c>
      <c r="AH224" s="111">
        <v>-6.0341542813938651E-4</v>
      </c>
      <c r="AI224" s="111">
        <v>8.1615065631480358E-4</v>
      </c>
      <c r="AJ224" s="111">
        <v>-2.5999967809711553E-4</v>
      </c>
      <c r="AK224" s="111">
        <v>-2.4086397500101782E-4</v>
      </c>
      <c r="AL224" s="111">
        <v>3.1220467565183841E-4</v>
      </c>
      <c r="AM224" s="111">
        <v>-8.0948594457179158E-5</v>
      </c>
      <c r="AN224" s="111">
        <v>-1.1764796122619024E-4</v>
      </c>
      <c r="AO224" s="111">
        <v>1.0743700023315096E-4</v>
      </c>
      <c r="AP224" s="111">
        <v>9.6048505874761229E-6</v>
      </c>
      <c r="AQ224" s="111">
        <v>-5.8399438686703128E-5</v>
      </c>
      <c r="AR224" s="111">
        <v>8.3371408451029975E-6</v>
      </c>
      <c r="AS224" s="111">
        <v>3.9903118997438809E-5</v>
      </c>
      <c r="AT224" s="111">
        <v>-3.1524072957025802E-5</v>
      </c>
      <c r="AU224" s="111">
        <v>8.7101114066040276E-6</v>
      </c>
      <c r="AV224" s="111">
        <v>-1.2751429915815555E-6</v>
      </c>
      <c r="AW224" s="111">
        <v>6.2759889728812554E-8</v>
      </c>
    </row>
    <row r="225" spans="1:49" ht="9.75" customHeight="1">
      <c r="X225" s="111" t="s">
        <v>215</v>
      </c>
      <c r="Y225" s="111">
        <v>0.13730000000000001</v>
      </c>
      <c r="Z225" s="111">
        <v>2.9105981373774804E-7</v>
      </c>
      <c r="AA225" s="111">
        <v>8.1615065631480358E-4</v>
      </c>
      <c r="AB225" s="111">
        <v>14</v>
      </c>
      <c r="AC225" s="111">
        <v>1.0259674869512689</v>
      </c>
      <c r="AD225" s="111">
        <v>-2.1461871654359987E-2</v>
      </c>
      <c r="AE225" s="111">
        <v>-7.7403953646276473E-3</v>
      </c>
      <c r="AF225" s="111">
        <v>3.8099919978949511E-3</v>
      </c>
      <c r="AG225" s="111">
        <v>8.2571243636111997E-5</v>
      </c>
      <c r="AH225" s="111">
        <v>-1.1875638438519681E-3</v>
      </c>
      <c r="AI225" s="111">
        <v>4.9701033131880051E-4</v>
      </c>
      <c r="AJ225" s="111">
        <v>3.1729221183017097E-4</v>
      </c>
      <c r="AK225" s="111">
        <v>-4.0899784134793606E-4</v>
      </c>
      <c r="AL225" s="111">
        <v>2.785857291900483E-5</v>
      </c>
      <c r="AM225" s="111">
        <v>2.0564092020064031E-4</v>
      </c>
      <c r="AN225" s="111">
        <v>-9.6368765285326317E-5</v>
      </c>
      <c r="AO225" s="111">
        <v>-7.5384437554338921E-5</v>
      </c>
      <c r="AP225" s="111">
        <v>6.890989185397106E-5</v>
      </c>
      <c r="AQ225" s="111">
        <v>3.1128012918797404E-5</v>
      </c>
      <c r="AR225" s="111">
        <v>-4.0725670220152564E-5</v>
      </c>
      <c r="AS225" s="111">
        <v>-2.1325215707843121E-5</v>
      </c>
      <c r="AT225" s="111">
        <v>3.6832676819490206E-5</v>
      </c>
      <c r="AU225" s="111">
        <v>-1.4642080430727118E-5</v>
      </c>
      <c r="AV225" s="111">
        <v>2.7163141098244188E-6</v>
      </c>
      <c r="AW225" s="111">
        <v>-1.6425138347970712E-7</v>
      </c>
    </row>
    <row r="226" spans="1:49" ht="9.75" customHeight="1">
      <c r="X226" s="111" t="s">
        <v>216</v>
      </c>
      <c r="Y226" s="111">
        <v>0.1188</v>
      </c>
      <c r="Z226" s="111">
        <v>1.4512718402338624E-7</v>
      </c>
      <c r="AA226" s="111">
        <v>5.9102850931294854E-4</v>
      </c>
      <c r="AB226" s="111">
        <v>13</v>
      </c>
      <c r="AC226" s="111">
        <v>1.0206054492422052</v>
      </c>
      <c r="AD226" s="111">
        <v>-1.3969483942360646E-2</v>
      </c>
      <c r="AE226" s="111">
        <v>-9.6792735054278406E-3</v>
      </c>
      <c r="AF226" s="111">
        <v>2.7373227289524136E-3</v>
      </c>
      <c r="AG226" s="111">
        <v>1.2564155440438921E-3</v>
      </c>
      <c r="AH226" s="111">
        <v>-1.1289195198171786E-3</v>
      </c>
      <c r="AI226" s="111">
        <v>-1.8794787314271988E-4</v>
      </c>
      <c r="AJ226" s="111">
        <v>5.6087739510653353E-4</v>
      </c>
      <c r="AK226" s="111">
        <v>-5.0012959294371371E-5</v>
      </c>
      <c r="AL226" s="111">
        <v>-2.934274861547352E-4</v>
      </c>
      <c r="AM226" s="111">
        <v>1.0213245205808713E-4</v>
      </c>
      <c r="AN226" s="111">
        <v>1.3299615333048801E-4</v>
      </c>
      <c r="AO226" s="111">
        <v>-6.7799573745260007E-5</v>
      </c>
      <c r="AP226" s="111">
        <v>-6.3598285710092436E-5</v>
      </c>
      <c r="AQ226" s="111">
        <v>2.4049678782325899E-5</v>
      </c>
      <c r="AR226" s="111">
        <v>4.5058044900275326E-5</v>
      </c>
      <c r="AS226" s="111">
        <v>-5.4214465675227865E-6</v>
      </c>
      <c r="AT226" s="111">
        <v>-3.6061617782328907E-5</v>
      </c>
      <c r="AU226" s="111">
        <v>2.2687700815727809E-5</v>
      </c>
      <c r="AV226" s="111">
        <v>-5.4520300806289409E-6</v>
      </c>
      <c r="AW226" s="111">
        <v>4.0929988889454711E-7</v>
      </c>
    </row>
    <row r="227" spans="1:49" ht="9.75" customHeight="1">
      <c r="X227" s="111" t="s">
        <v>217</v>
      </c>
      <c r="Y227" s="111">
        <v>0.1053</v>
      </c>
      <c r="Z227" s="111">
        <v>7.8919414709248956E-8</v>
      </c>
      <c r="AA227" s="111">
        <v>-4.2971213502172178E-4</v>
      </c>
      <c r="AB227" s="111">
        <v>12</v>
      </c>
      <c r="AC227" s="111">
        <v>1.014984822688175</v>
      </c>
      <c r="AD227" s="111">
        <v>-6.5823301788784589E-3</v>
      </c>
      <c r="AE227" s="111">
        <v>-1.0767680321667675E-2</v>
      </c>
      <c r="AF227" s="111">
        <v>1.2155632844289435E-3</v>
      </c>
      <c r="AG227" s="111">
        <v>1.9706134282155819E-3</v>
      </c>
      <c r="AH227" s="111">
        <v>-5.0326422208777115E-4</v>
      </c>
      <c r="AI227" s="111">
        <v>-7.0551879101173195E-4</v>
      </c>
      <c r="AJ227" s="111">
        <v>2.5511381386114531E-4</v>
      </c>
      <c r="AK227" s="111">
        <v>3.5324881870008111E-4</v>
      </c>
      <c r="AL227" s="111">
        <v>-1.6087539068427017E-4</v>
      </c>
      <c r="AM227" s="111">
        <v>-1.7783757486368001E-4</v>
      </c>
      <c r="AN227" s="111">
        <v>7.7014101874173558E-5</v>
      </c>
      <c r="AO227" s="111">
        <v>9.8791075564836245E-5</v>
      </c>
      <c r="AP227" s="111">
        <v>-2.2487449297058552E-5</v>
      </c>
      <c r="AQ227" s="111">
        <v>-5.2217969237278163E-5</v>
      </c>
      <c r="AR227" s="111">
        <v>-1.412640779281478E-5</v>
      </c>
      <c r="AS227" s="111">
        <v>2.8063333205274311E-5</v>
      </c>
      <c r="AT227" s="111">
        <v>2.4705783547467748E-5</v>
      </c>
      <c r="AU227" s="111">
        <v>-3.0502152842261197E-5</v>
      </c>
      <c r="AV227" s="111">
        <v>9.836149206840353E-6</v>
      </c>
      <c r="AW227" s="111">
        <v>-9.3201841606443753E-7</v>
      </c>
    </row>
    <row r="228" spans="1:49" ht="9.75" customHeight="1">
      <c r="X228" s="111" t="s">
        <v>218</v>
      </c>
      <c r="Y228" s="111">
        <v>9.5000000000000001E-2</v>
      </c>
      <c r="Z228" s="111">
        <v>4.3944583193371504E-8</v>
      </c>
      <c r="AA228" s="111">
        <v>3.1220467565183841E-4</v>
      </c>
      <c r="AB228" s="111">
        <v>11</v>
      </c>
      <c r="AC228" s="111">
        <v>1.0091768426382859</v>
      </c>
      <c r="AD228" s="111">
        <v>5.3099736804949134E-4</v>
      </c>
      <c r="AE228" s="111">
        <v>-1.0997618137320761E-2</v>
      </c>
      <c r="AF228" s="111">
        <v>-4.3943243090018128E-4</v>
      </c>
      <c r="AG228" s="111">
        <v>2.0451649671446755E-3</v>
      </c>
      <c r="AH228" s="111">
        <v>3.3055451584933671E-4</v>
      </c>
      <c r="AI228" s="111">
        <v>-7.1562034555870929E-4</v>
      </c>
      <c r="AJ228" s="111">
        <v>-2.6697640633757859E-4</v>
      </c>
      <c r="AK228" s="111">
        <v>3.2770634302174771E-4</v>
      </c>
      <c r="AL228" s="111">
        <v>1.9285205571840296E-4</v>
      </c>
      <c r="AM228" s="111">
        <v>-1.4369626160112348E-4</v>
      </c>
      <c r="AN228" s="111">
        <v>-1.2686173301876689E-4</v>
      </c>
      <c r="AO228" s="111">
        <v>3.6642993432765276E-5</v>
      </c>
      <c r="AP228" s="111">
        <v>7.2605922420591692E-5</v>
      </c>
      <c r="AQ228" s="111">
        <v>1.8637801880785112E-5</v>
      </c>
      <c r="AR228" s="111">
        <v>-2.8349759395904181E-5</v>
      </c>
      <c r="AS228" s="111">
        <v>-3.0125767940446565E-5</v>
      </c>
      <c r="AT228" s="111">
        <v>-2.2853845474534986E-6</v>
      </c>
      <c r="AU228" s="111">
        <v>3.2229410610789848E-5</v>
      </c>
      <c r="AV228" s="111">
        <v>-1.5140594701631237E-5</v>
      </c>
      <c r="AW228" s="111">
        <v>1.8728049078500249E-6</v>
      </c>
    </row>
    <row r="229" spans="1:49" ht="9.75" customHeight="1">
      <c r="X229" s="111" t="s">
        <v>219</v>
      </c>
      <c r="Y229" s="111">
        <v>8.72E-2</v>
      </c>
      <c r="Z229" s="111">
        <v>2.2679285002374937E-8</v>
      </c>
      <c r="AA229" s="111">
        <v>2.259998328253223E-4</v>
      </c>
      <c r="AB229" s="111">
        <v>10</v>
      </c>
      <c r="AC229" s="111">
        <v>1.0030375442136892</v>
      </c>
      <c r="AD229" s="111">
        <v>7.4742675700616139E-3</v>
      </c>
      <c r="AE229" s="111">
        <v>-1.0410252932547907E-2</v>
      </c>
      <c r="AF229" s="111">
        <v>-1.9995776722144219E-3</v>
      </c>
      <c r="AG229" s="111">
        <v>1.503074566463115E-3</v>
      </c>
      <c r="AH229" s="111">
        <v>9.9491555490343296E-4</v>
      </c>
      <c r="AI229" s="111">
        <v>-2.4478072219508227E-4</v>
      </c>
      <c r="AJ229" s="111">
        <v>-5.4272057060335017E-4</v>
      </c>
      <c r="AK229" s="111">
        <v>-7.0182084793192907E-5</v>
      </c>
      <c r="AL229" s="111">
        <v>2.7156857414289531E-4</v>
      </c>
      <c r="AM229" s="111">
        <v>1.2859746426780713E-4</v>
      </c>
      <c r="AN229" s="111">
        <v>-8.3153151353287089E-5</v>
      </c>
      <c r="AO229" s="111">
        <v>-1.049969095325773E-4</v>
      </c>
      <c r="AP229" s="111">
        <v>-1.2327440706304799E-5</v>
      </c>
      <c r="AQ229" s="111">
        <v>3.8127711189414396E-5</v>
      </c>
      <c r="AR229" s="111">
        <v>4.0481908962300028E-5</v>
      </c>
      <c r="AS229" s="111">
        <v>7.6831708984585697E-6</v>
      </c>
      <c r="AT229" s="111">
        <v>-2.1170624824742627E-5</v>
      </c>
      <c r="AU229" s="111">
        <v>-2.3782834090209217E-5</v>
      </c>
      <c r="AV229" s="111">
        <v>2.0119460241543303E-5</v>
      </c>
      <c r="AW229" s="111">
        <v>-3.435251958671227E-6</v>
      </c>
    </row>
    <row r="230" spans="1:49" ht="9.75" customHeight="1">
      <c r="X230" s="111" t="s">
        <v>220</v>
      </c>
      <c r="Y230" s="111">
        <v>8.09E-2</v>
      </c>
      <c r="Z230" s="111">
        <v>1.1366725354250187E-8</v>
      </c>
      <c r="AA230" s="111">
        <v>1.7629948435525023E-4</v>
      </c>
      <c r="AB230" s="111">
        <v>9</v>
      </c>
      <c r="AC230" s="111">
        <v>0.99666502154723624</v>
      </c>
      <c r="AD230" s="111">
        <v>1.4055590222142285E-2</v>
      </c>
      <c r="AE230" s="111">
        <v>-9.0917645638571437E-3</v>
      </c>
      <c r="AF230" s="111">
        <v>-3.189271887202398E-3</v>
      </c>
      <c r="AG230" s="111">
        <v>5.3688178423713824E-4</v>
      </c>
      <c r="AH230" s="111">
        <v>1.1829232178544001E-3</v>
      </c>
      <c r="AI230" s="111">
        <v>3.7283097734588206E-4</v>
      </c>
      <c r="AJ230" s="111">
        <v>-3.3861043131179974E-4</v>
      </c>
      <c r="AK230" s="111">
        <v>-3.7888851755157117E-4</v>
      </c>
      <c r="AL230" s="111">
        <v>-2.1020130040973326E-5</v>
      </c>
      <c r="AM230" s="111">
        <v>1.8591600529068608E-4</v>
      </c>
      <c r="AN230" s="111">
        <v>1.1508602838997233E-4</v>
      </c>
      <c r="AO230" s="111">
        <v>-1.8550903678124959E-5</v>
      </c>
      <c r="AP230" s="111">
        <v>-6.5421060757153536E-5</v>
      </c>
      <c r="AQ230" s="111">
        <v>-4.3003133774025645E-5</v>
      </c>
      <c r="AR230" s="111">
        <v>-7.6085156418955268E-6</v>
      </c>
      <c r="AS230" s="111">
        <v>2.0848020692261101E-5</v>
      </c>
      <c r="AT230" s="111">
        <v>2.9897635565234327E-5</v>
      </c>
      <c r="AU230" s="111">
        <v>6.2749978763869733E-6</v>
      </c>
      <c r="AV230" s="111">
        <v>-2.2924879391254351E-5</v>
      </c>
      <c r="AW230" s="111">
        <v>5.7935865757250619E-6</v>
      </c>
    </row>
    <row r="231" spans="1:49" ht="9.75" customHeight="1">
      <c r="X231" s="111" t="s">
        <v>221</v>
      </c>
      <c r="Y231" s="111">
        <v>7.5800000000000006E-2</v>
      </c>
      <c r="Z231" s="111">
        <v>5.9829316606906893E-9</v>
      </c>
      <c r="AA231" s="111">
        <v>-1.3268232356546762E-4</v>
      </c>
      <c r="AB231" s="111">
        <v>8</v>
      </c>
      <c r="AC231" s="111">
        <v>0.9899265743035468</v>
      </c>
      <c r="AD231" s="111">
        <v>2.0330353689813885E-2</v>
      </c>
      <c r="AE231" s="111">
        <v>-7.1176007296694906E-3</v>
      </c>
      <c r="AF231" s="111">
        <v>-3.8569793147905877E-3</v>
      </c>
      <c r="AG231" s="111">
        <v>-5.8459097723120715E-4</v>
      </c>
      <c r="AH231" s="111">
        <v>8.2688960570763241E-4</v>
      </c>
      <c r="AI231" s="111">
        <v>7.4802465504364391E-4</v>
      </c>
      <c r="AJ231" s="111">
        <v>1.5975299661173098E-4</v>
      </c>
      <c r="AK231" s="111">
        <v>-2.6811956328528987E-4</v>
      </c>
      <c r="AL231" s="111">
        <v>-2.8532537041717801E-4</v>
      </c>
      <c r="AM231" s="111">
        <v>-5.6414855459583067E-5</v>
      </c>
      <c r="AN231" s="111">
        <v>9.7532175502131356E-5</v>
      </c>
      <c r="AO231" s="111">
        <v>1.0753595113146992E-4</v>
      </c>
      <c r="AP231" s="111">
        <v>3.780736597317711E-5</v>
      </c>
      <c r="AQ231" s="111">
        <v>-1.1228359986185004E-5</v>
      </c>
      <c r="AR231" s="111">
        <v>-3.410162463994762E-5</v>
      </c>
      <c r="AS231" s="111">
        <v>-2.9956309378095471E-5</v>
      </c>
      <c r="AT231" s="111">
        <v>-1.7069795430122599E-5</v>
      </c>
      <c r="AU231" s="111">
        <v>1.4041200280228835E-5</v>
      </c>
      <c r="AV231" s="111">
        <v>2.2115398521137041E-5</v>
      </c>
      <c r="AW231" s="111">
        <v>-9.2404418447219832E-6</v>
      </c>
    </row>
    <row r="232" spans="1:49" ht="9.75" customHeight="1">
      <c r="X232" s="111" t="s">
        <v>222</v>
      </c>
      <c r="Y232" s="111">
        <v>7.1599999999999997E-2</v>
      </c>
      <c r="Z232" s="111">
        <v>2.7695908095438672E-9</v>
      </c>
      <c r="AA232" s="111">
        <v>9.1342853991594204E-5</v>
      </c>
      <c r="AB232" s="111">
        <v>7</v>
      </c>
      <c r="AC232" s="111">
        <v>0.98287976468272054</v>
      </c>
      <c r="AD232" s="111">
        <v>2.6157476028922187E-2</v>
      </c>
      <c r="AE232" s="111">
        <v>-4.6457263060004431E-3</v>
      </c>
      <c r="AF232" s="111">
        <v>-3.8921456390617177E-3</v>
      </c>
      <c r="AG232" s="111">
        <v>-1.5258160835682714E-3</v>
      </c>
      <c r="AH232" s="111">
        <v>9.5424492481626294E-5</v>
      </c>
      <c r="AI232" s="111">
        <v>6.369375230542675E-4</v>
      </c>
      <c r="AJ232" s="111">
        <v>5.1607323606540011E-4</v>
      </c>
      <c r="AK232" s="111">
        <v>1.3670924099701867E-4</v>
      </c>
      <c r="AL232" s="111">
        <v>-1.6321774835846871E-4</v>
      </c>
      <c r="AM232" s="111">
        <v>-2.0654608199447379E-4</v>
      </c>
      <c r="AN232" s="111">
        <v>-1.0149990981737542E-4</v>
      </c>
      <c r="AO232" s="111">
        <v>4.9716317081559288E-6</v>
      </c>
      <c r="AP232" s="111">
        <v>5.0543956798533219E-5</v>
      </c>
      <c r="AQ232" s="111">
        <v>4.9611374745158966E-5</v>
      </c>
      <c r="AR232" s="111">
        <v>3.574401106899792E-5</v>
      </c>
      <c r="AS232" s="111">
        <v>1.0880422450587618E-5</v>
      </c>
      <c r="AT232" s="111">
        <v>-8.1306198109003784E-6</v>
      </c>
      <c r="AU232" s="111">
        <v>-2.7774961343861937E-5</v>
      </c>
      <c r="AV232" s="111">
        <v>-1.7535662732380948E-5</v>
      </c>
      <c r="AW232" s="111">
        <v>1.4256411675659281E-5</v>
      </c>
    </row>
    <row r="233" spans="1:49" ht="9.75" customHeight="1">
      <c r="X233" s="111" t="s">
        <v>223</v>
      </c>
      <c r="Y233" s="111">
        <v>6.83E-2</v>
      </c>
      <c r="Z233" s="111">
        <v>1.4720974935473691E-9</v>
      </c>
      <c r="AA233" s="111">
        <v>7.3420041134835432E-5</v>
      </c>
      <c r="AB233" s="111">
        <v>6</v>
      </c>
      <c r="AC233" s="111">
        <v>0.97554482116138597</v>
      </c>
      <c r="AD233" s="111">
        <v>3.1444198473104472E-2</v>
      </c>
      <c r="AE233" s="111">
        <v>-1.8560755555112826E-3</v>
      </c>
      <c r="AF233" s="111">
        <v>-3.2978040597504928E-3</v>
      </c>
      <c r="AG233" s="111">
        <v>-2.016955067365728E-3</v>
      </c>
      <c r="AH233" s="111">
        <v>-6.7523911731556406E-4</v>
      </c>
      <c r="AI233" s="111">
        <v>1.1776570438662514E-4</v>
      </c>
      <c r="AJ233" s="111">
        <v>4.264936953151986E-4</v>
      </c>
      <c r="AK233" s="111">
        <v>3.8994250573168754E-4</v>
      </c>
      <c r="AL233" s="111">
        <v>1.763709036542043E-4</v>
      </c>
      <c r="AM233" s="111">
        <v>-2.7035690463934015E-5</v>
      </c>
      <c r="AN233" s="111">
        <v>-1.1166328512884525E-4</v>
      </c>
      <c r="AO233" s="111">
        <v>-1.0727614179347467E-4</v>
      </c>
      <c r="AP233" s="111">
        <v>-5.5962895710129958E-5</v>
      </c>
      <c r="AQ233" s="111">
        <v>-1.8361566378987522E-5</v>
      </c>
      <c r="AR233" s="111">
        <v>5.0036127735051869E-6</v>
      </c>
      <c r="AS233" s="111">
        <v>1.8515282428373479E-5</v>
      </c>
      <c r="AT233" s="111">
        <v>2.7031714958432222E-5</v>
      </c>
      <c r="AU233" s="111">
        <v>2.7984098846674154E-5</v>
      </c>
      <c r="AV233" s="111">
        <v>9.5266710500337708E-6</v>
      </c>
      <c r="AW233" s="111">
        <v>-2.1280444216347222E-5</v>
      </c>
    </row>
    <row r="234" spans="1:49" ht="9.75" customHeight="1">
      <c r="X234" s="111" t="s">
        <v>224</v>
      </c>
      <c r="Y234" s="111">
        <v>6.5699999999999995E-2</v>
      </c>
      <c r="Z234" s="111">
        <v>9.4583995494153965E-10</v>
      </c>
      <c r="AA234" s="111">
        <v>5.3722802916402749E-5</v>
      </c>
      <c r="AB234" s="111">
        <v>5</v>
      </c>
      <c r="AC234" s="111">
        <v>0.96808360850044206</v>
      </c>
      <c r="AD234" s="111">
        <v>3.6026978560680586E-2</v>
      </c>
      <c r="AE234" s="111">
        <v>9.9371895146452434E-4</v>
      </c>
      <c r="AF234" s="111">
        <v>-2.2009226745183688E-3</v>
      </c>
      <c r="AG234" s="111">
        <v>-1.9252115798920272E-3</v>
      </c>
      <c r="AH234" s="111">
        <v>-1.1287001385621716E-3</v>
      </c>
      <c r="AI234" s="111">
        <v>-4.6044102440067556E-4</v>
      </c>
      <c r="AJ234" s="111">
        <v>-1.7190700316950352E-5</v>
      </c>
      <c r="AK234" s="111">
        <v>2.2282335926323443E-4</v>
      </c>
      <c r="AL234" s="111">
        <v>2.767097880928085E-4</v>
      </c>
      <c r="AM234" s="111">
        <v>1.8954770414090119E-4</v>
      </c>
      <c r="AN234" s="111">
        <v>7.9109773424839789E-5</v>
      </c>
      <c r="AO234" s="111">
        <v>3.1291190771103734E-6</v>
      </c>
      <c r="AP234" s="111">
        <v>-3.130270588165393E-5</v>
      </c>
      <c r="AQ234" s="111">
        <v>-3.8232655310281559E-5</v>
      </c>
      <c r="AR234" s="111">
        <v>-3.8537866995995159E-5</v>
      </c>
      <c r="AS234" s="111">
        <v>-2.8551755024081113E-5</v>
      </c>
      <c r="AT234" s="111">
        <v>-2.3784785956638647E-5</v>
      </c>
      <c r="AU234" s="111">
        <v>-1.31254321638491E-5</v>
      </c>
      <c r="AV234" s="111">
        <v>7.429873727831248E-7</v>
      </c>
      <c r="AW234" s="111">
        <v>2.9632575063647116E-5</v>
      </c>
    </row>
    <row r="235" spans="1:49" ht="9.75" customHeight="1">
      <c r="X235" s="111" t="s">
        <v>225</v>
      </c>
      <c r="Y235" s="111">
        <v>6.3200000000000006E-2</v>
      </c>
      <c r="Z235" s="111">
        <v>5.2622855759172884E-10</v>
      </c>
      <c r="AA235" s="111">
        <v>-4.536656746072841E-5</v>
      </c>
      <c r="AB235" s="111">
        <v>4</v>
      </c>
      <c r="AC235" s="111">
        <v>0.96070275020364482</v>
      </c>
      <c r="AD235" s="111">
        <v>3.9780457713555678E-2</v>
      </c>
      <c r="AE235" s="111">
        <v>3.6416715126585488E-3</v>
      </c>
      <c r="AF235" s="111">
        <v>-8.3264683881598893E-4</v>
      </c>
      <c r="AG235" s="111">
        <v>-1.3225206710768382E-3</v>
      </c>
      <c r="AH235" s="111">
        <v>-1.088321295808644E-3</v>
      </c>
      <c r="AI235" s="111">
        <v>-7.3526797134223674E-4</v>
      </c>
      <c r="AJ235" s="111">
        <v>-4.247504563925784E-4</v>
      </c>
      <c r="AK235" s="111">
        <v>-1.5967922547328775E-4</v>
      </c>
      <c r="AL235" s="111">
        <v>2.9736937207670284E-5</v>
      </c>
      <c r="AM235" s="111">
        <v>1.1696947663878421E-4</v>
      </c>
      <c r="AN235" s="111">
        <v>1.2507564225350151E-4</v>
      </c>
      <c r="AO235" s="111">
        <v>1.0180636652938041E-4</v>
      </c>
      <c r="AP235" s="111">
        <v>6.0120440753191221E-5</v>
      </c>
      <c r="AQ235" s="111">
        <v>3.4240283558940621E-5</v>
      </c>
      <c r="AR235" s="111">
        <v>1.9723686402869402E-5</v>
      </c>
      <c r="AS235" s="111">
        <v>6.5207748958933381E-6</v>
      </c>
      <c r="AT235" s="111">
        <v>-1.0299501810259502E-6</v>
      </c>
      <c r="AU235" s="111">
        <v>-9.6982591899887628E-6</v>
      </c>
      <c r="AV235" s="111">
        <v>-1.0183322667114348E-5</v>
      </c>
      <c r="AW235" s="111">
        <v>-3.4975047151949767E-5</v>
      </c>
    </row>
    <row r="236" spans="1:49" ht="9.75" customHeight="1">
      <c r="A236" s="143" t="s">
        <v>45</v>
      </c>
      <c r="B236" s="143" t="s">
        <v>46</v>
      </c>
      <c r="X236" s="111" t="s">
        <v>226</v>
      </c>
      <c r="Y236" s="111">
        <v>6.1100000000000002E-2</v>
      </c>
      <c r="Z236" s="111">
        <v>3.9542131512634272E-10</v>
      </c>
      <c r="AA236" s="111">
        <v>3.6832676819490206E-5</v>
      </c>
      <c r="AB236" s="111">
        <v>3</v>
      </c>
      <c r="AC236" s="111">
        <v>0.95337826222466915</v>
      </c>
      <c r="AD236" s="111">
        <v>4.2734668025139165E-2</v>
      </c>
      <c r="AE236" s="111">
        <v>5.9584736527189168E-3</v>
      </c>
      <c r="AF236" s="111">
        <v>5.9330031472736326E-4</v>
      </c>
      <c r="AG236" s="111">
        <v>-4.0615213936123356E-4</v>
      </c>
      <c r="AH236" s="111">
        <v>-6.156708475071103E-4</v>
      </c>
      <c r="AI236" s="111">
        <v>-5.8032212413240811E-4</v>
      </c>
      <c r="AJ236" s="111">
        <v>-4.9315742322995622E-4</v>
      </c>
      <c r="AK236" s="111">
        <v>-3.7157904472100324E-4</v>
      </c>
      <c r="AL236" s="111">
        <v>-2.4192598735728508E-4</v>
      </c>
      <c r="AM236" s="111">
        <v>-1.1655473351938963E-4</v>
      </c>
      <c r="AN236" s="111">
        <v>-3.5088926056985774E-5</v>
      </c>
      <c r="AO236" s="111">
        <v>7.1796452058473949E-6</v>
      </c>
      <c r="AP236" s="111">
        <v>2.24743920565924E-5</v>
      </c>
      <c r="AQ236" s="111">
        <v>2.5358228899433896E-5</v>
      </c>
      <c r="AR236" s="111">
        <v>2.67014104415432E-5</v>
      </c>
      <c r="AS236" s="111">
        <v>2.2663137928549404E-5</v>
      </c>
      <c r="AT236" s="111">
        <v>2.3679156906231072E-5</v>
      </c>
      <c r="AU236" s="111">
        <v>2.3567070736533035E-5</v>
      </c>
      <c r="AV236" s="111">
        <v>1.3421449432738112E-5</v>
      </c>
      <c r="AW236" s="111">
        <v>3.07025170240808E-5</v>
      </c>
    </row>
    <row r="237" spans="1:49" ht="9.75" customHeight="1">
      <c r="A237" s="143"/>
      <c r="B237" s="143"/>
      <c r="X237" s="111" t="s">
        <v>227</v>
      </c>
      <c r="Y237" s="111">
        <v>5.8700000000000002E-2</v>
      </c>
      <c r="Z237" s="111">
        <v>2.7185642179505028E-10</v>
      </c>
      <c r="AA237" s="111">
        <v>3.2229410610789848E-5</v>
      </c>
      <c r="AB237" s="111">
        <v>2</v>
      </c>
      <c r="AC237" s="111">
        <v>0.94637049312790056</v>
      </c>
      <c r="AD237" s="111">
        <v>4.4836951547174805E-2</v>
      </c>
      <c r="AE237" s="111">
        <v>7.7694010891166303E-3</v>
      </c>
      <c r="AF237" s="111">
        <v>1.8316785001884167E-3</v>
      </c>
      <c r="AG237" s="111">
        <v>5.3990354050046578E-4</v>
      </c>
      <c r="AH237" s="111">
        <v>4.8862414132511325E-5</v>
      </c>
      <c r="AI237" s="111">
        <v>-1.3135313001939465E-4</v>
      </c>
      <c r="AJ237" s="111">
        <v>-2.1074510805278227E-4</v>
      </c>
      <c r="AK237" s="111">
        <v>-2.3612393143644084E-4</v>
      </c>
      <c r="AL237" s="111">
        <v>-2.2873443201570527E-4</v>
      </c>
      <c r="AM237" s="111">
        <v>-1.8110636442249733E-4</v>
      </c>
      <c r="AN237" s="111">
        <v>-1.304255617258689E-4</v>
      </c>
      <c r="AO237" s="111">
        <v>-9.2719310036003494E-5</v>
      </c>
      <c r="AP237" s="111">
        <v>-5.5695702380932815E-5</v>
      </c>
      <c r="AQ237" s="111">
        <v>-3.6492085020700463E-5</v>
      </c>
      <c r="AR237" s="111">
        <v>-2.7954445288987053E-5</v>
      </c>
      <c r="AS237" s="111">
        <v>-1.8433372454584784E-5</v>
      </c>
      <c r="AT237" s="111">
        <v>-1.6017640245721548E-5</v>
      </c>
      <c r="AU237" s="111">
        <v>-1.3100310914046324E-5</v>
      </c>
      <c r="AV237" s="111">
        <v>-6.2814335934651252E-6</v>
      </c>
      <c r="AW237" s="111">
        <v>-1.210739140645839E-5</v>
      </c>
    </row>
    <row r="238" spans="1:49" ht="9.75" customHeight="1">
      <c r="X238" s="111" t="s">
        <v>228</v>
      </c>
      <c r="Y238" s="111">
        <v>5.6500000000000002E-2</v>
      </c>
      <c r="Z238" s="111">
        <v>1.1010586442115625E-10</v>
      </c>
      <c r="AA238" s="111">
        <v>-2.2924879391254351E-5</v>
      </c>
      <c r="AB238" s="111">
        <v>1</v>
      </c>
      <c r="AC238" s="111">
        <v>0.93906001858691002</v>
      </c>
      <c r="AD238" s="111">
        <v>4.6048630895327659E-2</v>
      </c>
      <c r="AE238" s="111">
        <v>8.9710284853164058E-3</v>
      </c>
      <c r="AF238" s="111">
        <v>2.7272733459445561E-3</v>
      </c>
      <c r="AG238" s="111">
        <v>1.3084999931364842E-3</v>
      </c>
      <c r="AH238" s="111">
        <v>6.8535782215502217E-4</v>
      </c>
      <c r="AI238" s="111">
        <v>4.119635408395428E-4</v>
      </c>
      <c r="AJ238" s="111">
        <v>2.7445305794433506E-4</v>
      </c>
      <c r="AK238" s="111">
        <v>1.8974371690014513E-4</v>
      </c>
      <c r="AL238" s="111">
        <v>1.2977136720046593E-4</v>
      </c>
      <c r="AM238" s="111">
        <v>7.9537556140771016E-5</v>
      </c>
      <c r="AN238" s="111">
        <v>4.6335809239323077E-5</v>
      </c>
      <c r="AO238" s="111">
        <v>2.7767996173806229E-5</v>
      </c>
      <c r="AP238" s="111">
        <v>1.440107018884132E-5</v>
      </c>
      <c r="AQ238" s="111">
        <v>8.4072931139257781E-6</v>
      </c>
      <c r="AR238" s="111">
        <v>5.8442238531509395E-6</v>
      </c>
      <c r="AS238" s="111">
        <v>3.5136432418024716E-6</v>
      </c>
      <c r="AT238" s="111">
        <v>2.8213314577760813E-6</v>
      </c>
      <c r="AU238" s="111">
        <v>2.1014262980042477E-6</v>
      </c>
      <c r="AV238" s="111">
        <v>9.2063849839031471E-7</v>
      </c>
      <c r="AW238" s="111">
        <v>1.6082001174027875E-6</v>
      </c>
    </row>
    <row r="239" spans="1:49" ht="9.75" customHeight="1">
      <c r="A239" s="143" t="s">
        <v>240</v>
      </c>
      <c r="B239" s="143"/>
      <c r="X239" s="111" t="s">
        <v>229</v>
      </c>
      <c r="Y239" s="111">
        <v>5.4100000000000002E-2</v>
      </c>
      <c r="Z239" s="111">
        <v>1.7645766171432186E-10</v>
      </c>
      <c r="AA239" s="111">
        <v>-3.4975047151949767E-5</v>
      </c>
      <c r="AB239" s="111">
        <v>0</v>
      </c>
      <c r="AC239" s="111">
        <v>0</v>
      </c>
      <c r="AD239" s="111">
        <v>0</v>
      </c>
      <c r="AE239" s="111">
        <v>0</v>
      </c>
      <c r="AF239" s="111">
        <v>0</v>
      </c>
      <c r="AG239" s="111">
        <v>0</v>
      </c>
      <c r="AH239" s="111">
        <v>0</v>
      </c>
      <c r="AI239" s="111">
        <v>0</v>
      </c>
      <c r="AJ239" s="111">
        <v>0</v>
      </c>
      <c r="AK239" s="111">
        <v>0</v>
      </c>
      <c r="AL239" s="111">
        <v>0</v>
      </c>
      <c r="AM239" s="111">
        <v>0</v>
      </c>
      <c r="AN239" s="111">
        <v>0</v>
      </c>
      <c r="AO239" s="111">
        <v>0</v>
      </c>
      <c r="AP239" s="111">
        <v>0</v>
      </c>
      <c r="AQ239" s="111">
        <v>0</v>
      </c>
      <c r="AR239" s="111">
        <v>0</v>
      </c>
      <c r="AS239" s="111">
        <v>0</v>
      </c>
      <c r="AT239" s="111">
        <v>0</v>
      </c>
      <c r="AU239" s="111">
        <v>0</v>
      </c>
      <c r="AV239" s="111">
        <v>0</v>
      </c>
      <c r="AW239" s="111">
        <v>0</v>
      </c>
    </row>
    <row r="240" spans="1:49" ht="9.75" customHeight="1">
      <c r="A240" s="143"/>
      <c r="B240" s="143"/>
      <c r="X240" s="111" t="s">
        <v>255</v>
      </c>
      <c r="AB240" s="111">
        <v>21</v>
      </c>
      <c r="AC240" s="111">
        <v>1.050668577745528</v>
      </c>
      <c r="AD240" s="111">
        <v>-5.9655670918905633E-2</v>
      </c>
      <c r="AE240" s="111">
        <v>1.1870018750791319E-2</v>
      </c>
      <c r="AF240" s="111">
        <v>-4.2510818404785933E-3</v>
      </c>
      <c r="AG240" s="111">
        <v>2.0889225363914911E-3</v>
      </c>
      <c r="AH240" s="111">
        <v>-1.1702761685893571E-3</v>
      </c>
      <c r="AI240" s="111">
        <v>7.4327131786485227E-4</v>
      </c>
      <c r="AJ240" s="111">
        <v>-4.9691537578872404E-4</v>
      </c>
      <c r="AK240" s="111">
        <v>3.4352517730362297E-4</v>
      </c>
      <c r="AL240" s="111">
        <v>-2.3796863923906099E-4</v>
      </c>
      <c r="AM240" s="111">
        <v>1.6286754695187859E-4</v>
      </c>
      <c r="AN240" s="111">
        <v>-1.0727221911988601E-4</v>
      </c>
      <c r="AO240" s="111">
        <v>6.7768065014812618E-5</v>
      </c>
      <c r="AP240" s="111">
        <v>-4.0746755969811387E-5</v>
      </c>
      <c r="AQ240" s="111">
        <v>2.1870268236630213E-5</v>
      </c>
      <c r="AR240" s="111">
        <v>-8.7870329265012649E-6</v>
      </c>
      <c r="AS240" s="111">
        <v>2.326489810538296E-6</v>
      </c>
      <c r="AT240" s="111">
        <v>-4.693284278740291E-7</v>
      </c>
      <c r="AU240" s="111">
        <v>4.2172029497040417E-8</v>
      </c>
      <c r="AV240" s="111">
        <v>-2.7772162634419928E-9</v>
      </c>
      <c r="AW240" s="111">
        <v>9.8674092108215863E-10</v>
      </c>
    </row>
    <row r="241" spans="24:49" ht="9.75" customHeight="1">
      <c r="X241" s="111" t="s">
        <v>13</v>
      </c>
      <c r="Y241" s="111">
        <v>5.3257000000000003</v>
      </c>
      <c r="Z241" s="111">
        <v>0.99855113669629936</v>
      </c>
      <c r="AA241" s="111">
        <v>1.050668577745528</v>
      </c>
      <c r="AB241" s="111">
        <v>20</v>
      </c>
      <c r="AC241" s="111">
        <v>1.0487537089892722</v>
      </c>
      <c r="AD241" s="111">
        <v>-5.6865295585576889E-2</v>
      </c>
      <c r="AE241" s="111">
        <v>1.043559960292619E-2</v>
      </c>
      <c r="AF241" s="111">
        <v>-3.1990880733213734E-3</v>
      </c>
      <c r="AG241" s="111">
        <v>1.1934881866464092E-3</v>
      </c>
      <c r="AH241" s="111">
        <v>-4.0115934769479239E-4</v>
      </c>
      <c r="AI241" s="111">
        <v>5.4914964596352103E-5</v>
      </c>
      <c r="AJ241" s="111">
        <v>1.1361658470512128E-4</v>
      </c>
      <c r="AK241" s="111">
        <v>-1.9218886020282665E-4</v>
      </c>
      <c r="AL241" s="111">
        <v>2.1559354362620092E-4</v>
      </c>
      <c r="AM241" s="111">
        <v>-2.0575071280824666E-4</v>
      </c>
      <c r="AN241" s="111">
        <v>1.7407876864226226E-4</v>
      </c>
      <c r="AO241" s="111">
        <v>-1.344034808493615E-4</v>
      </c>
      <c r="AP241" s="111">
        <v>9.5143341712093538E-5</v>
      </c>
      <c r="AQ241" s="111">
        <v>-5.8095482372088059E-5</v>
      </c>
      <c r="AR241" s="111">
        <v>2.5937329896539529E-5</v>
      </c>
      <c r="AS241" s="111">
        <v>-7.6346786595145434E-6</v>
      </c>
      <c r="AT241" s="111">
        <v>1.6912820359855376E-6</v>
      </c>
      <c r="AU241" s="111">
        <v>-1.6566446152962559E-7</v>
      </c>
      <c r="AV241" s="111">
        <v>9.7888142911452379E-9</v>
      </c>
      <c r="AW241" s="111">
        <v>-4.9692605452892133E-10</v>
      </c>
    </row>
    <row r="242" spans="24:49" ht="9.75" customHeight="1">
      <c r="X242" s="111" t="s">
        <v>15</v>
      </c>
      <c r="Y242" s="111">
        <v>0.89429999999999998</v>
      </c>
      <c r="Z242" s="111">
        <v>1.378637084233721E-3</v>
      </c>
      <c r="AA242" s="111">
        <v>-5.9655670918905633E-2</v>
      </c>
      <c r="AB242" s="111">
        <v>19</v>
      </c>
      <c r="AC242" s="111">
        <v>1.0462012254753452</v>
      </c>
      <c r="AD242" s="111">
        <v>-5.2848304318122451E-2</v>
      </c>
      <c r="AE242" s="111">
        <v>7.9823109709248347E-3</v>
      </c>
      <c r="AF242" s="111">
        <v>-1.4108988958023221E-3</v>
      </c>
      <c r="AG242" s="111">
        <v>-1.9565160669621028E-4</v>
      </c>
      <c r="AH242" s="111">
        <v>6.307218481081693E-4</v>
      </c>
      <c r="AI242" s="111">
        <v>-6.8894863208802818E-4</v>
      </c>
      <c r="AJ242" s="111">
        <v>5.9078165260669998E-4</v>
      </c>
      <c r="AK242" s="111">
        <v>-4.3479247572380235E-4</v>
      </c>
      <c r="AL242" s="111">
        <v>2.6366623152005163E-4</v>
      </c>
      <c r="AM242" s="111">
        <v>-1.1273097490340999E-4</v>
      </c>
      <c r="AN242" s="111">
        <v>1.0082748346796217E-6</v>
      </c>
      <c r="AO242" s="111">
        <v>6.3411080235172313E-5</v>
      </c>
      <c r="AP242" s="111">
        <v>-8.5716940777182804E-5</v>
      </c>
      <c r="AQ242" s="111">
        <v>7.4161856482674615E-5</v>
      </c>
      <c r="AR242" s="111">
        <v>-4.1841119200975948E-5</v>
      </c>
      <c r="AS242" s="111">
        <v>1.5071641422803225E-5</v>
      </c>
      <c r="AT242" s="111">
        <v>-3.8914980232514697E-6</v>
      </c>
      <c r="AU242" s="111">
        <v>4.4664118157772012E-7</v>
      </c>
      <c r="AV242" s="111">
        <v>-3.0089273700367409E-8</v>
      </c>
      <c r="AW242" s="111">
        <v>8.779506852880641E-10</v>
      </c>
    </row>
    <row r="243" spans="24:49" ht="9.75" customHeight="1">
      <c r="X243" s="111" t="s">
        <v>17</v>
      </c>
      <c r="Y243" s="111">
        <v>0.42049999999999998</v>
      </c>
      <c r="Z243" s="111">
        <v>5.9266110540168752E-5</v>
      </c>
      <c r="AA243" s="111">
        <v>1.1870018750791319E-2</v>
      </c>
      <c r="AB243" s="111">
        <v>18</v>
      </c>
      <c r="AC243" s="111">
        <v>1.0430756079271646</v>
      </c>
      <c r="AD243" s="111">
        <v>-4.7811574601426744E-2</v>
      </c>
      <c r="AE243" s="111">
        <v>4.8466982582820615E-3</v>
      </c>
      <c r="AF243" s="111">
        <v>6.3597134338411285E-4</v>
      </c>
      <c r="AG243" s="111">
        <v>-1.4650713959107546E-3</v>
      </c>
      <c r="AH243" s="111">
        <v>1.2387268470121129E-3</v>
      </c>
      <c r="AI243" s="111">
        <v>-7.998293810689371E-4</v>
      </c>
      <c r="AJ243" s="111">
        <v>3.5460440544491073E-4</v>
      </c>
      <c r="AK243" s="111">
        <v>-1.5963431380138627E-5</v>
      </c>
      <c r="AL243" s="111">
        <v>-1.7623692206764709E-4</v>
      </c>
      <c r="AM243" s="111">
        <v>2.251629988432858E-4</v>
      </c>
      <c r="AN243" s="111">
        <v>-1.6975326197751227E-4</v>
      </c>
      <c r="AO243" s="111">
        <v>7.1470316770148949E-5</v>
      </c>
      <c r="AP243" s="111">
        <v>1.6839299180658054E-5</v>
      </c>
      <c r="AQ243" s="111">
        <v>-6.1399292380292787E-5</v>
      </c>
      <c r="AR243" s="111">
        <v>5.3421248020064673E-5</v>
      </c>
      <c r="AS243" s="111">
        <v>-2.5683731620778586E-5</v>
      </c>
      <c r="AT243" s="111">
        <v>8.0351418351923017E-6</v>
      </c>
      <c r="AU243" s="111">
        <v>-1.1112054086946007E-6</v>
      </c>
      <c r="AV243" s="111">
        <v>8.8072343460298095E-8</v>
      </c>
      <c r="AW243" s="111">
        <v>-2.635037344800274E-9</v>
      </c>
    </row>
    <row r="244" spans="24:49" ht="9.75" customHeight="1">
      <c r="X244" s="111" t="s">
        <v>19</v>
      </c>
      <c r="Y244" s="111">
        <v>0.27410000000000001</v>
      </c>
      <c r="Z244" s="111">
        <v>7.6381915314927554E-6</v>
      </c>
      <c r="AA244" s="111">
        <v>-4.2510818404785933E-3</v>
      </c>
      <c r="AB244" s="111">
        <v>17</v>
      </c>
      <c r="AC244" s="111">
        <v>1.0394358891385995</v>
      </c>
      <c r="AD244" s="111">
        <v>-4.1960381355696505E-2</v>
      </c>
      <c r="AE244" s="111">
        <v>1.3877758901440012E-3</v>
      </c>
      <c r="AF244" s="111">
        <v>2.4674985007624808E-3</v>
      </c>
      <c r="AG244" s="111">
        <v>-2.1249031755106004E-3</v>
      </c>
      <c r="AH244" s="111">
        <v>1.0800345125227726E-3</v>
      </c>
      <c r="AI244" s="111">
        <v>-2.231674915711391E-4</v>
      </c>
      <c r="AJ244" s="111">
        <v>-2.7728903944715968E-4</v>
      </c>
      <c r="AK244" s="111">
        <v>4.1069990470779717E-4</v>
      </c>
      <c r="AL244" s="111">
        <v>-2.8695063158713628E-4</v>
      </c>
      <c r="AM244" s="111">
        <v>7.4797979050200025E-5</v>
      </c>
      <c r="AN244" s="111">
        <v>8.2482086262235813E-5</v>
      </c>
      <c r="AO244" s="111">
        <v>-1.2055193879883657E-4</v>
      </c>
      <c r="AP244" s="111">
        <v>6.2928667796881112E-5</v>
      </c>
      <c r="AQ244" s="111">
        <v>1.8571588232943297E-5</v>
      </c>
      <c r="AR244" s="111">
        <v>-5.291512691865731E-5</v>
      </c>
      <c r="AS244" s="111">
        <v>3.8140885087653556E-5</v>
      </c>
      <c r="AT244" s="111">
        <v>-1.4974038219013894E-5</v>
      </c>
      <c r="AU244" s="111">
        <v>2.5457415869283717E-6</v>
      </c>
      <c r="AV244" s="111">
        <v>-2.4066921616365382E-7</v>
      </c>
      <c r="AW244" s="111">
        <v>8.5722131283306819E-9</v>
      </c>
    </row>
    <row r="245" spans="24:49" ht="9.75" customHeight="1">
      <c r="X245" s="111" t="s">
        <v>20</v>
      </c>
      <c r="Y245" s="111">
        <v>0.20480000000000001</v>
      </c>
      <c r="Z245" s="111">
        <v>2.0380750891444799E-6</v>
      </c>
      <c r="AA245" s="111">
        <v>-2.1249031755106004E-3</v>
      </c>
      <c r="AB245" s="111">
        <v>16</v>
      </c>
      <c r="AC245" s="111">
        <v>1.03539902695666</v>
      </c>
      <c r="AD245" s="111">
        <v>-3.5603688577160897E-2</v>
      </c>
      <c r="AE245" s="111">
        <v>-1.9809077261032709E-3</v>
      </c>
      <c r="AF245" s="111">
        <v>3.6890290030546675E-3</v>
      </c>
      <c r="AG245" s="111">
        <v>-1.9795834402009061E-3</v>
      </c>
      <c r="AH245" s="111">
        <v>3.2188096866415255E-4</v>
      </c>
      <c r="AI245" s="111">
        <v>4.9760399599993053E-4</v>
      </c>
      <c r="AJ245" s="111">
        <v>-5.7412415330956792E-4</v>
      </c>
      <c r="AK245" s="111">
        <v>2.5261185784320031E-4</v>
      </c>
      <c r="AL245" s="111">
        <v>8.7755773892555551E-5</v>
      </c>
      <c r="AM245" s="111">
        <v>-2.1485072658179385E-4</v>
      </c>
      <c r="AN245" s="111">
        <v>1.2914715225539555E-4</v>
      </c>
      <c r="AO245" s="111">
        <v>1.571323747526121E-5</v>
      </c>
      <c r="AP245" s="111">
        <v>-7.8535641854520996E-5</v>
      </c>
      <c r="AQ245" s="111">
        <v>3.3884052739096709E-5</v>
      </c>
      <c r="AR245" s="111">
        <v>3.1468918424777457E-5</v>
      </c>
      <c r="AS245" s="111">
        <v>-4.5666536031704754E-5</v>
      </c>
      <c r="AT245" s="111">
        <v>2.378922211727786E-5</v>
      </c>
      <c r="AU245" s="111">
        <v>-5.1155645367714029E-6</v>
      </c>
      <c r="AV245" s="111">
        <v>5.858687277542816E-7</v>
      </c>
      <c r="AW245" s="111">
        <v>-2.4642075607180031E-8</v>
      </c>
    </row>
    <row r="246" spans="24:49" ht="9.75" customHeight="1">
      <c r="X246" s="111" t="s">
        <v>22</v>
      </c>
      <c r="Y246" s="111">
        <v>0.16350000000000001</v>
      </c>
      <c r="Z246" s="111">
        <v>6.8276527018959113E-7</v>
      </c>
      <c r="AA246" s="111">
        <v>1.2387268470121129E-3</v>
      </c>
      <c r="AB246" s="111">
        <v>15</v>
      </c>
      <c r="AC246" s="111">
        <v>1.0309120954094551</v>
      </c>
      <c r="AD246" s="111">
        <v>-2.8744920913182485E-2</v>
      </c>
      <c r="AE246" s="111">
        <v>-5.0871946158055487E-3</v>
      </c>
      <c r="AF246" s="111">
        <v>4.1507384624426893E-3</v>
      </c>
      <c r="AG246" s="111">
        <v>-1.141931545048171E-3</v>
      </c>
      <c r="AH246" s="111">
        <v>-5.947832470334552E-4</v>
      </c>
      <c r="AI246" s="111">
        <v>8.1173093283942266E-4</v>
      </c>
      <c r="AJ246" s="111">
        <v>-2.6496436654571464E-4</v>
      </c>
      <c r="AK246" s="111">
        <v>-2.3616279369649844E-4</v>
      </c>
      <c r="AL246" s="111">
        <v>3.1002175170268865E-4</v>
      </c>
      <c r="AM246" s="111">
        <v>-8.1365309367394581E-5</v>
      </c>
      <c r="AN246" s="111">
        <v>-1.1569531650592277E-4</v>
      </c>
      <c r="AO246" s="111">
        <v>1.0835947258545144E-4</v>
      </c>
      <c r="AP246" s="111">
        <v>8.2636489963798276E-6</v>
      </c>
      <c r="AQ246" s="111">
        <v>-5.7498571409284341E-5</v>
      </c>
      <c r="AR246" s="111">
        <v>6.9051243758174132E-6</v>
      </c>
      <c r="AS246" s="111">
        <v>4.0398564418832779E-5</v>
      </c>
      <c r="AT246" s="111">
        <v>-3.1908747109887729E-5</v>
      </c>
      <c r="AU246" s="111">
        <v>9.1480546056784515E-6</v>
      </c>
      <c r="AV246" s="111">
        <v>-1.3024764809557632E-6</v>
      </c>
      <c r="AW246" s="111">
        <v>6.6480763617333929E-8</v>
      </c>
    </row>
    <row r="247" spans="24:49" ht="9.75" customHeight="1">
      <c r="X247" s="111" t="s">
        <v>215</v>
      </c>
      <c r="Y247" s="111">
        <v>0.13700000000000001</v>
      </c>
      <c r="Z247" s="111">
        <v>2.8574063725586509E-7</v>
      </c>
      <c r="AA247" s="111">
        <v>8.1173093283942266E-4</v>
      </c>
      <c r="AB247" s="111">
        <v>14</v>
      </c>
      <c r="AC247" s="111">
        <v>1.0259439134273041</v>
      </c>
      <c r="AD247" s="111">
        <v>-2.1444399072551811E-2</v>
      </c>
      <c r="AE247" s="111">
        <v>-7.7277044359543526E-3</v>
      </c>
      <c r="AF247" s="111">
        <v>3.7948155008223489E-3</v>
      </c>
      <c r="AG247" s="111">
        <v>8.7994330887608449E-5</v>
      </c>
      <c r="AH247" s="111">
        <v>-1.1808564849334186E-3</v>
      </c>
      <c r="AI247" s="111">
        <v>4.9484201529138047E-4</v>
      </c>
      <c r="AJ247" s="111">
        <v>3.150995732040045E-4</v>
      </c>
      <c r="AK247" s="111">
        <v>-4.0984574031827163E-4</v>
      </c>
      <c r="AL247" s="111">
        <v>3.0258525679047056E-5</v>
      </c>
      <c r="AM247" s="111">
        <v>2.07270455025307E-4</v>
      </c>
      <c r="AN247" s="111">
        <v>-1.0079454877944605E-4</v>
      </c>
      <c r="AO247" s="111">
        <v>-7.4699508676117108E-5</v>
      </c>
      <c r="AP247" s="111">
        <v>7.0842268059219824E-5</v>
      </c>
      <c r="AQ247" s="111">
        <v>3.0827250918154799E-5</v>
      </c>
      <c r="AR247" s="111">
        <v>-4.0701658263012521E-5</v>
      </c>
      <c r="AS247" s="111">
        <v>-2.1398317920027754E-5</v>
      </c>
      <c r="AT247" s="111">
        <v>3.7187159841717209E-5</v>
      </c>
      <c r="AU247" s="111">
        <v>-1.5241081329440551E-5</v>
      </c>
      <c r="AV247" s="111">
        <v>2.7634082160954181E-6</v>
      </c>
      <c r="AW247" s="111">
        <v>-1.7306652277341973E-7</v>
      </c>
    </row>
    <row r="248" spans="24:49" ht="9.75" customHeight="1">
      <c r="X248" s="111" t="s">
        <v>216</v>
      </c>
      <c r="Y248" s="111">
        <v>0.1186</v>
      </c>
      <c r="Z248" s="111">
        <v>1.4633269718929135E-7</v>
      </c>
      <c r="AA248" s="111">
        <v>5.9078165260669998E-4</v>
      </c>
      <c r="AB248" s="111">
        <v>13</v>
      </c>
      <c r="AC248" s="111">
        <v>1.0205807419973763</v>
      </c>
      <c r="AD248" s="111">
        <v>-1.3952930679875861E-2</v>
      </c>
      <c r="AE248" s="111">
        <v>-9.6619296449254339E-3</v>
      </c>
      <c r="AF248" s="111">
        <v>2.7221809124710634E-3</v>
      </c>
      <c r="AG248" s="111">
        <v>1.2593744108893377E-3</v>
      </c>
      <c r="AH248" s="111">
        <v>-1.1258249186940198E-3</v>
      </c>
      <c r="AI248" s="111">
        <v>-1.8778867323635445E-4</v>
      </c>
      <c r="AJ248" s="111">
        <v>5.6249954008450462E-4</v>
      </c>
      <c r="AK248" s="111">
        <v>-5.3212727931408589E-5</v>
      </c>
      <c r="AL248" s="111">
        <v>-2.9044065947486615E-4</v>
      </c>
      <c r="AM248" s="111">
        <v>1.011304153179662E-4</v>
      </c>
      <c r="AN248" s="111">
        <v>1.3272888226019996E-4</v>
      </c>
      <c r="AO248" s="111">
        <v>-6.8278486823068361E-5</v>
      </c>
      <c r="AP248" s="111">
        <v>-6.4199910188386249E-5</v>
      </c>
      <c r="AQ248" s="111">
        <v>2.3438010638957958E-5</v>
      </c>
      <c r="AR248" s="111">
        <v>4.6448623426836467E-5</v>
      </c>
      <c r="AS248" s="111">
        <v>-5.6503009783324374E-6</v>
      </c>
      <c r="AT248" s="111">
        <v>-3.6746815470492683E-5</v>
      </c>
      <c r="AU248" s="111">
        <v>2.3588937165487895E-5</v>
      </c>
      <c r="AV248" s="111">
        <v>-5.5602510211222845E-6</v>
      </c>
      <c r="AW248" s="111">
        <v>4.3133898660014394E-7</v>
      </c>
    </row>
    <row r="249" spans="24:49" ht="9.75" customHeight="1">
      <c r="X249" s="111" t="s">
        <v>217</v>
      </c>
      <c r="Y249" s="111">
        <v>0.1051</v>
      </c>
      <c r="Z249" s="111">
        <v>7.8573808696567567E-8</v>
      </c>
      <c r="AA249" s="111">
        <v>-4.3479247572380235E-4</v>
      </c>
      <c r="AB249" s="111">
        <v>12</v>
      </c>
      <c r="AC249" s="111">
        <v>1.0149934214325385</v>
      </c>
      <c r="AD249" s="111">
        <v>-6.6136803119450568E-3</v>
      </c>
      <c r="AE249" s="111">
        <v>-1.0739291338019751E-2</v>
      </c>
      <c r="AF249" s="111">
        <v>1.2151126333383698E-3</v>
      </c>
      <c r="AG249" s="111">
        <v>1.9636991880188554E-3</v>
      </c>
      <c r="AH249" s="111">
        <v>-5.0823305406352901E-4</v>
      </c>
      <c r="AI249" s="111">
        <v>-6.9879789328443072E-4</v>
      </c>
      <c r="AJ249" s="111">
        <v>2.5937423312286892E-4</v>
      </c>
      <c r="AK249" s="111">
        <v>3.4878814321798732E-4</v>
      </c>
      <c r="AL249" s="111">
        <v>-1.6183591818922911E-4</v>
      </c>
      <c r="AM249" s="111">
        <v>-1.7814584136522559E-4</v>
      </c>
      <c r="AN249" s="111">
        <v>8.0672588659031218E-5</v>
      </c>
      <c r="AO249" s="111">
        <v>9.7685563978535704E-5</v>
      </c>
      <c r="AP249" s="111">
        <v>-2.390040767987513E-5</v>
      </c>
      <c r="AQ249" s="111">
        <v>-5.0817850357456974E-5</v>
      </c>
      <c r="AR249" s="111">
        <v>-1.5328047395160407E-5</v>
      </c>
      <c r="AS249" s="111">
        <v>2.8229464744444043E-5</v>
      </c>
      <c r="AT249" s="111">
        <v>2.5413389082134799E-5</v>
      </c>
      <c r="AU249" s="111">
        <v>-3.1348018757076992E-5</v>
      </c>
      <c r="AV249" s="111">
        <v>9.9538506203040481E-6</v>
      </c>
      <c r="AW249" s="111">
        <v>-9.7180626439668122E-7</v>
      </c>
    </row>
    <row r="250" spans="24:49" ht="9.75" customHeight="1">
      <c r="X250" s="111" t="s">
        <v>218</v>
      </c>
      <c r="Y250" s="111">
        <v>9.4899999999999998E-2</v>
      </c>
      <c r="Z250" s="111">
        <v>4.329995552135439E-8</v>
      </c>
      <c r="AA250" s="111">
        <v>3.1002175170268865E-4</v>
      </c>
      <c r="AB250" s="111">
        <v>11</v>
      </c>
      <c r="AC250" s="111">
        <v>1.0091493888557037</v>
      </c>
      <c r="AD250" s="111">
        <v>5.4300269807690564E-4</v>
      </c>
      <c r="AE250" s="111">
        <v>-1.0967447945373014E-2</v>
      </c>
      <c r="AF250" s="111">
        <v>-4.4971793257205721E-4</v>
      </c>
      <c r="AG250" s="111">
        <v>2.0358006613917716E-3</v>
      </c>
      <c r="AH250" s="111">
        <v>3.3159220947848986E-4</v>
      </c>
      <c r="AI250" s="111">
        <v>-7.0906765695818335E-4</v>
      </c>
      <c r="AJ250" s="111">
        <v>-2.7113478574169656E-4</v>
      </c>
      <c r="AK250" s="111">
        <v>3.2860010359992624E-4</v>
      </c>
      <c r="AL250" s="111">
        <v>1.9353861804406478E-4</v>
      </c>
      <c r="AM250" s="111">
        <v>-1.4335969536103573E-4</v>
      </c>
      <c r="AN250" s="111">
        <v>-1.2917779151545554E-4</v>
      </c>
      <c r="AO250" s="111">
        <v>3.7315607870606591E-5</v>
      </c>
      <c r="AP250" s="111">
        <v>7.5088509408519988E-5</v>
      </c>
      <c r="AQ250" s="111">
        <v>1.8151748222391593E-5</v>
      </c>
      <c r="AR250" s="111">
        <v>-2.8996781583328065E-5</v>
      </c>
      <c r="AS250" s="111">
        <v>-3.0469114712205581E-5</v>
      </c>
      <c r="AT250" s="111">
        <v>-2.6870445170314028E-6</v>
      </c>
      <c r="AU250" s="111">
        <v>3.3034061978818022E-5</v>
      </c>
      <c r="AV250" s="111">
        <v>-1.5415825954965755E-5</v>
      </c>
      <c r="AW250" s="111">
        <v>1.9615005140496045E-6</v>
      </c>
    </row>
    <row r="251" spans="24:49" ht="9.75" customHeight="1">
      <c r="X251" s="111" t="s">
        <v>219</v>
      </c>
      <c r="Y251" s="111">
        <v>8.6999999999999994E-2</v>
      </c>
      <c r="Z251" s="111">
        <v>2.2603361135357638E-8</v>
      </c>
      <c r="AA251" s="111">
        <v>2.251629988432858E-4</v>
      </c>
      <c r="AB251" s="111">
        <v>10</v>
      </c>
      <c r="AC251" s="111">
        <v>1.0030089486126623</v>
      </c>
      <c r="AD251" s="111">
        <v>7.4856985028844154E-3</v>
      </c>
      <c r="AE251" s="111">
        <v>-1.0378907277105011E-2</v>
      </c>
      <c r="AF251" s="111">
        <v>-2.0054860824762783E-3</v>
      </c>
      <c r="AG251" s="111">
        <v>1.4920682504464859E-3</v>
      </c>
      <c r="AH251" s="111">
        <v>9.9492586108502405E-4</v>
      </c>
      <c r="AI251" s="111">
        <v>-2.4084935822545181E-4</v>
      </c>
      <c r="AJ251" s="111">
        <v>-5.4673036873691171E-4</v>
      </c>
      <c r="AK251" s="111">
        <v>-6.6298646286325883E-5</v>
      </c>
      <c r="AL251" s="111">
        <v>2.697441058756716E-4</v>
      </c>
      <c r="AM251" s="111">
        <v>1.2973743959511996E-4</v>
      </c>
      <c r="AN251" s="111">
        <v>-8.4444447064055853E-5</v>
      </c>
      <c r="AO251" s="111">
        <v>-1.0394425848786846E-4</v>
      </c>
      <c r="AP251" s="111">
        <v>-1.3199966969879104E-5</v>
      </c>
      <c r="AQ251" s="111">
        <v>3.6567242140958547E-5</v>
      </c>
      <c r="AR251" s="111">
        <v>4.238958555973942E-5</v>
      </c>
      <c r="AS251" s="111">
        <v>8.5259998827186774E-6</v>
      </c>
      <c r="AT251" s="111">
        <v>-2.1078300601390114E-5</v>
      </c>
      <c r="AU251" s="111">
        <v>-2.4865455162487985E-5</v>
      </c>
      <c r="AV251" s="111">
        <v>2.0825184079712287E-5</v>
      </c>
      <c r="AW251" s="111">
        <v>-3.6266230957661029E-6</v>
      </c>
    </row>
    <row r="252" spans="24:49" ht="9.75" customHeight="1">
      <c r="X252" s="111" t="s">
        <v>220</v>
      </c>
      <c r="Y252" s="111">
        <v>8.0699999999999994E-2</v>
      </c>
      <c r="Z252" s="111">
        <v>1.1665748950334469E-8</v>
      </c>
      <c r="AA252" s="111">
        <v>1.7407876864226226E-4</v>
      </c>
      <c r="AB252" s="111">
        <v>9</v>
      </c>
      <c r="AC252" s="111">
        <v>0.9966352967847899</v>
      </c>
      <c r="AD252" s="111">
        <v>1.4066171144808341E-2</v>
      </c>
      <c r="AE252" s="111">
        <v>-9.0606716661253903E-3</v>
      </c>
      <c r="AF252" s="111">
        <v>-3.1898855622980696E-3</v>
      </c>
      <c r="AG252" s="111">
        <v>5.2654179923697743E-4</v>
      </c>
      <c r="AH252" s="111">
        <v>1.1806276285541821E-3</v>
      </c>
      <c r="AI252" s="111">
        <v>3.7229003918836371E-4</v>
      </c>
      <c r="AJ252" s="111">
        <v>-3.3736656722682705E-4</v>
      </c>
      <c r="AK252" s="111">
        <v>-3.761088913736491E-4</v>
      </c>
      <c r="AL252" s="111">
        <v>-2.3617149252334359E-5</v>
      </c>
      <c r="AM252" s="111">
        <v>1.8514268136298978E-4</v>
      </c>
      <c r="AN252" s="111">
        <v>1.1778465281851938E-4</v>
      </c>
      <c r="AO252" s="111">
        <v>-1.8468315356996511E-5</v>
      </c>
      <c r="AP252" s="111">
        <v>-6.7409360194359166E-5</v>
      </c>
      <c r="AQ252" s="111">
        <v>-4.1562186435443289E-5</v>
      </c>
      <c r="AR252" s="111">
        <v>-8.6588575819244437E-6</v>
      </c>
      <c r="AS252" s="111">
        <v>2.0206527629427707E-5</v>
      </c>
      <c r="AT252" s="111">
        <v>3.0371693586464451E-5</v>
      </c>
      <c r="AU252" s="111">
        <v>7.2805740421520601E-6</v>
      </c>
      <c r="AV252" s="111">
        <v>-2.410238815222773E-5</v>
      </c>
      <c r="AW252" s="111">
        <v>6.1374179798374377E-6</v>
      </c>
    </row>
    <row r="253" spans="24:49" ht="9.75" customHeight="1">
      <c r="X253" s="111" t="s">
        <v>221</v>
      </c>
      <c r="Y253" s="111">
        <v>7.5700000000000003E-2</v>
      </c>
      <c r="Z253" s="111">
        <v>5.979211738926791E-9</v>
      </c>
      <c r="AA253" s="111">
        <v>-1.344034808493615E-4</v>
      </c>
      <c r="AB253" s="111">
        <v>8</v>
      </c>
      <c r="AC253" s="111">
        <v>0.98993639683343149</v>
      </c>
      <c r="AD253" s="111">
        <v>2.0302649519710454E-2</v>
      </c>
      <c r="AE253" s="111">
        <v>-7.1024426122028392E-3</v>
      </c>
      <c r="AF253" s="111">
        <v>-3.8473038952857616E-3</v>
      </c>
      <c r="AG253" s="111">
        <v>-5.8390034866281145E-4</v>
      </c>
      <c r="AH253" s="111">
        <v>8.2437334177894173E-4</v>
      </c>
      <c r="AI253" s="111">
        <v>7.3975544613756996E-4</v>
      </c>
      <c r="AJ253" s="111">
        <v>1.6264203120753466E-4</v>
      </c>
      <c r="AK253" s="111">
        <v>-2.6873109137583786E-4</v>
      </c>
      <c r="AL253" s="111">
        <v>-2.8325708301464543E-4</v>
      </c>
      <c r="AM253" s="111">
        <v>-5.7368424387466443E-5</v>
      </c>
      <c r="AN253" s="111">
        <v>9.848896997225285E-5</v>
      </c>
      <c r="AO253" s="111">
        <v>1.0575222002680828E-4</v>
      </c>
      <c r="AP253" s="111">
        <v>3.9016659579738626E-5</v>
      </c>
      <c r="AQ253" s="111">
        <v>-1.0722868340831534E-5</v>
      </c>
      <c r="AR253" s="111">
        <v>-3.4935040457430005E-5</v>
      </c>
      <c r="AS253" s="111">
        <v>-2.9875816488103956E-5</v>
      </c>
      <c r="AT253" s="111">
        <v>-1.7723251917058993E-5</v>
      </c>
      <c r="AU253" s="111">
        <v>1.3497825433966222E-5</v>
      </c>
      <c r="AV253" s="111">
        <v>2.3386102934825403E-5</v>
      </c>
      <c r="AW253" s="111">
        <v>-9.6985180820564011E-6</v>
      </c>
    </row>
    <row r="254" spans="24:49" ht="9.75" customHeight="1">
      <c r="X254" s="111" t="s">
        <v>222</v>
      </c>
      <c r="Y254" s="111">
        <v>7.1599999999999997E-2</v>
      </c>
      <c r="Z254" s="111">
        <v>2.9302045685973696E-9</v>
      </c>
      <c r="AA254" s="111">
        <v>9.5143341712093538E-5</v>
      </c>
      <c r="AB254" s="111">
        <v>7</v>
      </c>
      <c r="AC254" s="111">
        <v>0.98288845948170289</v>
      </c>
      <c r="AD254" s="111">
        <v>2.6128700520728493E-2</v>
      </c>
      <c r="AE254" s="111">
        <v>-4.632819246326152E-3</v>
      </c>
      <c r="AF254" s="111">
        <v>-3.8784657200531406E-3</v>
      </c>
      <c r="AG254" s="111">
        <v>-1.5216792469958998E-3</v>
      </c>
      <c r="AH254" s="111">
        <v>9.0218261417679193E-5</v>
      </c>
      <c r="AI254" s="111">
        <v>6.2704207267168255E-4</v>
      </c>
      <c r="AJ254" s="111">
        <v>5.2108728655405365E-4</v>
      </c>
      <c r="AK254" s="111">
        <v>1.3529698763719184E-4</v>
      </c>
      <c r="AL254" s="111">
        <v>-1.6032013358508409E-4</v>
      </c>
      <c r="AM254" s="111">
        <v>-2.074536220747835E-4</v>
      </c>
      <c r="AN254" s="111">
        <v>-1.048732521885061E-4</v>
      </c>
      <c r="AO254" s="111">
        <v>5.0801113353732044E-6</v>
      </c>
      <c r="AP254" s="111">
        <v>5.2616809378320936E-5</v>
      </c>
      <c r="AQ254" s="111">
        <v>4.8108148812381086E-5</v>
      </c>
      <c r="AR254" s="111">
        <v>3.7310293882577365E-5</v>
      </c>
      <c r="AS254" s="111">
        <v>1.1247085386387381E-5</v>
      </c>
      <c r="AT254" s="111">
        <v>-7.9434285162147912E-6</v>
      </c>
      <c r="AU254" s="111">
        <v>-2.7935788892160655E-5</v>
      </c>
      <c r="AV254" s="111">
        <v>-1.8487459142367946E-5</v>
      </c>
      <c r="AW254" s="111">
        <v>1.481083826705892E-5</v>
      </c>
    </row>
    <row r="255" spans="24:49" ht="9.75" customHeight="1">
      <c r="X255" s="111" t="s">
        <v>223</v>
      </c>
      <c r="Y255" s="111">
        <v>6.83E-2</v>
      </c>
      <c r="Z255" s="111">
        <v>1.4442097853842458E-9</v>
      </c>
      <c r="AA255" s="111">
        <v>7.4161856482674615E-5</v>
      </c>
      <c r="AB255" s="111">
        <v>6</v>
      </c>
      <c r="AC255" s="111">
        <v>0.97555239965788842</v>
      </c>
      <c r="AD255" s="111">
        <v>3.1414438642858859E-2</v>
      </c>
      <c r="AE255" s="111">
        <v>-1.8459586076821312E-3</v>
      </c>
      <c r="AF255" s="111">
        <v>-3.2822438094820636E-3</v>
      </c>
      <c r="AG255" s="111">
        <v>-2.009676037569338E-3</v>
      </c>
      <c r="AH255" s="111">
        <v>-6.8085490171329642E-4</v>
      </c>
      <c r="AI255" s="111">
        <v>1.1099658162067415E-4</v>
      </c>
      <c r="AJ255" s="111">
        <v>4.2776194727759342E-4</v>
      </c>
      <c r="AK255" s="111">
        <v>3.8873691447556525E-4</v>
      </c>
      <c r="AL255" s="111">
        <v>1.7667214802669976E-4</v>
      </c>
      <c r="AM255" s="111">
        <v>-2.5076413971921916E-5</v>
      </c>
      <c r="AN255" s="111">
        <v>-1.1239944619441428E-4</v>
      </c>
      <c r="AO255" s="111">
        <v>-1.0555878818322548E-4</v>
      </c>
      <c r="AP255" s="111">
        <v>-5.816763409185279E-5</v>
      </c>
      <c r="AQ255" s="111">
        <v>-1.8035363368320668E-5</v>
      </c>
      <c r="AR255" s="111">
        <v>4.5478803875713036E-6</v>
      </c>
      <c r="AS255" s="111">
        <v>1.7992075503031334E-5</v>
      </c>
      <c r="AT255" s="111">
        <v>2.7524764781875516E-5</v>
      </c>
      <c r="AU255" s="111">
        <v>2.8850888021148911E-5</v>
      </c>
      <c r="AV255" s="111">
        <v>1.0082055538192154E-5</v>
      </c>
      <c r="AW255" s="111">
        <v>-2.2032554123501396E-5</v>
      </c>
    </row>
    <row r="256" spans="24:49" ht="9.75" customHeight="1">
      <c r="X256" s="111" t="s">
        <v>224</v>
      </c>
      <c r="Y256" s="111">
        <v>6.5699999999999995E-2</v>
      </c>
      <c r="Z256" s="111">
        <v>9.8208786851571175E-10</v>
      </c>
      <c r="AA256" s="111">
        <v>5.3421248020064673E-5</v>
      </c>
      <c r="AB256" s="111">
        <v>5</v>
      </c>
      <c r="AC256" s="111">
        <v>0.96813585304771377</v>
      </c>
      <c r="AD256" s="111">
        <v>3.5969844578880375E-2</v>
      </c>
      <c r="AE256" s="111">
        <v>9.8140706227650113E-4</v>
      </c>
      <c r="AF256" s="111">
        <v>-2.1931164637449857E-3</v>
      </c>
      <c r="AG256" s="111">
        <v>-1.9164427865193986E-3</v>
      </c>
      <c r="AH256" s="111">
        <v>-1.1282925112090763E-3</v>
      </c>
      <c r="AI256" s="111">
        <v>-4.5638724058041279E-4</v>
      </c>
      <c r="AJ256" s="111">
        <v>-1.8822023849280654E-5</v>
      </c>
      <c r="AK256" s="111">
        <v>2.2268149641090936E-4</v>
      </c>
      <c r="AL256" s="111">
        <v>2.7293605104488489E-4</v>
      </c>
      <c r="AM256" s="111">
        <v>1.8997062423006616E-4</v>
      </c>
      <c r="AN256" s="111">
        <v>8.1680945777211692E-5</v>
      </c>
      <c r="AO256" s="111">
        <v>3.0383994271284239E-6</v>
      </c>
      <c r="AP256" s="111">
        <v>-3.2528887623936691E-5</v>
      </c>
      <c r="AQ256" s="111">
        <v>-3.6792901264400597E-5</v>
      </c>
      <c r="AR256" s="111">
        <v>-3.9421633856768336E-5</v>
      </c>
      <c r="AS256" s="111">
        <v>-2.8186226120728317E-5</v>
      </c>
      <c r="AT256" s="111">
        <v>-2.4448309782927257E-5</v>
      </c>
      <c r="AU256" s="111">
        <v>-1.4004210706518943E-5</v>
      </c>
      <c r="AV256" s="111">
        <v>7.2266656309171961E-7</v>
      </c>
      <c r="AW256" s="111">
        <v>3.0308322933558609E-5</v>
      </c>
    </row>
    <row r="257" spans="24:49" ht="9.75" customHeight="1">
      <c r="X257" s="111" t="s">
        <v>225</v>
      </c>
      <c r="Y257" s="111">
        <v>6.3200000000000006E-2</v>
      </c>
      <c r="Z257" s="111">
        <v>5.2200908968555631E-10</v>
      </c>
      <c r="AA257" s="111">
        <v>-4.5666536031704754E-5</v>
      </c>
      <c r="AB257" s="111">
        <v>4</v>
      </c>
      <c r="AC257" s="111">
        <v>0.96070997504145006</v>
      </c>
      <c r="AD257" s="111">
        <v>3.9743448225485332E-2</v>
      </c>
      <c r="AE257" s="111">
        <v>3.644029108825316E-3</v>
      </c>
      <c r="AF257" s="111">
        <v>-8.1774339858747911E-4</v>
      </c>
      <c r="AG257" s="111">
        <v>-1.3089748073652583E-3</v>
      </c>
      <c r="AH257" s="111">
        <v>-1.0836307632271839E-3</v>
      </c>
      <c r="AI257" s="111">
        <v>-7.2760956327488837E-4</v>
      </c>
      <c r="AJ257" s="111">
        <v>-4.3336566737316829E-4</v>
      </c>
      <c r="AK257" s="111">
        <v>-1.6302321314526407E-4</v>
      </c>
      <c r="AL257" s="111">
        <v>2.5028450495805016E-5</v>
      </c>
      <c r="AM257" s="111">
        <v>1.1508660490113416E-4</v>
      </c>
      <c r="AN257" s="111">
        <v>1.2742237748992707E-4</v>
      </c>
      <c r="AO257" s="111">
        <v>1.0149130205350416E-4</v>
      </c>
      <c r="AP257" s="111">
        <v>6.3404441989542627E-5</v>
      </c>
      <c r="AQ257" s="111">
        <v>3.3684935745969139E-5</v>
      </c>
      <c r="AR257" s="111">
        <v>2.08420801690892E-5</v>
      </c>
      <c r="AS257" s="111">
        <v>6.7814075847414558E-6</v>
      </c>
      <c r="AT257" s="111">
        <v>-7.7681758478478403E-7</v>
      </c>
      <c r="AU257" s="111">
        <v>-9.6010113742097E-6</v>
      </c>
      <c r="AV257" s="111">
        <v>-1.0817887774025939E-5</v>
      </c>
      <c r="AW257" s="111">
        <v>-3.5650846484649084E-5</v>
      </c>
    </row>
    <row r="258" spans="24:49" ht="9.75" customHeight="1">
      <c r="X258" s="111" t="s">
        <v>226</v>
      </c>
      <c r="Y258" s="111">
        <v>6.1100000000000002E-2</v>
      </c>
      <c r="Z258" s="111">
        <v>4.0766113919064107E-10</v>
      </c>
      <c r="AA258" s="111">
        <v>3.7187159841717209E-5</v>
      </c>
      <c r="AB258" s="111">
        <v>3</v>
      </c>
      <c r="AC258" s="111">
        <v>0.95338472238920002</v>
      </c>
      <c r="AD258" s="111">
        <v>4.2696977330921225E-2</v>
      </c>
      <c r="AE258" s="111">
        <v>5.9581388513154981E-3</v>
      </c>
      <c r="AF258" s="111">
        <v>6.0456559342702252E-4</v>
      </c>
      <c r="AG258" s="111">
        <v>-3.9457833480640924E-4</v>
      </c>
      <c r="AH258" s="111">
        <v>-6.0773422532006476E-4</v>
      </c>
      <c r="AI258" s="111">
        <v>-5.7024279586176494E-4</v>
      </c>
      <c r="AJ258" s="111">
        <v>-4.9825391117540524E-4</v>
      </c>
      <c r="AK258" s="111">
        <v>-3.7180337434977425E-4</v>
      </c>
      <c r="AL258" s="111">
        <v>-2.4050280269511464E-4</v>
      </c>
      <c r="AM258" s="111">
        <v>-1.1820194685867582E-4</v>
      </c>
      <c r="AN258" s="111">
        <v>-3.7834352763725773E-5</v>
      </c>
      <c r="AO258" s="111">
        <v>5.8596122649678777E-6</v>
      </c>
      <c r="AP258" s="111">
        <v>2.2386254803135963E-5</v>
      </c>
      <c r="AQ258" s="111">
        <v>2.3688041031754933E-5</v>
      </c>
      <c r="AR258" s="111">
        <v>2.6591062664178334E-5</v>
      </c>
      <c r="AS258" s="111">
        <v>2.1877383242857751E-5</v>
      </c>
      <c r="AT258" s="111">
        <v>2.3948262457618191E-5</v>
      </c>
      <c r="AU258" s="111">
        <v>2.4296853384126984E-5</v>
      </c>
      <c r="AV258" s="111">
        <v>1.4448273543698553E-5</v>
      </c>
      <c r="AW258" s="111">
        <v>3.1651835572617023E-5</v>
      </c>
    </row>
    <row r="259" spans="24:49" ht="9.75" customHeight="1">
      <c r="X259" s="111" t="s">
        <v>227</v>
      </c>
      <c r="Y259" s="111">
        <v>5.8700000000000002E-2</v>
      </c>
      <c r="Z259" s="111">
        <v>2.8785072398726361E-10</v>
      </c>
      <c r="AA259" s="111">
        <v>3.3034061978818022E-5</v>
      </c>
      <c r="AB259" s="111">
        <v>2</v>
      </c>
      <c r="AC259" s="111">
        <v>0.9464143533949142</v>
      </c>
      <c r="AD259" s="111">
        <v>4.4788216083864699E-2</v>
      </c>
      <c r="AE259" s="111">
        <v>7.7560313766908192E-3</v>
      </c>
      <c r="AF259" s="111">
        <v>1.8311755775360023E-3</v>
      </c>
      <c r="AG259" s="111">
        <v>5.4175665671515449E-4</v>
      </c>
      <c r="AH259" s="111">
        <v>5.3784651210380385E-5</v>
      </c>
      <c r="AI259" s="111">
        <v>-1.2566070520976809E-4</v>
      </c>
      <c r="AJ259" s="111">
        <v>-2.0946757623117011E-4</v>
      </c>
      <c r="AK259" s="111">
        <v>-2.3280942608291914E-4</v>
      </c>
      <c r="AL259" s="111">
        <v>-2.2272625171134875E-4</v>
      </c>
      <c r="AM259" s="111">
        <v>-1.7940339682681215E-4</v>
      </c>
      <c r="AN259" s="111">
        <v>-1.3299087870435357E-4</v>
      </c>
      <c r="AO259" s="111">
        <v>-9.2180520752607433E-5</v>
      </c>
      <c r="AP259" s="111">
        <v>-5.8362823536487317E-5</v>
      </c>
      <c r="AQ259" s="111">
        <v>-3.534888605433111E-5</v>
      </c>
      <c r="AR259" s="111">
        <v>-2.8644168765293318E-5</v>
      </c>
      <c r="AS259" s="111">
        <v>-1.8116911500319007E-5</v>
      </c>
      <c r="AT259" s="111">
        <v>-1.6401260416118768E-5</v>
      </c>
      <c r="AU259" s="111">
        <v>-1.3715149662438541E-5</v>
      </c>
      <c r="AV259" s="111">
        <v>-6.8446162783755876E-6</v>
      </c>
      <c r="AW259" s="111">
        <v>-1.2645169198455995E-5</v>
      </c>
    </row>
    <row r="260" spans="24:49" ht="9.75" customHeight="1">
      <c r="X260" s="111" t="s">
        <v>228</v>
      </c>
      <c r="Y260" s="111">
        <v>5.6399999999999999E-2</v>
      </c>
      <c r="Z260" s="111">
        <v>1.2110605178187118E-10</v>
      </c>
      <c r="AA260" s="111">
        <v>-2.410238815222773E-5</v>
      </c>
      <c r="AB260" s="111">
        <v>1</v>
      </c>
      <c r="AC260" s="111">
        <v>0.93918263438604466</v>
      </c>
      <c r="AD260" s="111">
        <v>4.5987722994037993E-2</v>
      </c>
      <c r="AE260" s="111">
        <v>8.9419270370399585E-3</v>
      </c>
      <c r="AF260" s="111">
        <v>2.7121690029675342E-3</v>
      </c>
      <c r="AG260" s="111">
        <v>1.2964930379876047E-3</v>
      </c>
      <c r="AH260" s="111">
        <v>6.8140649087473784E-4</v>
      </c>
      <c r="AI260" s="111">
        <v>4.0606607766332679E-4</v>
      </c>
      <c r="AJ260" s="111">
        <v>2.7768213881080613E-4</v>
      </c>
      <c r="AK260" s="111">
        <v>1.8962009854917828E-4</v>
      </c>
      <c r="AL260" s="111">
        <v>1.2814750082171112E-4</v>
      </c>
      <c r="AM260" s="111">
        <v>7.9599301082637522E-5</v>
      </c>
      <c r="AN260" s="111">
        <v>4.7729133110584373E-5</v>
      </c>
      <c r="AO260" s="111">
        <v>2.786389164955381E-5</v>
      </c>
      <c r="AP260" s="111">
        <v>1.5266269163857367E-5</v>
      </c>
      <c r="AQ260" s="111">
        <v>8.2526717858992206E-6</v>
      </c>
      <c r="AR260" s="111">
        <v>6.0693535713778852E-6</v>
      </c>
      <c r="AS260" s="111">
        <v>3.4919253741801456E-6</v>
      </c>
      <c r="AT260" s="111">
        <v>2.9172972157943434E-6</v>
      </c>
      <c r="AU260" s="111">
        <v>2.2269617888865457E-6</v>
      </c>
      <c r="AV260" s="111">
        <v>1.0141930202718174E-6</v>
      </c>
      <c r="AW260" s="111">
        <v>1.7002374396726583E-6</v>
      </c>
    </row>
    <row r="261" spans="24:49" ht="9.75" customHeight="1">
      <c r="X261" s="111" t="s">
        <v>229</v>
      </c>
      <c r="Y261" s="111">
        <v>5.4100000000000002E-2</v>
      </c>
      <c r="Z261" s="111">
        <v>1.8648646310123634E-10</v>
      </c>
      <c r="AA261" s="111">
        <v>-3.5650846484649084E-5</v>
      </c>
      <c r="AB261" s="111">
        <v>0</v>
      </c>
      <c r="AC261" s="111">
        <v>0</v>
      </c>
      <c r="AD261" s="111">
        <v>0</v>
      </c>
      <c r="AE261" s="111">
        <v>0</v>
      </c>
      <c r="AF261" s="111">
        <v>0</v>
      </c>
      <c r="AG261" s="111">
        <v>0</v>
      </c>
      <c r="AH261" s="111">
        <v>0</v>
      </c>
      <c r="AI261" s="111">
        <v>0</v>
      </c>
      <c r="AJ261" s="111">
        <v>0</v>
      </c>
      <c r="AK261" s="111">
        <v>0</v>
      </c>
      <c r="AL261" s="111">
        <v>0</v>
      </c>
      <c r="AM261" s="111">
        <v>0</v>
      </c>
      <c r="AN261" s="111">
        <v>0</v>
      </c>
      <c r="AO261" s="111">
        <v>0</v>
      </c>
      <c r="AP261" s="111">
        <v>0</v>
      </c>
      <c r="AQ261" s="111">
        <v>0</v>
      </c>
      <c r="AR261" s="111">
        <v>0</v>
      </c>
      <c r="AS261" s="111">
        <v>0</v>
      </c>
      <c r="AT261" s="111">
        <v>0</v>
      </c>
      <c r="AU261" s="111">
        <v>0</v>
      </c>
      <c r="AV261" s="111">
        <v>0</v>
      </c>
      <c r="AW261" s="111">
        <v>0</v>
      </c>
    </row>
    <row r="279" spans="1:2" ht="9.75" customHeight="1">
      <c r="A279" s="143" t="s">
        <v>38</v>
      </c>
      <c r="B279" s="143" t="s">
        <v>39</v>
      </c>
    </row>
    <row r="280" spans="1:2" ht="9.75" customHeight="1">
      <c r="A280" s="143"/>
      <c r="B280" s="143"/>
    </row>
    <row r="316" spans="1:2" ht="9.75" customHeight="1">
      <c r="A316" s="143" t="s">
        <v>45</v>
      </c>
      <c r="B316" s="143" t="s">
        <v>46</v>
      </c>
    </row>
    <row r="317" spans="1:2" ht="9.75" customHeight="1">
      <c r="A317" s="143"/>
      <c r="B317" s="143"/>
    </row>
    <row r="319" spans="1:2" ht="9.75" customHeight="1">
      <c r="A319" s="143" t="s">
        <v>201</v>
      </c>
      <c r="B319" s="143"/>
    </row>
    <row r="320" spans="1:2" ht="9.75" customHeight="1">
      <c r="A320" s="143"/>
      <c r="B320" s="143"/>
    </row>
    <row r="359" spans="1:2" ht="9.75" customHeight="1">
      <c r="A359" s="143" t="s">
        <v>38</v>
      </c>
      <c r="B359" s="143" t="s">
        <v>39</v>
      </c>
    </row>
    <row r="360" spans="1:2" ht="9.75" customHeight="1">
      <c r="A360" s="143"/>
      <c r="B360" s="143"/>
    </row>
    <row r="396" spans="1:2" ht="9.75" customHeight="1">
      <c r="A396" s="143" t="s">
        <v>45</v>
      </c>
      <c r="B396" s="143" t="s">
        <v>46</v>
      </c>
    </row>
    <row r="397" spans="1:2" ht="9.75" customHeight="1">
      <c r="A397" s="143"/>
      <c r="B397" s="143"/>
    </row>
    <row r="399" spans="1:2" ht="9.75" customHeight="1">
      <c r="A399" s="143" t="s">
        <v>241</v>
      </c>
      <c r="B399" s="143"/>
    </row>
    <row r="400" spans="1:2" ht="9.75" customHeight="1">
      <c r="A400" s="143"/>
      <c r="B400" s="143"/>
    </row>
    <row r="439" spans="1:2" ht="9.75" customHeight="1">
      <c r="A439" s="143" t="s">
        <v>38</v>
      </c>
      <c r="B439" s="143" t="s">
        <v>39</v>
      </c>
    </row>
    <row r="440" spans="1:2" ht="9.75" customHeight="1">
      <c r="A440" s="143"/>
      <c r="B440" s="143"/>
    </row>
    <row r="476" spans="1:2" ht="9.75" customHeight="1">
      <c r="A476" s="143" t="s">
        <v>45</v>
      </c>
      <c r="B476" s="143" t="s">
        <v>46</v>
      </c>
    </row>
    <row r="477" spans="1:2" ht="9.75" customHeight="1">
      <c r="A477" s="143"/>
      <c r="B477" s="143"/>
    </row>
    <row r="479" spans="1:2" ht="9.75" customHeight="1">
      <c r="A479" s="143" t="s">
        <v>242</v>
      </c>
      <c r="B479" s="143"/>
    </row>
    <row r="480" spans="1:2" ht="9.75" customHeight="1">
      <c r="A480" s="143"/>
      <c r="B480" s="143"/>
    </row>
  </sheetData>
  <sheetProtection algorithmName="SHA-512" hashValue="uzj9WOzdLtTpNyIUXo8sdLn26QdTwc8wDA1BowIPToHiJnIT21IBZhNp37jbjuw4Gd9YX9czswLSEy1k1UsQGQ==" saltValue="t2AC9pHLG65OnR1HhhKigQ==" spinCount="100000" sheet="1" formatCells="0" formatColumns="0" formatRows="0" insertColumns="0" insertRows="0" insertHyperlinks="0" deleteColumns="0" deleteRows="0" sort="0" autoFilter="0" pivotTables="0"/>
  <mergeCells count="47">
    <mergeCell ref="T15:U15"/>
    <mergeCell ref="F1:I1"/>
    <mergeCell ref="J1:M1"/>
    <mergeCell ref="N1:Q1"/>
    <mergeCell ref="T3:U3"/>
    <mergeCell ref="T4:U4"/>
    <mergeCell ref="T5:U5"/>
    <mergeCell ref="T6:U6"/>
    <mergeCell ref="T9:U9"/>
    <mergeCell ref="T10:U10"/>
    <mergeCell ref="T11:V11"/>
    <mergeCell ref="T14:V14"/>
    <mergeCell ref="A76:A77"/>
    <mergeCell ref="B76:B77"/>
    <mergeCell ref="T16:V16"/>
    <mergeCell ref="A39:A40"/>
    <mergeCell ref="B39:B40"/>
    <mergeCell ref="F55:I55"/>
    <mergeCell ref="J55:M55"/>
    <mergeCell ref="N55:Q55"/>
    <mergeCell ref="S55:V55"/>
    <mergeCell ref="A79:B80"/>
    <mergeCell ref="A119:A120"/>
    <mergeCell ref="B119:B120"/>
    <mergeCell ref="A156:A157"/>
    <mergeCell ref="B156:B157"/>
    <mergeCell ref="A359:A360"/>
    <mergeCell ref="B359:B360"/>
    <mergeCell ref="A159:B160"/>
    <mergeCell ref="A199:A200"/>
    <mergeCell ref="B199:B200"/>
    <mergeCell ref="A236:A237"/>
    <mergeCell ref="B236:B237"/>
    <mergeCell ref="A239:B240"/>
    <mergeCell ref="A279:A280"/>
    <mergeCell ref="B279:B280"/>
    <mergeCell ref="A316:A317"/>
    <mergeCell ref="B316:B317"/>
    <mergeCell ref="A319:B320"/>
    <mergeCell ref="A479:B480"/>
    <mergeCell ref="A396:A397"/>
    <mergeCell ref="B396:B397"/>
    <mergeCell ref="A399:B400"/>
    <mergeCell ref="A439:A440"/>
    <mergeCell ref="B439:B440"/>
    <mergeCell ref="A476:A477"/>
    <mergeCell ref="B476:B477"/>
  </mergeCells>
  <phoneticPr fontId="1"/>
  <conditionalFormatting sqref="S23:S26">
    <cfRule type="expression" dxfId="22" priority="13">
      <formula>OR(S23="実行可",S23="F3T利用")</formula>
    </cfRule>
  </conditionalFormatting>
  <conditionalFormatting sqref="F53:Q54">
    <cfRule type="expression" dxfId="21" priority="14">
      <formula>F53="×"</formula>
    </cfRule>
  </conditionalFormatting>
  <conditionalFormatting sqref="S22">
    <cfRule type="expression" dxfId="20" priority="2">
      <formula>S22="BS+SR"</formula>
    </cfRule>
    <cfRule type="expression" dxfId="19" priority="3">
      <formula>S22="BS+I+SR"</formula>
    </cfRule>
    <cfRule type="expression" dxfId="18" priority="4">
      <formula>S22="BS+I+BS"</formula>
    </cfRule>
    <cfRule type="expression" dxfId="17" priority="5">
      <formula>S22="BS+I+S"</formula>
    </cfRule>
    <cfRule type="expression" dxfId="16" priority="6">
      <formula>S22="BS+I"</formula>
    </cfRule>
    <cfRule type="expression" dxfId="15" priority="7">
      <formula>S22="BS"</formula>
    </cfRule>
    <cfRule type="expression" dxfId="14" priority="8">
      <formula>S22="S+SR"</formula>
    </cfRule>
    <cfRule type="expression" dxfId="13" priority="9">
      <formula>S22="S+I+SR"</formula>
    </cfRule>
    <cfRule type="expression" dxfId="12" priority="10">
      <formula>S22="S+I+S"</formula>
    </cfRule>
    <cfRule type="expression" dxfId="11" priority="11">
      <formula>S22="S+I"</formula>
    </cfRule>
    <cfRule type="expression" dxfId="10" priority="12">
      <formula>S22="S"</formula>
    </cfRule>
  </conditionalFormatting>
  <conditionalFormatting sqref="S20">
    <cfRule type="expression" dxfId="9" priority="1">
      <formula>OR($S$18="剛性比例",$S$18="質量比例")</formula>
    </cfRule>
  </conditionalFormatting>
  <dataValidations count="1">
    <dataValidation type="list" allowBlank="1" showInputMessage="1" showErrorMessage="1" sqref="S18" xr:uid="{252CABF5-9801-405A-97C2-6007E34FB49E}">
      <formula1>"剛性比例,質量比例,レーリー型"</formula1>
    </dataValidation>
  </dataValidations>
  <pageMargins left="1.1811023622047245" right="0.78740157480314965" top="0.78740157480314965" bottom="0.7874015748031496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_csv">
              <controlPr defaultSize="0" print="0" autoFill="0" autoPict="0" macro="[0]!ImportEigenCsvSequence">
                <anchor moveWithCells="1" sizeWithCells="1">
                  <from>
                    <xdr:col>20</xdr:col>
                    <xdr:colOff>0</xdr:colOff>
                    <xdr:row>60</xdr:row>
                    <xdr:rowOff>0</xdr:rowOff>
                  </from>
                  <to>
                    <xdr:col>21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00379-4D64-4932-BEAD-410A931AD76B}">
  <sheetPr codeName="Sheet14"/>
  <dimension ref="A1:BH261"/>
  <sheetViews>
    <sheetView zoomScaleNormal="100" workbookViewId="0"/>
  </sheetViews>
  <sheetFormatPr defaultColWidth="8.7109375" defaultRowHeight="9.75" customHeight="1"/>
  <cols>
    <col min="1" max="16384" width="8.7109375" style="101"/>
  </cols>
  <sheetData>
    <row r="1" spans="1:24" ht="9.75" customHeight="1">
      <c r="A1" s="13"/>
      <c r="B1" s="153" t="s">
        <v>34</v>
      </c>
      <c r="C1" s="154"/>
      <c r="D1" s="154"/>
      <c r="E1" s="155"/>
      <c r="F1" s="153" t="s">
        <v>35</v>
      </c>
      <c r="G1" s="154"/>
      <c r="H1" s="154"/>
      <c r="I1" s="155"/>
      <c r="J1" s="153" t="s">
        <v>36</v>
      </c>
      <c r="K1" s="154"/>
      <c r="L1" s="154"/>
      <c r="M1" s="155"/>
      <c r="N1" s="153" t="s">
        <v>37</v>
      </c>
      <c r="O1" s="154"/>
      <c r="P1" s="154"/>
      <c r="Q1" s="155"/>
      <c r="R1" s="154" t="s">
        <v>47</v>
      </c>
      <c r="S1" s="154"/>
      <c r="T1" s="154"/>
      <c r="U1" s="154"/>
      <c r="V1" s="60"/>
      <c r="W1" s="12"/>
      <c r="X1" s="12"/>
    </row>
    <row r="2" spans="1:24" ht="9.75" customHeight="1">
      <c r="A2" s="13"/>
      <c r="B2" s="27" t="s">
        <v>72</v>
      </c>
      <c r="C2" s="27" t="s">
        <v>73</v>
      </c>
      <c r="D2" s="27" t="s">
        <v>74</v>
      </c>
      <c r="E2" s="27" t="s">
        <v>75</v>
      </c>
      <c r="F2" s="27" t="s">
        <v>72</v>
      </c>
      <c r="G2" s="27" t="s">
        <v>73</v>
      </c>
      <c r="H2" s="27" t="s">
        <v>74</v>
      </c>
      <c r="I2" s="27" t="s">
        <v>75</v>
      </c>
      <c r="J2" s="27" t="s">
        <v>72</v>
      </c>
      <c r="K2" s="27" t="s">
        <v>73</v>
      </c>
      <c r="L2" s="27" t="s">
        <v>74</v>
      </c>
      <c r="M2" s="27" t="s">
        <v>75</v>
      </c>
      <c r="N2" s="27" t="s">
        <v>72</v>
      </c>
      <c r="O2" s="27" t="s">
        <v>73</v>
      </c>
      <c r="P2" s="27" t="s">
        <v>74</v>
      </c>
      <c r="Q2" s="27" t="s">
        <v>75</v>
      </c>
      <c r="R2" s="25" t="s">
        <v>34</v>
      </c>
      <c r="S2" s="27" t="s">
        <v>3</v>
      </c>
      <c r="T2" s="27" t="s">
        <v>4</v>
      </c>
      <c r="U2" s="24" t="s">
        <v>5</v>
      </c>
      <c r="V2" s="60"/>
      <c r="W2" s="12"/>
      <c r="X2" s="12"/>
    </row>
    <row r="3" spans="1:24" ht="9.75" customHeight="1">
      <c r="A3" s="5" t="str">
        <f>IF(AND(ISNUMBER(Eigenvalue!D3),NOT(ISNUMBER(Eigenvalue!D4))),IF(Eigenvalue!C4="免震層→","･","ここまで→"),IF(Eigenvalue!C3="免震層→",Eigenvalue!C3,"･"))</f>
        <v>･</v>
      </c>
      <c r="B3" s="34"/>
      <c r="C3" s="35"/>
      <c r="D3" s="35"/>
      <c r="E3" s="36"/>
      <c r="F3" s="34"/>
      <c r="G3" s="35"/>
      <c r="H3" s="35"/>
      <c r="I3" s="36"/>
      <c r="J3" s="34"/>
      <c r="K3" s="35"/>
      <c r="L3" s="35"/>
      <c r="M3" s="36"/>
      <c r="N3" s="34"/>
      <c r="O3" s="35"/>
      <c r="P3" s="35"/>
      <c r="Q3" s="36"/>
      <c r="R3" s="37"/>
      <c r="S3" s="37"/>
      <c r="T3" s="37"/>
      <c r="U3" s="38"/>
      <c r="V3" s="60"/>
      <c r="W3" s="39">
        <v>45</v>
      </c>
      <c r="X3" s="13" t="s">
        <v>99</v>
      </c>
    </row>
    <row r="4" spans="1:24" ht="9.75" customHeight="1">
      <c r="A4" s="5" t="str">
        <f>IF(AND(ISNUMBER(Eigenvalue!D4),NOT(ISNUMBER(Eigenvalue!D5))),IF(Eigenvalue!C5="免震層→","･","ここまで→"),IF(Eigenvalue!C4="免震層→",Eigenvalue!C4,"･"))</f>
        <v>･</v>
      </c>
      <c r="B4" s="34"/>
      <c r="C4" s="35"/>
      <c r="D4" s="35"/>
      <c r="E4" s="36"/>
      <c r="F4" s="34"/>
      <c r="G4" s="35"/>
      <c r="H4" s="35"/>
      <c r="I4" s="36"/>
      <c r="J4" s="34"/>
      <c r="K4" s="35"/>
      <c r="L4" s="35"/>
      <c r="M4" s="36"/>
      <c r="N4" s="34"/>
      <c r="O4" s="35"/>
      <c r="P4" s="35"/>
      <c r="Q4" s="36"/>
      <c r="R4" s="37"/>
      <c r="S4" s="37"/>
      <c r="T4" s="37"/>
      <c r="U4" s="38"/>
      <c r="V4" s="60"/>
      <c r="W4" s="12"/>
      <c r="X4" s="12"/>
    </row>
    <row r="5" spans="1:24" ht="9.75" customHeight="1">
      <c r="A5" s="5" t="str">
        <f>IF(AND(ISNUMBER(Eigenvalue!D5),NOT(ISNUMBER(Eigenvalue!D6))),IF(Eigenvalue!C6="免震層→","･","ここまで→"),IF(Eigenvalue!C5="免震層→",Eigenvalue!C5,"･"))</f>
        <v>･</v>
      </c>
      <c r="B5" s="34"/>
      <c r="C5" s="35"/>
      <c r="D5" s="35"/>
      <c r="E5" s="36"/>
      <c r="F5" s="34"/>
      <c r="G5" s="35"/>
      <c r="H5" s="35"/>
      <c r="I5" s="36"/>
      <c r="J5" s="34"/>
      <c r="K5" s="35"/>
      <c r="L5" s="35"/>
      <c r="M5" s="36"/>
      <c r="N5" s="34"/>
      <c r="O5" s="35"/>
      <c r="P5" s="35"/>
      <c r="Q5" s="36"/>
      <c r="R5" s="37"/>
      <c r="S5" s="37"/>
      <c r="T5" s="37"/>
      <c r="U5" s="38"/>
      <c r="V5" s="60"/>
      <c r="W5" s="39" t="s">
        <v>300</v>
      </c>
      <c r="X5" s="13" t="str">
        <f>"共通の復元力特性："&amp;
IF(W5="Linear","リニア型",
IF(W5="Bi-Linear","ノーマルバイリニア型",
IF(W5="Takeda","武田型")))</f>
        <v>共通の復元力特性：リニア型</v>
      </c>
    </row>
    <row r="6" spans="1:24" ht="9.75" customHeight="1">
      <c r="A6" s="5" t="str">
        <f>IF(AND(ISNUMBER(Eigenvalue!D6),NOT(ISNUMBER(Eigenvalue!D7))),IF(Eigenvalue!C7="免震層→","･","ここまで→"),IF(Eigenvalue!C6="免震層→",Eigenvalue!C6,"･"))</f>
        <v>･</v>
      </c>
      <c r="B6" s="34"/>
      <c r="C6" s="35"/>
      <c r="D6" s="35"/>
      <c r="E6" s="36"/>
      <c r="F6" s="34"/>
      <c r="G6" s="35"/>
      <c r="H6" s="35"/>
      <c r="I6" s="36"/>
      <c r="J6" s="34"/>
      <c r="K6" s="35"/>
      <c r="L6" s="35"/>
      <c r="M6" s="36"/>
      <c r="N6" s="34"/>
      <c r="O6" s="35"/>
      <c r="P6" s="35"/>
      <c r="Q6" s="36"/>
      <c r="R6" s="37"/>
      <c r="S6" s="37"/>
      <c r="T6" s="37"/>
      <c r="U6" s="38"/>
      <c r="V6" s="60"/>
      <c r="W6" s="12"/>
      <c r="X6" s="12"/>
    </row>
    <row r="7" spans="1:24" ht="9.75" customHeight="1">
      <c r="A7" s="5" t="str">
        <f>IF(AND(ISNUMBER(Eigenvalue!D7),NOT(ISNUMBER(Eigenvalue!D8))),IF(Eigenvalue!C8="免震層→","･","ここまで→"),IF(Eigenvalue!C7="免震層→",Eigenvalue!C7,"･"))</f>
        <v>･</v>
      </c>
      <c r="B7" s="34"/>
      <c r="C7" s="35"/>
      <c r="D7" s="35"/>
      <c r="E7" s="36"/>
      <c r="F7" s="34"/>
      <c r="G7" s="35"/>
      <c r="H7" s="35"/>
      <c r="I7" s="36"/>
      <c r="J7" s="34"/>
      <c r="K7" s="35"/>
      <c r="L7" s="35"/>
      <c r="M7" s="36"/>
      <c r="N7" s="34"/>
      <c r="O7" s="35"/>
      <c r="P7" s="35"/>
      <c r="Q7" s="36"/>
      <c r="R7" s="37"/>
      <c r="S7" s="37"/>
      <c r="T7" s="37"/>
      <c r="U7" s="38"/>
      <c r="V7" s="60"/>
      <c r="W7" s="39" t="s">
        <v>100</v>
      </c>
      <c r="X7" s="13" t="str">
        <f>"βの選択："&amp;IF(W7="β=1/4","平均加速度法",IF(W7="β=1/6","線形加速度法"))</f>
        <v>βの選択：平均加速度法</v>
      </c>
    </row>
    <row r="8" spans="1:24" ht="9.75" customHeight="1">
      <c r="A8" s="5" t="str">
        <f>IF(AND(ISNUMBER(Eigenvalue!D8),NOT(ISNUMBER(Eigenvalue!D9))),IF(Eigenvalue!C9="免震層→","･","ここまで→"),IF(Eigenvalue!C8="免震層→",Eigenvalue!C8,"･"))</f>
        <v>･</v>
      </c>
      <c r="B8" s="34"/>
      <c r="C8" s="35"/>
      <c r="D8" s="35"/>
      <c r="E8" s="36"/>
      <c r="F8" s="34"/>
      <c r="G8" s="35"/>
      <c r="H8" s="35"/>
      <c r="I8" s="36"/>
      <c r="J8" s="34"/>
      <c r="K8" s="35"/>
      <c r="L8" s="35"/>
      <c r="M8" s="36"/>
      <c r="N8" s="34"/>
      <c r="O8" s="35"/>
      <c r="P8" s="35"/>
      <c r="Q8" s="36"/>
      <c r="R8" s="37"/>
      <c r="S8" s="37"/>
      <c r="T8" s="37"/>
      <c r="U8" s="38"/>
      <c r="V8" s="105"/>
    </row>
    <row r="9" spans="1:24" ht="9.75" customHeight="1">
      <c r="A9" s="5" t="str">
        <f>IF(AND(ISNUMBER(Eigenvalue!D9),NOT(ISNUMBER(Eigenvalue!D10))),IF(Eigenvalue!C10="免震層→","･","ここまで→"),IF(Eigenvalue!C9="免震層→",Eigenvalue!C9,"･"))</f>
        <v>･</v>
      </c>
      <c r="B9" s="34"/>
      <c r="C9" s="35"/>
      <c r="D9" s="35"/>
      <c r="E9" s="36"/>
      <c r="F9" s="34"/>
      <c r="G9" s="35"/>
      <c r="H9" s="35"/>
      <c r="I9" s="36"/>
      <c r="J9" s="34"/>
      <c r="K9" s="35"/>
      <c r="L9" s="35"/>
      <c r="M9" s="36"/>
      <c r="N9" s="34"/>
      <c r="O9" s="35"/>
      <c r="P9" s="35"/>
      <c r="Q9" s="36"/>
      <c r="R9" s="37"/>
      <c r="S9" s="37"/>
      <c r="T9" s="37"/>
      <c r="U9" s="38"/>
      <c r="V9" s="105"/>
      <c r="W9" s="39" t="s">
        <v>238</v>
      </c>
      <c r="X9" s="101" t="str">
        <f>"逆行列の計算："&amp;
IF(W9="LU","LU分解",
IF(W9="LLT","コレスキー分解(LLT)",
IF(W9="LDLT","修正コレスキー分解(LDLT)")))</f>
        <v>逆行列の計算：コレスキー分解(LLT)</v>
      </c>
    </row>
    <row r="10" spans="1:24" ht="9.75" customHeight="1">
      <c r="A10" s="5" t="str">
        <f>IF(AND(ISNUMBER(Eigenvalue!D10),NOT(ISNUMBER(Eigenvalue!D11))),IF(Eigenvalue!C11="免震層→","･","ここまで→"),IF(Eigenvalue!C10="免震層→",Eigenvalue!C10,"･"))</f>
        <v>･</v>
      </c>
      <c r="B10" s="34"/>
      <c r="C10" s="35"/>
      <c r="D10" s="35"/>
      <c r="E10" s="36"/>
      <c r="F10" s="34"/>
      <c r="G10" s="35"/>
      <c r="H10" s="35"/>
      <c r="I10" s="36"/>
      <c r="J10" s="34"/>
      <c r="K10" s="35"/>
      <c r="L10" s="35"/>
      <c r="M10" s="36"/>
      <c r="N10" s="34"/>
      <c r="O10" s="35"/>
      <c r="P10" s="35"/>
      <c r="Q10" s="36"/>
      <c r="R10" s="37"/>
      <c r="S10" s="37"/>
      <c r="T10" s="37"/>
      <c r="U10" s="38"/>
      <c r="V10" s="105"/>
    </row>
    <row r="11" spans="1:24" ht="9.75" customHeight="1">
      <c r="A11" s="5" t="str">
        <f>IF(AND(ISNUMBER(Eigenvalue!D11),NOT(ISNUMBER(Eigenvalue!D12))),IF(Eigenvalue!C12="免震層→","･","ここまで→"),IF(Eigenvalue!C11="免震層→",Eigenvalue!C11,"･"))</f>
        <v>･</v>
      </c>
      <c r="B11" s="34"/>
      <c r="C11" s="35"/>
      <c r="D11" s="35"/>
      <c r="E11" s="36"/>
      <c r="F11" s="34"/>
      <c r="G11" s="35"/>
      <c r="H11" s="35"/>
      <c r="I11" s="36"/>
      <c r="J11" s="34"/>
      <c r="K11" s="35"/>
      <c r="L11" s="35"/>
      <c r="M11" s="36"/>
      <c r="N11" s="34"/>
      <c r="O11" s="35"/>
      <c r="P11" s="35"/>
      <c r="Q11" s="36"/>
      <c r="R11" s="37"/>
      <c r="S11" s="37"/>
      <c r="T11" s="37"/>
      <c r="U11" s="38"/>
      <c r="V11" s="105"/>
    </row>
    <row r="12" spans="1:24" ht="9.75" customHeight="1">
      <c r="A12" s="5" t="str">
        <f>IF(AND(ISNUMBER(Eigenvalue!D12),NOT(ISNUMBER(Eigenvalue!D13))),IF(Eigenvalue!C13="免震層→","･","ここまで→"),IF(Eigenvalue!C12="免震層→",Eigenvalue!C12,"･"))</f>
        <v>･</v>
      </c>
      <c r="B12" s="34"/>
      <c r="C12" s="35"/>
      <c r="D12" s="35"/>
      <c r="E12" s="36"/>
      <c r="F12" s="34"/>
      <c r="G12" s="35"/>
      <c r="H12" s="35"/>
      <c r="I12" s="36"/>
      <c r="J12" s="34"/>
      <c r="K12" s="35"/>
      <c r="L12" s="35"/>
      <c r="M12" s="36"/>
      <c r="N12" s="34"/>
      <c r="O12" s="35"/>
      <c r="P12" s="35"/>
      <c r="Q12" s="36"/>
      <c r="R12" s="37"/>
      <c r="S12" s="37"/>
      <c r="T12" s="37"/>
      <c r="U12" s="38"/>
      <c r="V12" s="105"/>
    </row>
    <row r="13" spans="1:24" ht="9.75" customHeight="1">
      <c r="A13" s="5" t="str">
        <f>IF(AND(ISNUMBER(Eigenvalue!D13),NOT(ISNUMBER(Eigenvalue!D14))),IF(Eigenvalue!C14="免震層→","･","ここまで→"),IF(Eigenvalue!C13="免震層→",Eigenvalue!C13,"･"))</f>
        <v>･</v>
      </c>
      <c r="B13" s="34"/>
      <c r="C13" s="35"/>
      <c r="D13" s="35"/>
      <c r="E13" s="36"/>
      <c r="F13" s="34"/>
      <c r="G13" s="35"/>
      <c r="H13" s="35"/>
      <c r="I13" s="36"/>
      <c r="J13" s="34"/>
      <c r="K13" s="35"/>
      <c r="L13" s="35"/>
      <c r="M13" s="36"/>
      <c r="N13" s="34"/>
      <c r="O13" s="35"/>
      <c r="P13" s="35"/>
      <c r="Q13" s="36"/>
      <c r="R13" s="37"/>
      <c r="S13" s="37"/>
      <c r="T13" s="37"/>
      <c r="U13" s="38"/>
      <c r="V13" s="105"/>
    </row>
    <row r="14" spans="1:24" ht="9.75" customHeight="1">
      <c r="A14" s="5" t="str">
        <f>IF(AND(ISNUMBER(Eigenvalue!D14),NOT(ISNUMBER(Eigenvalue!D15))),IF(Eigenvalue!C15="免震層→","･","ここまで→"),IF(Eigenvalue!C14="免震層→",Eigenvalue!C14,"･"))</f>
        <v>･</v>
      </c>
      <c r="B14" s="34"/>
      <c r="C14" s="35"/>
      <c r="D14" s="35"/>
      <c r="E14" s="36"/>
      <c r="F14" s="34"/>
      <c r="G14" s="35"/>
      <c r="H14" s="35"/>
      <c r="I14" s="36"/>
      <c r="J14" s="34"/>
      <c r="K14" s="35"/>
      <c r="L14" s="35"/>
      <c r="M14" s="36"/>
      <c r="N14" s="34"/>
      <c r="O14" s="35"/>
      <c r="P14" s="35"/>
      <c r="Q14" s="36"/>
      <c r="R14" s="37"/>
      <c r="S14" s="37"/>
      <c r="T14" s="37"/>
      <c r="U14" s="38"/>
      <c r="V14" s="105"/>
    </row>
    <row r="15" spans="1:24" ht="9.75" customHeight="1">
      <c r="A15" s="5" t="str">
        <f>IF(AND(ISNUMBER(Eigenvalue!D15),NOT(ISNUMBER(Eigenvalue!D16))),IF(Eigenvalue!C16="免震層→","･","ここまで→"),IF(Eigenvalue!C15="免震層→",Eigenvalue!C15,"･"))</f>
        <v>･</v>
      </c>
      <c r="B15" s="34"/>
      <c r="C15" s="35"/>
      <c r="D15" s="35"/>
      <c r="E15" s="36"/>
      <c r="F15" s="34"/>
      <c r="G15" s="35"/>
      <c r="H15" s="35"/>
      <c r="I15" s="36"/>
      <c r="J15" s="34"/>
      <c r="K15" s="35"/>
      <c r="L15" s="35"/>
      <c r="M15" s="36"/>
      <c r="N15" s="34"/>
      <c r="O15" s="35"/>
      <c r="P15" s="35"/>
      <c r="Q15" s="36"/>
      <c r="R15" s="37"/>
      <c r="S15" s="37"/>
      <c r="T15" s="37"/>
      <c r="U15" s="38"/>
      <c r="V15" s="105"/>
    </row>
    <row r="16" spans="1:24" ht="9.75" customHeight="1">
      <c r="A16" s="5" t="str">
        <f>IF(AND(ISNUMBER(Eigenvalue!D16),NOT(ISNUMBER(Eigenvalue!D17))),IF(Eigenvalue!C17="免震層→","･","ここまで→"),IF(Eigenvalue!C16="免震層→",Eigenvalue!C16,"･"))</f>
        <v>･</v>
      </c>
      <c r="B16" s="47"/>
      <c r="C16" s="35"/>
      <c r="D16" s="48"/>
      <c r="E16" s="49"/>
      <c r="F16" s="34"/>
      <c r="G16" s="35"/>
      <c r="H16" s="48"/>
      <c r="I16" s="49"/>
      <c r="J16" s="34"/>
      <c r="K16" s="35"/>
      <c r="L16" s="48"/>
      <c r="M16" s="49"/>
      <c r="N16" s="47"/>
      <c r="O16" s="35"/>
      <c r="P16" s="48"/>
      <c r="Q16" s="49"/>
      <c r="R16" s="37"/>
      <c r="S16" s="37"/>
      <c r="T16" s="37"/>
      <c r="U16" s="38"/>
      <c r="V16" s="105"/>
    </row>
    <row r="17" spans="1:22" ht="9.75" customHeight="1">
      <c r="A17" s="5" t="str">
        <f>IF(AND(ISNUMBER(Eigenvalue!D17),NOT(ISNUMBER(Eigenvalue!D18))),IF(Eigenvalue!C18="免震層→","･","ここまで→"),IF(Eigenvalue!C17="免震層→",Eigenvalue!C17,"･"))</f>
        <v>･</v>
      </c>
      <c r="B17" s="47"/>
      <c r="C17" s="35"/>
      <c r="D17" s="48"/>
      <c r="E17" s="49"/>
      <c r="F17" s="34"/>
      <c r="G17" s="35"/>
      <c r="H17" s="48"/>
      <c r="I17" s="49"/>
      <c r="J17" s="34"/>
      <c r="K17" s="35"/>
      <c r="L17" s="48"/>
      <c r="M17" s="49"/>
      <c r="N17" s="47"/>
      <c r="O17" s="35"/>
      <c r="P17" s="48"/>
      <c r="Q17" s="49"/>
      <c r="R17" s="37"/>
      <c r="S17" s="37"/>
      <c r="T17" s="37"/>
      <c r="U17" s="38"/>
      <c r="V17" s="105"/>
    </row>
    <row r="18" spans="1:22" ht="9.75" customHeight="1">
      <c r="A18" s="5" t="str">
        <f>IF(AND(ISNUMBER(Eigenvalue!D18),NOT(ISNUMBER(Eigenvalue!D19))),IF(Eigenvalue!C19="免震層→","･","ここまで→"),IF(Eigenvalue!C18="免震層→",Eigenvalue!C18,"･"))</f>
        <v>･</v>
      </c>
      <c r="B18" s="47"/>
      <c r="C18" s="48"/>
      <c r="D18" s="48"/>
      <c r="E18" s="49"/>
      <c r="F18" s="34"/>
      <c r="G18" s="48"/>
      <c r="H18" s="48"/>
      <c r="I18" s="49"/>
      <c r="J18" s="34"/>
      <c r="K18" s="48"/>
      <c r="L18" s="48"/>
      <c r="M18" s="49"/>
      <c r="N18" s="47"/>
      <c r="O18" s="48"/>
      <c r="P18" s="48"/>
      <c r="Q18" s="49"/>
      <c r="R18" s="37"/>
      <c r="S18" s="37"/>
      <c r="T18" s="50"/>
      <c r="U18" s="51"/>
      <c r="V18" s="105"/>
    </row>
    <row r="19" spans="1:22" ht="9.75" customHeight="1">
      <c r="A19" s="5" t="str">
        <f>IF(AND(ISNUMBER(Eigenvalue!D19),NOT(ISNUMBER(Eigenvalue!D20))),IF(Eigenvalue!C20="免震層→","･","ここまで→"),IF(Eigenvalue!C19="免震層→",Eigenvalue!C19,"･"))</f>
        <v>･</v>
      </c>
      <c r="B19" s="47"/>
      <c r="C19" s="48"/>
      <c r="D19" s="48"/>
      <c r="E19" s="49"/>
      <c r="F19" s="34"/>
      <c r="G19" s="48"/>
      <c r="H19" s="48"/>
      <c r="I19" s="49"/>
      <c r="J19" s="34"/>
      <c r="K19" s="48"/>
      <c r="L19" s="48"/>
      <c r="M19" s="49"/>
      <c r="N19" s="47"/>
      <c r="O19" s="48"/>
      <c r="P19" s="48"/>
      <c r="Q19" s="49"/>
      <c r="R19" s="37"/>
      <c r="S19" s="37"/>
      <c r="T19" s="50"/>
      <c r="U19" s="51"/>
      <c r="V19" s="105"/>
    </row>
    <row r="20" spans="1:22" ht="9.75" customHeight="1">
      <c r="A20" s="5" t="str">
        <f>IF(AND(ISNUMBER(Eigenvalue!D20),NOT(ISNUMBER(Eigenvalue!D21))),IF(Eigenvalue!C21="免震層→","･","ここまで→"),IF(Eigenvalue!C20="免震層→",Eigenvalue!C20,"･"))</f>
        <v>･</v>
      </c>
      <c r="B20" s="47"/>
      <c r="C20" s="48"/>
      <c r="D20" s="48"/>
      <c r="E20" s="49"/>
      <c r="F20" s="34"/>
      <c r="G20" s="48"/>
      <c r="H20" s="48"/>
      <c r="I20" s="49"/>
      <c r="J20" s="34"/>
      <c r="K20" s="48"/>
      <c r="L20" s="48"/>
      <c r="M20" s="49"/>
      <c r="N20" s="47"/>
      <c r="O20" s="48"/>
      <c r="P20" s="48"/>
      <c r="Q20" s="49"/>
      <c r="R20" s="37"/>
      <c r="S20" s="37"/>
      <c r="T20" s="50"/>
      <c r="U20" s="51"/>
      <c r="V20" s="105"/>
    </row>
    <row r="21" spans="1:22" ht="9.75" customHeight="1">
      <c r="A21" s="5" t="str">
        <f>IF(AND(ISNUMBER(Eigenvalue!D21),NOT(ISNUMBER(Eigenvalue!D22))),IF(Eigenvalue!C22="免震層→","･","ここまで→"),IF(Eigenvalue!C21="免震層→",Eigenvalue!C21,"･"))</f>
        <v>･</v>
      </c>
      <c r="B21" s="47"/>
      <c r="C21" s="48"/>
      <c r="D21" s="48"/>
      <c r="E21" s="49"/>
      <c r="F21" s="34"/>
      <c r="G21" s="48"/>
      <c r="H21" s="48"/>
      <c r="I21" s="49"/>
      <c r="J21" s="34"/>
      <c r="K21" s="48"/>
      <c r="L21" s="48"/>
      <c r="M21" s="49"/>
      <c r="N21" s="47"/>
      <c r="O21" s="48"/>
      <c r="P21" s="48"/>
      <c r="Q21" s="49"/>
      <c r="R21" s="37"/>
      <c r="S21" s="37"/>
      <c r="T21" s="50"/>
      <c r="U21" s="51"/>
      <c r="V21" s="105"/>
    </row>
    <row r="22" spans="1:22" ht="9.75" customHeight="1">
      <c r="A22" s="5" t="str">
        <f>IF(AND(ISNUMBER(Eigenvalue!D22),NOT(ISNUMBER(Eigenvalue!D23))),IF(Eigenvalue!C23="免震層→","･","ここまで→"),IF(Eigenvalue!C22="免震層→",Eigenvalue!C22,"･"))</f>
        <v>･</v>
      </c>
      <c r="B22" s="47"/>
      <c r="C22" s="48"/>
      <c r="D22" s="48"/>
      <c r="E22" s="49"/>
      <c r="F22" s="34"/>
      <c r="G22" s="48"/>
      <c r="H22" s="48"/>
      <c r="I22" s="49"/>
      <c r="J22" s="34"/>
      <c r="K22" s="48"/>
      <c r="L22" s="48"/>
      <c r="M22" s="49"/>
      <c r="N22" s="47"/>
      <c r="O22" s="48"/>
      <c r="P22" s="48"/>
      <c r="Q22" s="49"/>
      <c r="R22" s="37"/>
      <c r="S22" s="37"/>
      <c r="T22" s="50"/>
      <c r="U22" s="51"/>
      <c r="V22" s="105"/>
    </row>
    <row r="23" spans="1:22" ht="9.75" customHeight="1">
      <c r="A23" s="5" t="str">
        <f>IF(AND(ISNUMBER(Eigenvalue!D23),NOT(ISNUMBER(Eigenvalue!D24))),IF(Eigenvalue!C24="免震層→","･","ここまで→"),IF(Eigenvalue!C23="免震層→",Eigenvalue!C23,"･"))</f>
        <v>･</v>
      </c>
      <c r="B23" s="47"/>
      <c r="C23" s="48"/>
      <c r="D23" s="48"/>
      <c r="E23" s="49"/>
      <c r="F23" s="34"/>
      <c r="G23" s="48"/>
      <c r="H23" s="48"/>
      <c r="I23" s="49"/>
      <c r="J23" s="34"/>
      <c r="K23" s="48"/>
      <c r="L23" s="48"/>
      <c r="M23" s="49"/>
      <c r="N23" s="47"/>
      <c r="O23" s="48"/>
      <c r="P23" s="48"/>
      <c r="Q23" s="49"/>
      <c r="R23" s="37"/>
      <c r="S23" s="37"/>
      <c r="T23" s="50"/>
      <c r="U23" s="51"/>
      <c r="V23" s="105"/>
    </row>
    <row r="24" spans="1:22" ht="9.75" customHeight="1">
      <c r="A24" s="5" t="str">
        <f>IF(AND(ISNUMBER(Eigenvalue!D24),NOT(ISNUMBER(Eigenvalue!D25))),IF(Eigenvalue!C25="免震層→","･","ここまで→"),IF(Eigenvalue!C24="免震層→",Eigenvalue!C24,"･"))</f>
        <v>･</v>
      </c>
      <c r="B24" s="47"/>
      <c r="C24" s="48"/>
      <c r="D24" s="48"/>
      <c r="E24" s="49"/>
      <c r="F24" s="34"/>
      <c r="G24" s="48"/>
      <c r="H24" s="48"/>
      <c r="I24" s="49"/>
      <c r="J24" s="34"/>
      <c r="K24" s="48"/>
      <c r="L24" s="48"/>
      <c r="M24" s="49"/>
      <c r="N24" s="47"/>
      <c r="O24" s="48"/>
      <c r="P24" s="48"/>
      <c r="Q24" s="49"/>
      <c r="R24" s="37"/>
      <c r="S24" s="37"/>
      <c r="T24" s="50"/>
      <c r="U24" s="51"/>
      <c r="V24" s="105"/>
    </row>
    <row r="25" spans="1:22" ht="9.75" customHeight="1">
      <c r="A25" s="5" t="str">
        <f>IF(AND(ISNUMBER(Eigenvalue!D25),NOT(ISNUMBER(Eigenvalue!D26))),IF(Eigenvalue!C26="免震層→","･","ここまで→"),IF(Eigenvalue!C25="免震層→",Eigenvalue!C25,"･"))</f>
        <v>･</v>
      </c>
      <c r="B25" s="47"/>
      <c r="C25" s="48"/>
      <c r="D25" s="48"/>
      <c r="E25" s="49"/>
      <c r="F25" s="34"/>
      <c r="G25" s="48"/>
      <c r="H25" s="48"/>
      <c r="I25" s="49"/>
      <c r="J25" s="34"/>
      <c r="K25" s="48"/>
      <c r="L25" s="48"/>
      <c r="M25" s="49"/>
      <c r="N25" s="47"/>
      <c r="O25" s="48"/>
      <c r="P25" s="48"/>
      <c r="Q25" s="49"/>
      <c r="R25" s="37"/>
      <c r="S25" s="37"/>
      <c r="T25" s="50"/>
      <c r="U25" s="51"/>
      <c r="V25" s="105"/>
    </row>
    <row r="26" spans="1:22" ht="9.75" customHeight="1">
      <c r="A26" s="5" t="str">
        <f>IF(AND(ISNUMBER(Eigenvalue!D26),NOT(ISNUMBER(Eigenvalue!D27))),IF(Eigenvalue!C27="免震層→","･","ここまで→"),IF(Eigenvalue!C26="免震層→",Eigenvalue!C26,"･"))</f>
        <v>･</v>
      </c>
      <c r="B26" s="47"/>
      <c r="C26" s="48"/>
      <c r="D26" s="48"/>
      <c r="E26" s="49"/>
      <c r="F26" s="34"/>
      <c r="G26" s="35"/>
      <c r="H26" s="48"/>
      <c r="I26" s="49"/>
      <c r="J26" s="47"/>
      <c r="K26" s="35"/>
      <c r="L26" s="48"/>
      <c r="M26" s="49"/>
      <c r="N26" s="47"/>
      <c r="O26" s="48"/>
      <c r="P26" s="48"/>
      <c r="Q26" s="49"/>
      <c r="R26" s="37"/>
      <c r="S26" s="37"/>
      <c r="T26" s="50"/>
      <c r="U26" s="51"/>
      <c r="V26" s="105"/>
    </row>
    <row r="27" spans="1:22" ht="9.75" customHeight="1">
      <c r="A27" s="5" t="str">
        <f>IF(AND(ISNUMBER(Eigenvalue!D27),NOT(ISNUMBER(Eigenvalue!D28))),IF(Eigenvalue!C28="免震層→","･","ここまで→"),IF(Eigenvalue!C27="免震層→",Eigenvalue!C27,"･"))</f>
        <v>･</v>
      </c>
      <c r="B27" s="47"/>
      <c r="C27" s="48"/>
      <c r="D27" s="48"/>
      <c r="E27" s="49"/>
      <c r="F27" s="34"/>
      <c r="G27" s="35"/>
      <c r="H27" s="48"/>
      <c r="I27" s="49"/>
      <c r="J27" s="47"/>
      <c r="K27" s="35"/>
      <c r="L27" s="48"/>
      <c r="M27" s="49"/>
      <c r="N27" s="47"/>
      <c r="O27" s="48"/>
      <c r="P27" s="48"/>
      <c r="Q27" s="49"/>
      <c r="R27" s="37"/>
      <c r="S27" s="37"/>
      <c r="T27" s="50"/>
      <c r="U27" s="51"/>
      <c r="V27" s="105"/>
    </row>
    <row r="28" spans="1:22" ht="9.75" customHeight="1">
      <c r="A28" s="5" t="str">
        <f>IF(AND(ISNUMBER(Eigenvalue!D28),NOT(ISNUMBER(Eigenvalue!D29))),IF(Eigenvalue!C29="免震層→","･","ここまで→"),IF(Eigenvalue!C28="免震層→",Eigenvalue!C28,"･"))</f>
        <v>･</v>
      </c>
      <c r="B28" s="34"/>
      <c r="C28" s="35"/>
      <c r="D28" s="35"/>
      <c r="E28" s="36"/>
      <c r="F28" s="34"/>
      <c r="G28" s="35"/>
      <c r="H28" s="35"/>
      <c r="I28" s="36"/>
      <c r="J28" s="34"/>
      <c r="K28" s="35"/>
      <c r="L28" s="35"/>
      <c r="M28" s="36"/>
      <c r="N28" s="34"/>
      <c r="O28" s="35"/>
      <c r="P28" s="35"/>
      <c r="Q28" s="36"/>
      <c r="R28" s="37"/>
      <c r="S28" s="37"/>
      <c r="T28" s="37"/>
      <c r="U28" s="38"/>
      <c r="V28" s="105"/>
    </row>
    <row r="29" spans="1:22" ht="9.75" customHeight="1">
      <c r="A29" s="5" t="str">
        <f>IF(AND(ISNUMBER(Eigenvalue!D29),NOT(ISNUMBER(Eigenvalue!D30))),IF(Eigenvalue!C30="免震層→","･","ここまで→"),IF(Eigenvalue!C29="免震層→",Eigenvalue!C29,"･"))</f>
        <v>･</v>
      </c>
      <c r="B29" s="47"/>
      <c r="C29" s="48"/>
      <c r="D29" s="48"/>
      <c r="E29" s="49"/>
      <c r="F29" s="34"/>
      <c r="G29" s="35"/>
      <c r="H29" s="48"/>
      <c r="I29" s="49"/>
      <c r="J29" s="47"/>
      <c r="K29" s="35"/>
      <c r="L29" s="48"/>
      <c r="M29" s="49"/>
      <c r="N29" s="47"/>
      <c r="O29" s="48"/>
      <c r="P29" s="48"/>
      <c r="Q29" s="49"/>
      <c r="R29" s="37"/>
      <c r="S29" s="37"/>
      <c r="T29" s="50"/>
      <c r="U29" s="51"/>
      <c r="V29" s="105"/>
    </row>
    <row r="30" spans="1:22" ht="9.75" customHeight="1">
      <c r="A30" s="5" t="str">
        <f>IF(AND(ISNUMBER(Eigenvalue!D30),NOT(ISNUMBER(Eigenvalue!D31))),IF(Eigenvalue!C31="免震層→","･","ここまで→"),IF(Eigenvalue!C30="免震層→",Eigenvalue!C30,"･"))</f>
        <v>･</v>
      </c>
      <c r="B30" s="47"/>
      <c r="C30" s="48"/>
      <c r="D30" s="48"/>
      <c r="E30" s="49"/>
      <c r="F30" s="34"/>
      <c r="G30" s="35"/>
      <c r="H30" s="48"/>
      <c r="I30" s="49"/>
      <c r="J30" s="47"/>
      <c r="K30" s="35"/>
      <c r="L30" s="48"/>
      <c r="M30" s="49"/>
      <c r="N30" s="47"/>
      <c r="O30" s="48"/>
      <c r="P30" s="48"/>
      <c r="Q30" s="49"/>
      <c r="R30" s="37"/>
      <c r="S30" s="37"/>
      <c r="T30" s="50"/>
      <c r="U30" s="51"/>
      <c r="V30" s="105"/>
    </row>
    <row r="31" spans="1:22" ht="9.75" customHeight="1">
      <c r="A31" s="5" t="str">
        <f>IF(AND(ISNUMBER(Eigenvalue!D31),NOT(ISNUMBER(Eigenvalue!D32))),IF(Eigenvalue!C32="免震層→","･","ここまで→"),IF(Eigenvalue!C31="免震層→",Eigenvalue!C31,"･"))</f>
        <v>･</v>
      </c>
      <c r="B31" s="47"/>
      <c r="C31" s="48"/>
      <c r="D31" s="48"/>
      <c r="E31" s="49"/>
      <c r="F31" s="34"/>
      <c r="G31" s="35"/>
      <c r="H31" s="48"/>
      <c r="I31" s="49"/>
      <c r="J31" s="47"/>
      <c r="K31" s="35"/>
      <c r="L31" s="48"/>
      <c r="M31" s="49"/>
      <c r="N31" s="47"/>
      <c r="O31" s="48"/>
      <c r="P31" s="48"/>
      <c r="Q31" s="49"/>
      <c r="R31" s="37"/>
      <c r="S31" s="37"/>
      <c r="T31" s="50"/>
      <c r="U31" s="51"/>
      <c r="V31" s="105"/>
    </row>
    <row r="32" spans="1:22" ht="9.75" customHeight="1">
      <c r="A32" s="5" t="str">
        <f>IF(AND(ISNUMBER(Eigenvalue!D32),NOT(ISNUMBER(Eigenvalue!D33))),IF(Eigenvalue!C33="免震層→","･","ここまで→"),IF(Eigenvalue!C32="免震層→",Eigenvalue!C32,"･"))</f>
        <v>･</v>
      </c>
      <c r="B32" s="47"/>
      <c r="C32" s="48"/>
      <c r="D32" s="48"/>
      <c r="E32" s="49"/>
      <c r="F32" s="34"/>
      <c r="G32" s="35"/>
      <c r="H32" s="48"/>
      <c r="I32" s="49"/>
      <c r="J32" s="47"/>
      <c r="K32" s="35"/>
      <c r="L32" s="48"/>
      <c r="M32" s="49"/>
      <c r="N32" s="47"/>
      <c r="O32" s="48"/>
      <c r="P32" s="48"/>
      <c r="Q32" s="49"/>
      <c r="R32" s="37"/>
      <c r="S32" s="37"/>
      <c r="T32" s="50"/>
      <c r="U32" s="51"/>
      <c r="V32" s="105"/>
    </row>
    <row r="33" spans="1:22" ht="9.75" customHeight="1">
      <c r="A33" s="5" t="str">
        <f>IF(AND(ISNUMBER(Eigenvalue!D33),NOT(ISNUMBER(Eigenvalue!D34))),IF(Eigenvalue!C34="免震層→","･","ここまで→"),IF(Eigenvalue!C33="免震層→",Eigenvalue!C33,"･"))</f>
        <v>･</v>
      </c>
      <c r="B33" s="47"/>
      <c r="C33" s="48"/>
      <c r="D33" s="48"/>
      <c r="E33" s="49"/>
      <c r="F33" s="47"/>
      <c r="G33" s="48"/>
      <c r="H33" s="48"/>
      <c r="I33" s="49"/>
      <c r="J33" s="47"/>
      <c r="K33" s="48"/>
      <c r="L33" s="48"/>
      <c r="M33" s="49"/>
      <c r="N33" s="47"/>
      <c r="O33" s="48"/>
      <c r="P33" s="48"/>
      <c r="Q33" s="49"/>
      <c r="R33" s="37"/>
      <c r="S33" s="37"/>
      <c r="T33" s="50"/>
      <c r="U33" s="51"/>
      <c r="V33" s="105"/>
    </row>
    <row r="34" spans="1:22" ht="9.75" customHeight="1">
      <c r="A34" s="5" t="str">
        <f>IF(AND(ISNUMBER(Eigenvalue!D34),NOT(ISNUMBER(Eigenvalue!D35))),IF(Eigenvalue!C35="免震層→","･","ここまで→"),IF(Eigenvalue!C34="免震層→",Eigenvalue!C34,"･"))</f>
        <v>･</v>
      </c>
      <c r="B34" s="47"/>
      <c r="C34" s="48"/>
      <c r="D34" s="48"/>
      <c r="E34" s="49"/>
      <c r="F34" s="47"/>
      <c r="G34" s="48"/>
      <c r="H34" s="48"/>
      <c r="I34" s="49"/>
      <c r="J34" s="47"/>
      <c r="K34" s="48"/>
      <c r="L34" s="48"/>
      <c r="M34" s="49"/>
      <c r="N34" s="47"/>
      <c r="O34" s="48"/>
      <c r="P34" s="48"/>
      <c r="Q34" s="49"/>
      <c r="R34" s="37"/>
      <c r="S34" s="37"/>
      <c r="T34" s="50"/>
      <c r="U34" s="51"/>
      <c r="V34" s="105"/>
    </row>
    <row r="35" spans="1:22" ht="9.75" customHeight="1">
      <c r="A35" s="5" t="str">
        <f>IF(AND(ISNUMBER(Eigenvalue!D35),NOT(ISNUMBER(Eigenvalue!D36))),IF(Eigenvalue!C36="免震層→","･","ここまで→"),IF(Eigenvalue!C35="免震層→",Eigenvalue!C35,"･"))</f>
        <v>･</v>
      </c>
      <c r="B35" s="47"/>
      <c r="C35" s="48"/>
      <c r="D35" s="48"/>
      <c r="E35" s="49"/>
      <c r="F35" s="47"/>
      <c r="G35" s="48"/>
      <c r="H35" s="48"/>
      <c r="I35" s="49"/>
      <c r="J35" s="47"/>
      <c r="K35" s="48"/>
      <c r="L35" s="48"/>
      <c r="M35" s="49"/>
      <c r="N35" s="47"/>
      <c r="O35" s="48"/>
      <c r="P35" s="48"/>
      <c r="Q35" s="49"/>
      <c r="R35" s="37"/>
      <c r="S35" s="37"/>
      <c r="T35" s="50"/>
      <c r="U35" s="51"/>
      <c r="V35" s="105"/>
    </row>
    <row r="36" spans="1:22" ht="9.75" customHeight="1">
      <c r="A36" s="5" t="str">
        <f>IF(AND(ISNUMBER(Eigenvalue!D36),NOT(ISNUMBER(Eigenvalue!D37))),IF(Eigenvalue!C37="免震層→","･","ここまで→"),IF(Eigenvalue!C36="免震層→",Eigenvalue!C36,"･"))</f>
        <v>･</v>
      </c>
      <c r="B36" s="47"/>
      <c r="C36" s="48"/>
      <c r="D36" s="48"/>
      <c r="E36" s="49"/>
      <c r="F36" s="47"/>
      <c r="G36" s="48"/>
      <c r="H36" s="48"/>
      <c r="I36" s="49"/>
      <c r="J36" s="47"/>
      <c r="K36" s="48"/>
      <c r="L36" s="48"/>
      <c r="M36" s="49"/>
      <c r="N36" s="47"/>
      <c r="O36" s="48"/>
      <c r="P36" s="48"/>
      <c r="Q36" s="49"/>
      <c r="R36" s="37"/>
      <c r="S36" s="37"/>
      <c r="T36" s="50"/>
      <c r="U36" s="51"/>
      <c r="V36" s="105"/>
    </row>
    <row r="37" spans="1:22" ht="9.75" customHeight="1">
      <c r="A37" s="5" t="str">
        <f>IF(AND(ISNUMBER(Eigenvalue!D37),NOT(ISNUMBER(Eigenvalue!D38))),IF(Eigenvalue!C38="免震層→","･","ここまで→"),IF(Eigenvalue!C37="免震層→",Eigenvalue!C37,"･"))</f>
        <v>･</v>
      </c>
      <c r="B37" s="47"/>
      <c r="C37" s="48"/>
      <c r="D37" s="48"/>
      <c r="E37" s="49"/>
      <c r="F37" s="47"/>
      <c r="G37" s="48"/>
      <c r="H37" s="48"/>
      <c r="I37" s="49"/>
      <c r="J37" s="47"/>
      <c r="K37" s="48"/>
      <c r="L37" s="48"/>
      <c r="M37" s="49"/>
      <c r="N37" s="47"/>
      <c r="O37" s="48"/>
      <c r="P37" s="48"/>
      <c r="Q37" s="49"/>
      <c r="R37" s="37"/>
      <c r="S37" s="37"/>
      <c r="T37" s="50"/>
      <c r="U37" s="51"/>
      <c r="V37" s="105"/>
    </row>
    <row r="38" spans="1:22" ht="9.75" customHeight="1">
      <c r="A38" s="5" t="str">
        <f>IF(AND(ISNUMBER(Eigenvalue!D38),NOT(ISNUMBER(Eigenvalue!D39))),IF(Eigenvalue!C39="免震層→","･","ここまで→"),IF(Eigenvalue!C38="免震層→",Eigenvalue!C38,"･"))</f>
        <v>･</v>
      </c>
      <c r="B38" s="47"/>
      <c r="C38" s="48"/>
      <c r="D38" s="48"/>
      <c r="E38" s="49"/>
      <c r="F38" s="47"/>
      <c r="G38" s="48"/>
      <c r="H38" s="48"/>
      <c r="I38" s="49"/>
      <c r="J38" s="47"/>
      <c r="K38" s="48"/>
      <c r="L38" s="48"/>
      <c r="M38" s="49"/>
      <c r="N38" s="47"/>
      <c r="O38" s="48"/>
      <c r="P38" s="48"/>
      <c r="Q38" s="49"/>
      <c r="R38" s="37"/>
      <c r="S38" s="37"/>
      <c r="T38" s="50"/>
      <c r="U38" s="51"/>
      <c r="V38" s="105"/>
    </row>
    <row r="39" spans="1:22" ht="9.75" customHeight="1">
      <c r="A39" s="5" t="str">
        <f>IF(AND(ISNUMBER(Eigenvalue!D39),NOT(ISNUMBER(Eigenvalue!D40))),IF(Eigenvalue!C40="免震層→","･","ここまで→"),IF(Eigenvalue!C39="免震層→",Eigenvalue!C39,"･"))</f>
        <v>･</v>
      </c>
      <c r="B39" s="47"/>
      <c r="C39" s="48"/>
      <c r="D39" s="48"/>
      <c r="E39" s="49"/>
      <c r="F39" s="47"/>
      <c r="G39" s="48"/>
      <c r="H39" s="48"/>
      <c r="I39" s="49"/>
      <c r="J39" s="47"/>
      <c r="K39" s="48"/>
      <c r="L39" s="48"/>
      <c r="M39" s="49"/>
      <c r="N39" s="47"/>
      <c r="O39" s="48"/>
      <c r="P39" s="48"/>
      <c r="Q39" s="49"/>
      <c r="R39" s="37"/>
      <c r="S39" s="37"/>
      <c r="T39" s="50"/>
      <c r="U39" s="51"/>
      <c r="V39" s="105"/>
    </row>
    <row r="40" spans="1:22" ht="9.75" customHeight="1">
      <c r="A40" s="5" t="str">
        <f>IF(AND(ISNUMBER(Eigenvalue!D40),NOT(ISNUMBER(Eigenvalue!D41))),IF(Eigenvalue!C41="免震層→","･","ここまで→"),IF(Eigenvalue!C40="免震層→",Eigenvalue!C40,"･"))</f>
        <v>･</v>
      </c>
      <c r="B40" s="47"/>
      <c r="C40" s="48"/>
      <c r="D40" s="48"/>
      <c r="E40" s="49"/>
      <c r="F40" s="47"/>
      <c r="G40" s="48"/>
      <c r="H40" s="48"/>
      <c r="I40" s="49"/>
      <c r="J40" s="47"/>
      <c r="K40" s="48"/>
      <c r="L40" s="48"/>
      <c r="M40" s="49"/>
      <c r="N40" s="47"/>
      <c r="O40" s="48"/>
      <c r="P40" s="48"/>
      <c r="Q40" s="49"/>
      <c r="R40" s="37"/>
      <c r="S40" s="37"/>
      <c r="T40" s="50"/>
      <c r="U40" s="51"/>
      <c r="V40" s="105"/>
    </row>
    <row r="41" spans="1:22" ht="9.75" customHeight="1">
      <c r="A41" s="5" t="str">
        <f>IF(AND(ISNUMBER(Eigenvalue!D41),NOT(ISNUMBER(Eigenvalue!D42))),IF(Eigenvalue!C42="免震層→","･","ここまで→"),IF(Eigenvalue!C41="免震層→",Eigenvalue!C41,"･"))</f>
        <v>･</v>
      </c>
      <c r="B41" s="47"/>
      <c r="C41" s="48"/>
      <c r="D41" s="48"/>
      <c r="E41" s="49"/>
      <c r="F41" s="47"/>
      <c r="G41" s="48"/>
      <c r="H41" s="48"/>
      <c r="I41" s="49"/>
      <c r="J41" s="47"/>
      <c r="K41" s="48"/>
      <c r="L41" s="48"/>
      <c r="M41" s="49"/>
      <c r="N41" s="47"/>
      <c r="O41" s="48"/>
      <c r="P41" s="48"/>
      <c r="Q41" s="49"/>
      <c r="R41" s="37"/>
      <c r="S41" s="37"/>
      <c r="T41" s="50"/>
      <c r="U41" s="51"/>
      <c r="V41" s="105"/>
    </row>
    <row r="42" spans="1:22" ht="9.75" customHeight="1">
      <c r="A42" s="5" t="str">
        <f>IF(AND(ISNUMBER(Eigenvalue!D42),NOT(ISNUMBER(Eigenvalue!D43))),IF(Eigenvalue!C43="免震層→","･","ここまで→"),IF(Eigenvalue!C42="免震層→",Eigenvalue!C42,"･"))</f>
        <v>･</v>
      </c>
      <c r="B42" s="47"/>
      <c r="C42" s="48"/>
      <c r="D42" s="48"/>
      <c r="E42" s="49"/>
      <c r="F42" s="47"/>
      <c r="G42" s="48"/>
      <c r="H42" s="48"/>
      <c r="I42" s="49"/>
      <c r="J42" s="47"/>
      <c r="K42" s="48"/>
      <c r="L42" s="48"/>
      <c r="M42" s="49"/>
      <c r="N42" s="47"/>
      <c r="O42" s="48"/>
      <c r="P42" s="48"/>
      <c r="Q42" s="49"/>
      <c r="R42" s="37"/>
      <c r="S42" s="37"/>
      <c r="T42" s="50"/>
      <c r="U42" s="51"/>
      <c r="V42" s="105"/>
    </row>
    <row r="43" spans="1:22" ht="9.75" customHeight="1">
      <c r="A43" s="5" t="str">
        <f>IF(AND(ISNUMBER(Eigenvalue!D43),NOT(ISNUMBER(Eigenvalue!D44))),IF(Eigenvalue!C44="免震層→","･","ここまで→"),IF(Eigenvalue!C43="免震層→",Eigenvalue!C43,"･"))</f>
        <v>･</v>
      </c>
      <c r="B43" s="47"/>
      <c r="C43" s="48"/>
      <c r="D43" s="48"/>
      <c r="E43" s="49"/>
      <c r="F43" s="47"/>
      <c r="G43" s="48"/>
      <c r="H43" s="48"/>
      <c r="I43" s="49"/>
      <c r="J43" s="47"/>
      <c r="K43" s="48"/>
      <c r="L43" s="48"/>
      <c r="M43" s="49"/>
      <c r="N43" s="47"/>
      <c r="O43" s="48"/>
      <c r="P43" s="48"/>
      <c r="Q43" s="49"/>
      <c r="R43" s="37"/>
      <c r="S43" s="37"/>
      <c r="T43" s="50"/>
      <c r="U43" s="51"/>
      <c r="V43" s="105"/>
    </row>
    <row r="44" spans="1:22" ht="9.75" customHeight="1">
      <c r="A44" s="5" t="str">
        <f>IF(AND(ISNUMBER(Eigenvalue!D44),NOT(ISNUMBER(Eigenvalue!D45))),IF(Eigenvalue!C45="免震層→","･","ここまで→"),IF(Eigenvalue!C44="免震層→",Eigenvalue!C44,"･"))</f>
        <v>･</v>
      </c>
      <c r="B44" s="47"/>
      <c r="C44" s="48"/>
      <c r="D44" s="48"/>
      <c r="E44" s="49"/>
      <c r="F44" s="47"/>
      <c r="G44" s="48"/>
      <c r="H44" s="48"/>
      <c r="I44" s="49"/>
      <c r="J44" s="47"/>
      <c r="K44" s="48"/>
      <c r="L44" s="48"/>
      <c r="M44" s="49"/>
      <c r="N44" s="47"/>
      <c r="O44" s="48"/>
      <c r="P44" s="48"/>
      <c r="Q44" s="49"/>
      <c r="R44" s="37"/>
      <c r="S44" s="37"/>
      <c r="T44" s="50"/>
      <c r="U44" s="51"/>
      <c r="V44" s="105"/>
    </row>
    <row r="45" spans="1:22" ht="9.75" customHeight="1">
      <c r="A45" s="5" t="str">
        <f>IF(AND(ISNUMBER(Eigenvalue!D45),NOT(ISNUMBER(Eigenvalue!D46))),IF(Eigenvalue!C46="免震層→","･","ここまで→"),IF(Eigenvalue!C45="免震層→",Eigenvalue!C45,"･"))</f>
        <v>･</v>
      </c>
      <c r="B45" s="47"/>
      <c r="C45" s="48"/>
      <c r="D45" s="48"/>
      <c r="E45" s="49"/>
      <c r="F45" s="47"/>
      <c r="G45" s="48"/>
      <c r="H45" s="48"/>
      <c r="I45" s="49"/>
      <c r="J45" s="47"/>
      <c r="K45" s="48"/>
      <c r="L45" s="48"/>
      <c r="M45" s="49"/>
      <c r="N45" s="47"/>
      <c r="O45" s="48"/>
      <c r="P45" s="48"/>
      <c r="Q45" s="49"/>
      <c r="R45" s="37"/>
      <c r="S45" s="37"/>
      <c r="T45" s="50"/>
      <c r="U45" s="51"/>
      <c r="V45" s="105"/>
    </row>
    <row r="46" spans="1:22" ht="9.75" customHeight="1">
      <c r="A46" s="5" t="str">
        <f>IF(AND(ISNUMBER(Eigenvalue!D46),NOT(ISNUMBER(Eigenvalue!D47))),IF(Eigenvalue!C47="免震層→","･","ここまで→"),IF(Eigenvalue!C46="免震層→",Eigenvalue!C46,"･"))</f>
        <v>･</v>
      </c>
      <c r="B46" s="47"/>
      <c r="C46" s="48"/>
      <c r="D46" s="48"/>
      <c r="E46" s="49"/>
      <c r="F46" s="47"/>
      <c r="G46" s="48"/>
      <c r="H46" s="48"/>
      <c r="I46" s="49"/>
      <c r="J46" s="47"/>
      <c r="K46" s="48"/>
      <c r="L46" s="48"/>
      <c r="M46" s="49"/>
      <c r="N46" s="47"/>
      <c r="O46" s="48"/>
      <c r="P46" s="48"/>
      <c r="Q46" s="49"/>
      <c r="R46" s="37"/>
      <c r="S46" s="37"/>
      <c r="T46" s="50"/>
      <c r="U46" s="51"/>
      <c r="V46" s="105"/>
    </row>
    <row r="47" spans="1:22" ht="9.75" customHeight="1">
      <c r="A47" s="5" t="str">
        <f>IF(AND(ISNUMBER(Eigenvalue!D47),NOT(ISNUMBER(Eigenvalue!D48))),IF(Eigenvalue!C48="免震層→","･","ここまで→"),IF(Eigenvalue!C47="免震層→",Eigenvalue!C47,"･"))</f>
        <v>･</v>
      </c>
      <c r="B47" s="47"/>
      <c r="C47" s="48"/>
      <c r="D47" s="48"/>
      <c r="E47" s="49"/>
      <c r="F47" s="47"/>
      <c r="G47" s="48"/>
      <c r="H47" s="48"/>
      <c r="I47" s="49"/>
      <c r="J47" s="47"/>
      <c r="K47" s="48"/>
      <c r="L47" s="48"/>
      <c r="M47" s="49"/>
      <c r="N47" s="47"/>
      <c r="O47" s="48"/>
      <c r="P47" s="48"/>
      <c r="Q47" s="49"/>
      <c r="R47" s="37"/>
      <c r="S47" s="37"/>
      <c r="T47" s="50"/>
      <c r="U47" s="51"/>
      <c r="V47" s="105"/>
    </row>
    <row r="48" spans="1:22" ht="9.75" customHeight="1">
      <c r="A48" s="5" t="str">
        <f>IF(AND(ISNUMBER(Eigenvalue!D48),NOT(ISNUMBER(Eigenvalue!D49))),IF(Eigenvalue!C49="免震層→","･","ここまで→"),IF(Eigenvalue!C48="免震層→",Eigenvalue!C48,"･"))</f>
        <v>･</v>
      </c>
      <c r="B48" s="47"/>
      <c r="C48" s="48"/>
      <c r="D48" s="48"/>
      <c r="E48" s="49"/>
      <c r="F48" s="47"/>
      <c r="G48" s="48"/>
      <c r="H48" s="48"/>
      <c r="I48" s="49"/>
      <c r="J48" s="47"/>
      <c r="K48" s="48"/>
      <c r="L48" s="48"/>
      <c r="M48" s="49"/>
      <c r="N48" s="47"/>
      <c r="O48" s="48"/>
      <c r="P48" s="48"/>
      <c r="Q48" s="49"/>
      <c r="R48" s="37"/>
      <c r="S48" s="37"/>
      <c r="T48" s="50"/>
      <c r="U48" s="51"/>
      <c r="V48" s="105"/>
    </row>
    <row r="49" spans="1:22" ht="9.75" customHeight="1">
      <c r="A49" s="5" t="str">
        <f>IF(AND(ISNUMBER(Eigenvalue!D49),NOT(ISNUMBER(Eigenvalue!D50))),IF(Eigenvalue!C50="免震層→","･","ここまで→"),IF(Eigenvalue!C49="免震層→",Eigenvalue!C49,"･"))</f>
        <v>･</v>
      </c>
      <c r="B49" s="47"/>
      <c r="C49" s="48"/>
      <c r="D49" s="48"/>
      <c r="E49" s="49"/>
      <c r="F49" s="47"/>
      <c r="G49" s="48"/>
      <c r="H49" s="48"/>
      <c r="I49" s="49"/>
      <c r="J49" s="47"/>
      <c r="K49" s="48"/>
      <c r="L49" s="48"/>
      <c r="M49" s="49"/>
      <c r="N49" s="47"/>
      <c r="O49" s="48"/>
      <c r="P49" s="48"/>
      <c r="Q49" s="49"/>
      <c r="R49" s="37"/>
      <c r="S49" s="37"/>
      <c r="T49" s="50"/>
      <c r="U49" s="51"/>
      <c r="V49" s="105"/>
    </row>
    <row r="50" spans="1:22" ht="9.75" customHeight="1">
      <c r="A50" s="5" t="str">
        <f>IF(AND(ISNUMBER(Eigenvalue!D50),NOT(ISNUMBER(Eigenvalue!D51))),IF(Eigenvalue!C51="免震層→","･","ここまで→"),IF(Eigenvalue!C50="免震層→",Eigenvalue!C50,"･"))</f>
        <v>･</v>
      </c>
      <c r="B50" s="47"/>
      <c r="C50" s="48"/>
      <c r="D50" s="48"/>
      <c r="E50" s="49"/>
      <c r="F50" s="47"/>
      <c r="G50" s="48"/>
      <c r="H50" s="48"/>
      <c r="I50" s="49"/>
      <c r="J50" s="47"/>
      <c r="K50" s="48"/>
      <c r="L50" s="48"/>
      <c r="M50" s="49"/>
      <c r="N50" s="47"/>
      <c r="O50" s="48"/>
      <c r="P50" s="48"/>
      <c r="Q50" s="49"/>
      <c r="R50" s="50"/>
      <c r="S50" s="50"/>
      <c r="T50" s="50"/>
      <c r="U50" s="51"/>
      <c r="V50" s="105"/>
    </row>
    <row r="51" spans="1:22" ht="9.75" customHeight="1">
      <c r="A51" s="5" t="str">
        <f>IF(AND(ISNUMBER(Eigenvalue!D51),NOT(ISNUMBER(Eigenvalue!D52))),IF(Eigenvalue!C52="免震層→","･","ここまで→"),IF(Eigenvalue!C51="免震層→",Eigenvalue!C51,"･"))</f>
        <v>･</v>
      </c>
      <c r="B51" s="47"/>
      <c r="C51" s="48"/>
      <c r="D51" s="48"/>
      <c r="E51" s="49"/>
      <c r="F51" s="47"/>
      <c r="G51" s="48"/>
      <c r="H51" s="48"/>
      <c r="I51" s="49"/>
      <c r="J51" s="47"/>
      <c r="K51" s="48"/>
      <c r="L51" s="48"/>
      <c r="M51" s="49"/>
      <c r="N51" s="47"/>
      <c r="O51" s="48"/>
      <c r="P51" s="48"/>
      <c r="Q51" s="49"/>
      <c r="R51" s="50"/>
      <c r="S51" s="50"/>
      <c r="T51" s="50"/>
      <c r="U51" s="51"/>
      <c r="V51" s="105"/>
    </row>
    <row r="52" spans="1:22" ht="9.75" customHeight="1">
      <c r="A52" s="5" t="str">
        <f>IF(AND(ISNUMBER(Eigenvalue!D52),NOT(ISNUMBER(Eigenvalue!D53))),IF(Eigenvalue!C53="免震層→","･","ここまで→"),IF(Eigenvalue!C52="免震層→",Eigenvalue!C52,"･"))</f>
        <v>･</v>
      </c>
      <c r="B52" s="61"/>
      <c r="C52" s="62"/>
      <c r="D52" s="62"/>
      <c r="E52" s="63"/>
      <c r="F52" s="61"/>
      <c r="G52" s="62"/>
      <c r="H52" s="62"/>
      <c r="I52" s="63"/>
      <c r="J52" s="61"/>
      <c r="K52" s="62"/>
      <c r="L52" s="62"/>
      <c r="M52" s="63"/>
      <c r="N52" s="61"/>
      <c r="O52" s="62"/>
      <c r="P52" s="62"/>
      <c r="Q52" s="63"/>
      <c r="R52" s="64"/>
      <c r="S52" s="64"/>
      <c r="T52" s="64"/>
      <c r="U52" s="65"/>
      <c r="V52" s="105"/>
    </row>
    <row r="53" spans="1:22" ht="9.75" customHeight="1">
      <c r="B53" s="104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</row>
    <row r="54" spans="1:22" ht="9.75" hidden="1" customHeight="1"/>
    <row r="55" spans="1:22" ht="9.75" hidden="1" customHeight="1"/>
    <row r="56" spans="1:22" ht="9.75" hidden="1" customHeight="1"/>
    <row r="57" spans="1:22" ht="9.75" hidden="1" customHeight="1"/>
    <row r="58" spans="1:22" ht="9.75" hidden="1" customHeight="1"/>
    <row r="59" spans="1:22" ht="9.75" hidden="1" customHeight="1"/>
    <row r="60" spans="1:22" ht="9.75" hidden="1" customHeight="1"/>
    <row r="61" spans="1:22" ht="9.75" hidden="1" customHeight="1"/>
    <row r="62" spans="1:22" ht="9.75" hidden="1" customHeight="1"/>
    <row r="63" spans="1:22" ht="9.75" hidden="1" customHeight="1"/>
    <row r="64" spans="1:22" ht="9.75" hidden="1" customHeight="1"/>
    <row r="65" ht="9.75" hidden="1" customHeight="1"/>
    <row r="66" ht="9.75" hidden="1" customHeight="1"/>
    <row r="67" ht="9.75" hidden="1" customHeight="1"/>
    <row r="68" ht="9.75" hidden="1" customHeight="1"/>
    <row r="69" ht="9.75" hidden="1" customHeight="1"/>
    <row r="70" ht="9.75" hidden="1" customHeight="1"/>
    <row r="71" ht="9.75" hidden="1" customHeight="1"/>
    <row r="72" ht="9.75" hidden="1" customHeight="1"/>
    <row r="73" ht="9.75" hidden="1" customHeight="1"/>
    <row r="74" ht="9.75" hidden="1" customHeight="1"/>
    <row r="75" ht="9.75" hidden="1" customHeight="1"/>
    <row r="76" ht="9.75" hidden="1" customHeight="1"/>
    <row r="77" ht="9.75" hidden="1" customHeight="1"/>
    <row r="78" ht="9.75" hidden="1" customHeight="1"/>
    <row r="79" ht="9.75" hidden="1" customHeight="1"/>
    <row r="80" ht="9.75" hidden="1" customHeight="1"/>
    <row r="81" ht="9.75" hidden="1" customHeight="1"/>
    <row r="82" ht="9.75" hidden="1" customHeight="1"/>
    <row r="83" ht="9.75" hidden="1" customHeight="1"/>
    <row r="84" ht="9.75" hidden="1" customHeight="1"/>
    <row r="85" ht="9.75" hidden="1" customHeight="1"/>
    <row r="86" ht="9.75" hidden="1" customHeight="1"/>
    <row r="87" ht="9.75" hidden="1" customHeight="1"/>
    <row r="88" ht="9.75" hidden="1" customHeight="1"/>
    <row r="89" ht="9.75" hidden="1" customHeight="1"/>
    <row r="90" ht="9.75" hidden="1" customHeight="1"/>
    <row r="91" ht="9.75" hidden="1" customHeight="1"/>
    <row r="92" ht="9.75" hidden="1" customHeight="1"/>
    <row r="93" ht="9.75" hidden="1" customHeight="1"/>
    <row r="94" ht="9.75" hidden="1" customHeight="1"/>
    <row r="95" ht="9.75" hidden="1" customHeight="1"/>
    <row r="96" ht="9.75" hidden="1" customHeight="1"/>
    <row r="97" spans="1:60" ht="9.75" hidden="1" customHeight="1"/>
    <row r="98" spans="1:60" ht="9.75" hidden="1" customHeight="1"/>
    <row r="99" spans="1:60" ht="9.75" hidden="1" customHeight="1"/>
    <row r="100" spans="1:60" ht="9.75" hidden="1" customHeight="1"/>
    <row r="101" spans="1:60" ht="9.75" hidden="1" customHeight="1"/>
    <row r="102" spans="1:60" ht="9.75" hidden="1" customHeight="1"/>
    <row r="103" spans="1:60" ht="9.75" hidden="1" customHeight="1"/>
    <row r="104" spans="1:60" ht="9.75" hidden="1" customHeight="1">
      <c r="A104" s="13"/>
      <c r="B104" s="153" t="s">
        <v>109</v>
      </c>
      <c r="C104" s="154"/>
      <c r="D104" s="154"/>
      <c r="E104" s="155"/>
      <c r="F104" s="153" t="s">
        <v>6</v>
      </c>
      <c r="G104" s="154"/>
      <c r="H104" s="154"/>
      <c r="I104" s="155"/>
      <c r="J104" s="153" t="s">
        <v>7</v>
      </c>
      <c r="K104" s="154"/>
      <c r="L104" s="154"/>
      <c r="M104" s="155"/>
      <c r="N104" s="153" t="s">
        <v>8</v>
      </c>
      <c r="O104" s="154"/>
      <c r="P104" s="154"/>
      <c r="Q104" s="155"/>
      <c r="R104" s="154" t="s">
        <v>110</v>
      </c>
      <c r="S104" s="154"/>
      <c r="T104" s="154"/>
      <c r="U104" s="154"/>
      <c r="V104" s="153" t="s">
        <v>111</v>
      </c>
      <c r="W104" s="154"/>
      <c r="X104" s="155"/>
      <c r="Y104" s="153" t="s">
        <v>112</v>
      </c>
      <c r="Z104" s="154"/>
      <c r="AA104" s="155"/>
      <c r="AB104" s="153" t="s">
        <v>113</v>
      </c>
      <c r="AC104" s="154"/>
      <c r="AD104" s="155"/>
      <c r="AE104" s="153" t="s">
        <v>114</v>
      </c>
      <c r="AF104" s="154"/>
      <c r="AG104" s="155"/>
      <c r="AH104" s="153" t="s">
        <v>115</v>
      </c>
      <c r="AI104" s="154"/>
      <c r="AJ104" s="155"/>
      <c r="AK104" s="153" t="s">
        <v>116</v>
      </c>
      <c r="AL104" s="154"/>
      <c r="AM104" s="155"/>
      <c r="AN104" s="153" t="s">
        <v>117</v>
      </c>
      <c r="AO104" s="154"/>
      <c r="AP104" s="155"/>
      <c r="AQ104" s="153" t="s">
        <v>118</v>
      </c>
      <c r="AR104" s="154"/>
      <c r="AS104" s="154"/>
      <c r="AT104" s="153" t="s">
        <v>119</v>
      </c>
      <c r="AU104" s="155"/>
      <c r="AV104" s="153" t="s">
        <v>120</v>
      </c>
      <c r="AW104" s="155"/>
      <c r="AX104" s="153" t="s">
        <v>121</v>
      </c>
      <c r="AY104" s="155"/>
      <c r="AZ104" s="153" t="s">
        <v>122</v>
      </c>
      <c r="BA104" s="155"/>
      <c r="BB104" s="13"/>
      <c r="BC104" s="156" t="s">
        <v>123</v>
      </c>
      <c r="BD104" s="157"/>
      <c r="BE104" s="13" t="s">
        <v>124</v>
      </c>
      <c r="BF104" s="13"/>
      <c r="BG104" s="13"/>
      <c r="BH104" s="13"/>
    </row>
    <row r="105" spans="1:60" ht="9.75" hidden="1" customHeight="1">
      <c r="A105" s="13"/>
      <c r="B105" s="27" t="s">
        <v>72</v>
      </c>
      <c r="C105" s="27" t="s">
        <v>73</v>
      </c>
      <c r="D105" s="27" t="s">
        <v>74</v>
      </c>
      <c r="E105" s="27" t="s">
        <v>75</v>
      </c>
      <c r="F105" s="27" t="s">
        <v>72</v>
      </c>
      <c r="G105" s="27" t="s">
        <v>73</v>
      </c>
      <c r="H105" s="27" t="s">
        <v>74</v>
      </c>
      <c r="I105" s="27" t="s">
        <v>75</v>
      </c>
      <c r="J105" s="27" t="s">
        <v>72</v>
      </c>
      <c r="K105" s="27" t="s">
        <v>73</v>
      </c>
      <c r="L105" s="27" t="s">
        <v>74</v>
      </c>
      <c r="M105" s="27" t="s">
        <v>75</v>
      </c>
      <c r="N105" s="27" t="s">
        <v>72</v>
      </c>
      <c r="O105" s="27" t="s">
        <v>73</v>
      </c>
      <c r="P105" s="27" t="s">
        <v>74</v>
      </c>
      <c r="Q105" s="27" t="s">
        <v>75</v>
      </c>
      <c r="R105" s="25" t="s">
        <v>109</v>
      </c>
      <c r="S105" s="27" t="s">
        <v>6</v>
      </c>
      <c r="T105" s="27" t="s">
        <v>7</v>
      </c>
      <c r="U105" s="24" t="s">
        <v>8</v>
      </c>
      <c r="V105" s="27" t="s">
        <v>125</v>
      </c>
      <c r="W105" s="27" t="s">
        <v>126</v>
      </c>
      <c r="X105" s="27" t="s">
        <v>127</v>
      </c>
      <c r="Y105" s="27" t="s">
        <v>125</v>
      </c>
      <c r="Z105" s="27" t="s">
        <v>126</v>
      </c>
      <c r="AA105" s="27" t="s">
        <v>127</v>
      </c>
      <c r="AB105" s="27" t="s">
        <v>125</v>
      </c>
      <c r="AC105" s="27" t="s">
        <v>126</v>
      </c>
      <c r="AD105" s="27" t="s">
        <v>127</v>
      </c>
      <c r="AE105" s="27" t="s">
        <v>125</v>
      </c>
      <c r="AF105" s="27" t="s">
        <v>126</v>
      </c>
      <c r="AG105" s="27" t="s">
        <v>127</v>
      </c>
      <c r="AH105" s="27" t="s">
        <v>125</v>
      </c>
      <c r="AI105" s="27" t="s">
        <v>126</v>
      </c>
      <c r="AJ105" s="27" t="s">
        <v>127</v>
      </c>
      <c r="AK105" s="27" t="s">
        <v>125</v>
      </c>
      <c r="AL105" s="27" t="s">
        <v>126</v>
      </c>
      <c r="AM105" s="27" t="s">
        <v>127</v>
      </c>
      <c r="AN105" s="27" t="s">
        <v>125</v>
      </c>
      <c r="AO105" s="27" t="s">
        <v>126</v>
      </c>
      <c r="AP105" s="27" t="s">
        <v>127</v>
      </c>
      <c r="AQ105" s="27" t="s">
        <v>125</v>
      </c>
      <c r="AR105" s="27" t="s">
        <v>126</v>
      </c>
      <c r="AS105" s="24" t="s">
        <v>127</v>
      </c>
      <c r="AT105" s="27" t="s">
        <v>109</v>
      </c>
      <c r="AU105" s="27" t="s">
        <v>6</v>
      </c>
      <c r="AV105" s="27" t="s">
        <v>109</v>
      </c>
      <c r="AW105" s="27" t="s">
        <v>6</v>
      </c>
      <c r="AX105" s="27" t="s">
        <v>109</v>
      </c>
      <c r="AY105" s="27" t="s">
        <v>6</v>
      </c>
      <c r="AZ105" s="27" t="s">
        <v>109</v>
      </c>
      <c r="BA105" s="27" t="s">
        <v>6</v>
      </c>
      <c r="BB105" s="13"/>
      <c r="BC105" s="53" t="s">
        <v>111</v>
      </c>
      <c r="BD105" s="54" t="s">
        <v>112</v>
      </c>
      <c r="BE105" s="53" t="s">
        <v>128</v>
      </c>
      <c r="BF105" s="54" t="s">
        <v>129</v>
      </c>
      <c r="BG105" s="53" t="s">
        <v>113</v>
      </c>
      <c r="BH105" s="54" t="s">
        <v>114</v>
      </c>
    </row>
    <row r="106" spans="1:60" ht="9.75" hidden="1" customHeight="1">
      <c r="A106" s="5" t="str">
        <f>A3</f>
        <v>･</v>
      </c>
      <c r="B106" s="34"/>
      <c r="C106" s="35"/>
      <c r="D106" s="35"/>
      <c r="E106" s="36"/>
      <c r="F106" s="34"/>
      <c r="G106" s="35"/>
      <c r="H106" s="35"/>
      <c r="I106" s="36"/>
      <c r="J106" s="34"/>
      <c r="K106" s="35"/>
      <c r="L106" s="35"/>
      <c r="M106" s="36"/>
      <c r="N106" s="34"/>
      <c r="O106" s="35"/>
      <c r="P106" s="35"/>
      <c r="Q106" s="36"/>
      <c r="R106" s="57"/>
      <c r="S106" s="58"/>
      <c r="T106" s="58"/>
      <c r="U106" s="59"/>
      <c r="V106" s="57"/>
      <c r="W106" s="58"/>
      <c r="X106" s="59"/>
      <c r="Y106" s="57"/>
      <c r="Z106" s="58"/>
      <c r="AA106" s="59"/>
      <c r="AB106" s="57"/>
      <c r="AC106" s="58"/>
      <c r="AD106" s="59"/>
      <c r="AE106" s="57"/>
      <c r="AF106" s="58"/>
      <c r="AG106" s="59"/>
      <c r="AH106" s="57"/>
      <c r="AI106" s="58"/>
      <c r="AJ106" s="59"/>
      <c r="AK106" s="57"/>
      <c r="AL106" s="58"/>
      <c r="AM106" s="59"/>
      <c r="AN106" s="57"/>
      <c r="AO106" s="58"/>
      <c r="AP106" s="59"/>
      <c r="AQ106" s="57"/>
      <c r="AR106" s="58"/>
      <c r="AS106" s="59"/>
      <c r="AT106" s="57"/>
      <c r="AU106" s="59"/>
      <c r="AV106" s="57"/>
      <c r="AW106" s="59"/>
      <c r="AX106" s="57"/>
      <c r="AY106" s="59"/>
      <c r="AZ106" s="57"/>
      <c r="BA106" s="59"/>
      <c r="BB106" s="13"/>
      <c r="BC106" s="55" t="str">
        <f t="shared" ref="BC106:BC137" si="0">IF(ISNUMBER(V106),IF(BC$104="μ=η/2+1",V106,IF(BC$104="manual5.3",W106,X106)),"･")</f>
        <v>･</v>
      </c>
      <c r="BD106" s="40" t="str">
        <f t="shared" ref="BD106:BD137" si="1">IF(ISNUMBER(Y106),IF(BC$104="μ=η/2+1",Y106,IF(BC$104="manual5.3",Z106,AA106)),"･")</f>
        <v>･</v>
      </c>
      <c r="BE106" s="55" t="str">
        <f>IF(ISNUMBER(BC106),BC106/Eigenvalue!E3,"･")</f>
        <v>･</v>
      </c>
      <c r="BF106" s="40" t="str">
        <f>IF(ISNUMBER(BD106),BD106/Eigenvalue!E3,"･")</f>
        <v>･</v>
      </c>
      <c r="BG106" s="55" t="str">
        <f t="shared" ref="BG106:BG137" si="2">IF(ISNUMBER(AB106),IF(BC$104="μ=η/2+1",AB106,IF(BC$104="manual5.3",AC106,AD106)),"･")</f>
        <v>･</v>
      </c>
      <c r="BH106" s="40" t="str">
        <f t="shared" ref="BH106:BH137" si="3">IF(ISNUMBER(AE106),IF(BC$104="μ=η/2+1",AE106,IF(BC$104="manual5.3",AF106,AG106)),"･")</f>
        <v>･</v>
      </c>
    </row>
    <row r="107" spans="1:60" ht="9.75" hidden="1" customHeight="1">
      <c r="A107" s="5" t="str">
        <f t="shared" ref="A107:A155" si="4">A4</f>
        <v>･</v>
      </c>
      <c r="B107" s="47"/>
      <c r="C107" s="48"/>
      <c r="D107" s="48"/>
      <c r="E107" s="49"/>
      <c r="F107" s="47"/>
      <c r="G107" s="48"/>
      <c r="H107" s="48"/>
      <c r="I107" s="49"/>
      <c r="J107" s="47"/>
      <c r="K107" s="48"/>
      <c r="L107" s="48"/>
      <c r="M107" s="49"/>
      <c r="N107" s="47"/>
      <c r="O107" s="48"/>
      <c r="P107" s="48"/>
      <c r="Q107" s="49"/>
      <c r="R107" s="34"/>
      <c r="S107" s="48"/>
      <c r="T107" s="35"/>
      <c r="U107" s="49"/>
      <c r="V107" s="47"/>
      <c r="W107" s="48"/>
      <c r="X107" s="49"/>
      <c r="Y107" s="47"/>
      <c r="Z107" s="48"/>
      <c r="AA107" s="49"/>
      <c r="AB107" s="47"/>
      <c r="AC107" s="48"/>
      <c r="AD107" s="49"/>
      <c r="AE107" s="47"/>
      <c r="AF107" s="48"/>
      <c r="AG107" s="49"/>
      <c r="AH107" s="47"/>
      <c r="AI107" s="48"/>
      <c r="AJ107" s="49"/>
      <c r="AK107" s="47"/>
      <c r="AL107" s="48"/>
      <c r="AM107" s="49"/>
      <c r="AN107" s="47"/>
      <c r="AO107" s="48"/>
      <c r="AP107" s="49"/>
      <c r="AQ107" s="47"/>
      <c r="AR107" s="48"/>
      <c r="AS107" s="49"/>
      <c r="AT107" s="47"/>
      <c r="AU107" s="49"/>
      <c r="AV107" s="47"/>
      <c r="AW107" s="49"/>
      <c r="AX107" s="47"/>
      <c r="AY107" s="49"/>
      <c r="AZ107" s="47"/>
      <c r="BA107" s="49"/>
      <c r="BB107" s="13"/>
      <c r="BC107" s="56" t="str">
        <f t="shared" si="0"/>
        <v>･</v>
      </c>
      <c r="BD107" s="44" t="str">
        <f t="shared" si="1"/>
        <v>･</v>
      </c>
      <c r="BE107" s="56" t="str">
        <f>IF(ISNUMBER(BC107),BC107/Eigenvalue!E4,"･")</f>
        <v>･</v>
      </c>
      <c r="BF107" s="44" t="str">
        <f>IF(ISNUMBER(BD107),BD107/Eigenvalue!E4,"･")</f>
        <v>･</v>
      </c>
      <c r="BG107" s="56" t="str">
        <f t="shared" si="2"/>
        <v>･</v>
      </c>
      <c r="BH107" s="44" t="str">
        <f t="shared" si="3"/>
        <v>･</v>
      </c>
    </row>
    <row r="108" spans="1:60" ht="9.75" hidden="1" customHeight="1">
      <c r="A108" s="5" t="str">
        <f t="shared" si="4"/>
        <v>･</v>
      </c>
      <c r="B108" s="47"/>
      <c r="C108" s="48"/>
      <c r="D108" s="48"/>
      <c r="E108" s="49"/>
      <c r="F108" s="47"/>
      <c r="G108" s="48"/>
      <c r="H108" s="48"/>
      <c r="I108" s="49"/>
      <c r="J108" s="47"/>
      <c r="K108" s="48"/>
      <c r="L108" s="48"/>
      <c r="M108" s="49"/>
      <c r="N108" s="47"/>
      <c r="O108" s="48"/>
      <c r="P108" s="48"/>
      <c r="Q108" s="49"/>
      <c r="R108" s="34"/>
      <c r="S108" s="35"/>
      <c r="T108" s="35"/>
      <c r="U108" s="36"/>
      <c r="V108" s="47"/>
      <c r="W108" s="48"/>
      <c r="X108" s="49"/>
      <c r="Y108" s="47"/>
      <c r="Z108" s="48"/>
      <c r="AA108" s="49"/>
      <c r="AB108" s="47"/>
      <c r="AC108" s="48"/>
      <c r="AD108" s="49"/>
      <c r="AE108" s="47"/>
      <c r="AF108" s="48"/>
      <c r="AG108" s="49"/>
      <c r="AH108" s="47"/>
      <c r="AI108" s="48"/>
      <c r="AJ108" s="49"/>
      <c r="AK108" s="47"/>
      <c r="AL108" s="48"/>
      <c r="AM108" s="49"/>
      <c r="AN108" s="47"/>
      <c r="AO108" s="48"/>
      <c r="AP108" s="49"/>
      <c r="AQ108" s="47"/>
      <c r="AR108" s="48"/>
      <c r="AS108" s="49"/>
      <c r="AT108" s="47"/>
      <c r="AU108" s="49"/>
      <c r="AV108" s="47"/>
      <c r="AW108" s="49"/>
      <c r="AX108" s="47"/>
      <c r="AY108" s="49"/>
      <c r="AZ108" s="47"/>
      <c r="BA108" s="49"/>
      <c r="BB108" s="13"/>
      <c r="BC108" s="56" t="str">
        <f t="shared" si="0"/>
        <v>･</v>
      </c>
      <c r="BD108" s="44" t="str">
        <f t="shared" si="1"/>
        <v>･</v>
      </c>
      <c r="BE108" s="56" t="str">
        <f>IF(ISNUMBER(BC108),BC108/Eigenvalue!E5,"･")</f>
        <v>･</v>
      </c>
      <c r="BF108" s="44" t="str">
        <f>IF(ISNUMBER(BD108),BD108/Eigenvalue!E5,"･")</f>
        <v>･</v>
      </c>
      <c r="BG108" s="56" t="str">
        <f t="shared" si="2"/>
        <v>･</v>
      </c>
      <c r="BH108" s="44" t="str">
        <f t="shared" si="3"/>
        <v>･</v>
      </c>
    </row>
    <row r="109" spans="1:60" ht="9.75" hidden="1" customHeight="1">
      <c r="A109" s="5" t="str">
        <f t="shared" si="4"/>
        <v>･</v>
      </c>
      <c r="B109" s="47"/>
      <c r="C109" s="48"/>
      <c r="D109" s="48"/>
      <c r="E109" s="49"/>
      <c r="F109" s="47"/>
      <c r="G109" s="48"/>
      <c r="H109" s="48"/>
      <c r="I109" s="49"/>
      <c r="J109" s="47"/>
      <c r="K109" s="48"/>
      <c r="L109" s="48"/>
      <c r="M109" s="49"/>
      <c r="N109" s="47"/>
      <c r="O109" s="48"/>
      <c r="P109" s="48"/>
      <c r="Q109" s="49"/>
      <c r="R109" s="34"/>
      <c r="S109" s="48"/>
      <c r="T109" s="35"/>
      <c r="U109" s="49"/>
      <c r="V109" s="47"/>
      <c r="W109" s="48"/>
      <c r="X109" s="49"/>
      <c r="Y109" s="47"/>
      <c r="Z109" s="48"/>
      <c r="AA109" s="49"/>
      <c r="AB109" s="47"/>
      <c r="AC109" s="48"/>
      <c r="AD109" s="49"/>
      <c r="AE109" s="47"/>
      <c r="AF109" s="48"/>
      <c r="AG109" s="49"/>
      <c r="AH109" s="47"/>
      <c r="AI109" s="48"/>
      <c r="AJ109" s="49"/>
      <c r="AK109" s="47"/>
      <c r="AL109" s="48"/>
      <c r="AM109" s="49"/>
      <c r="AN109" s="47"/>
      <c r="AO109" s="48"/>
      <c r="AP109" s="49"/>
      <c r="AQ109" s="47"/>
      <c r="AR109" s="48"/>
      <c r="AS109" s="49"/>
      <c r="AT109" s="47"/>
      <c r="AU109" s="49"/>
      <c r="AV109" s="47"/>
      <c r="AW109" s="49"/>
      <c r="AX109" s="47"/>
      <c r="AY109" s="49"/>
      <c r="AZ109" s="47"/>
      <c r="BA109" s="49"/>
      <c r="BB109" s="13"/>
      <c r="BC109" s="56" t="str">
        <f t="shared" si="0"/>
        <v>･</v>
      </c>
      <c r="BD109" s="44" t="str">
        <f t="shared" si="1"/>
        <v>･</v>
      </c>
      <c r="BE109" s="56" t="str">
        <f>IF(ISNUMBER(BC109),BC109/Eigenvalue!E6,"･")</f>
        <v>･</v>
      </c>
      <c r="BF109" s="44" t="str">
        <f>IF(ISNUMBER(BD109),BD109/Eigenvalue!E6,"･")</f>
        <v>･</v>
      </c>
      <c r="BG109" s="56" t="str">
        <f t="shared" si="2"/>
        <v>･</v>
      </c>
      <c r="BH109" s="44" t="str">
        <f t="shared" si="3"/>
        <v>･</v>
      </c>
    </row>
    <row r="110" spans="1:60" ht="9.75" hidden="1" customHeight="1">
      <c r="A110" s="5" t="str">
        <f t="shared" si="4"/>
        <v>･</v>
      </c>
      <c r="B110" s="47"/>
      <c r="C110" s="48"/>
      <c r="D110" s="48"/>
      <c r="E110" s="49"/>
      <c r="F110" s="47"/>
      <c r="G110" s="48"/>
      <c r="H110" s="48"/>
      <c r="I110" s="49"/>
      <c r="J110" s="47"/>
      <c r="K110" s="48"/>
      <c r="L110" s="48"/>
      <c r="M110" s="49"/>
      <c r="N110" s="47"/>
      <c r="O110" s="48"/>
      <c r="P110" s="48"/>
      <c r="Q110" s="49"/>
      <c r="R110" s="34"/>
      <c r="S110" s="48"/>
      <c r="T110" s="35"/>
      <c r="U110" s="49"/>
      <c r="V110" s="47"/>
      <c r="W110" s="48"/>
      <c r="X110" s="49"/>
      <c r="Y110" s="47"/>
      <c r="Z110" s="48"/>
      <c r="AA110" s="49"/>
      <c r="AB110" s="47"/>
      <c r="AC110" s="48"/>
      <c r="AD110" s="49"/>
      <c r="AE110" s="47"/>
      <c r="AF110" s="48"/>
      <c r="AG110" s="49"/>
      <c r="AH110" s="47"/>
      <c r="AI110" s="48"/>
      <c r="AJ110" s="49"/>
      <c r="AK110" s="47"/>
      <c r="AL110" s="48"/>
      <c r="AM110" s="49"/>
      <c r="AN110" s="47"/>
      <c r="AO110" s="48"/>
      <c r="AP110" s="49"/>
      <c r="AQ110" s="47"/>
      <c r="AR110" s="48"/>
      <c r="AS110" s="49"/>
      <c r="AT110" s="47"/>
      <c r="AU110" s="49"/>
      <c r="AV110" s="47"/>
      <c r="AW110" s="49"/>
      <c r="AX110" s="47"/>
      <c r="AY110" s="49"/>
      <c r="AZ110" s="47"/>
      <c r="BA110" s="49"/>
      <c r="BB110" s="13"/>
      <c r="BC110" s="56" t="str">
        <f t="shared" si="0"/>
        <v>･</v>
      </c>
      <c r="BD110" s="44" t="str">
        <f t="shared" si="1"/>
        <v>･</v>
      </c>
      <c r="BE110" s="56" t="str">
        <f>IF(ISNUMBER(BC110),BC110/Eigenvalue!E7,"･")</f>
        <v>･</v>
      </c>
      <c r="BF110" s="44" t="str">
        <f>IF(ISNUMBER(BD110),BD110/Eigenvalue!E7,"･")</f>
        <v>･</v>
      </c>
      <c r="BG110" s="56" t="str">
        <f t="shared" si="2"/>
        <v>･</v>
      </c>
      <c r="BH110" s="44" t="str">
        <f t="shared" si="3"/>
        <v>･</v>
      </c>
    </row>
    <row r="111" spans="1:60" ht="9.75" hidden="1" customHeight="1">
      <c r="A111" s="5" t="str">
        <f t="shared" si="4"/>
        <v>･</v>
      </c>
      <c r="B111" s="47"/>
      <c r="C111" s="48"/>
      <c r="D111" s="48"/>
      <c r="E111" s="49"/>
      <c r="F111" s="47"/>
      <c r="G111" s="48"/>
      <c r="H111" s="48"/>
      <c r="I111" s="49"/>
      <c r="J111" s="47"/>
      <c r="K111" s="48"/>
      <c r="L111" s="48"/>
      <c r="M111" s="49"/>
      <c r="N111" s="47"/>
      <c r="O111" s="48"/>
      <c r="P111" s="48"/>
      <c r="Q111" s="49"/>
      <c r="R111" s="34"/>
      <c r="S111" s="48"/>
      <c r="T111" s="35"/>
      <c r="U111" s="49"/>
      <c r="V111" s="47"/>
      <c r="W111" s="48"/>
      <c r="X111" s="49"/>
      <c r="Y111" s="47"/>
      <c r="Z111" s="48"/>
      <c r="AA111" s="49"/>
      <c r="AB111" s="47"/>
      <c r="AC111" s="48"/>
      <c r="AD111" s="49"/>
      <c r="AE111" s="47"/>
      <c r="AF111" s="48"/>
      <c r="AG111" s="49"/>
      <c r="AH111" s="47"/>
      <c r="AI111" s="48"/>
      <c r="AJ111" s="49"/>
      <c r="AK111" s="47"/>
      <c r="AL111" s="48"/>
      <c r="AM111" s="49"/>
      <c r="AN111" s="47"/>
      <c r="AO111" s="48"/>
      <c r="AP111" s="49"/>
      <c r="AQ111" s="47"/>
      <c r="AR111" s="48"/>
      <c r="AS111" s="49"/>
      <c r="AT111" s="47"/>
      <c r="AU111" s="49"/>
      <c r="AV111" s="47"/>
      <c r="AW111" s="49"/>
      <c r="AX111" s="47"/>
      <c r="AY111" s="49"/>
      <c r="AZ111" s="47"/>
      <c r="BA111" s="49"/>
      <c r="BB111" s="13"/>
      <c r="BC111" s="56" t="str">
        <f t="shared" si="0"/>
        <v>･</v>
      </c>
      <c r="BD111" s="44" t="str">
        <f t="shared" si="1"/>
        <v>･</v>
      </c>
      <c r="BE111" s="56" t="str">
        <f>IF(ISNUMBER(BC111),BC111/Eigenvalue!E8,"･")</f>
        <v>･</v>
      </c>
      <c r="BF111" s="44" t="str">
        <f>IF(ISNUMBER(BD111),BD111/Eigenvalue!E8,"･")</f>
        <v>･</v>
      </c>
      <c r="BG111" s="56" t="str">
        <f t="shared" si="2"/>
        <v>･</v>
      </c>
      <c r="BH111" s="44" t="str">
        <f t="shared" si="3"/>
        <v>･</v>
      </c>
    </row>
    <row r="112" spans="1:60" ht="9.75" hidden="1" customHeight="1">
      <c r="A112" s="5" t="str">
        <f t="shared" si="4"/>
        <v>･</v>
      </c>
      <c r="B112" s="47"/>
      <c r="C112" s="48"/>
      <c r="D112" s="48"/>
      <c r="E112" s="49"/>
      <c r="F112" s="47"/>
      <c r="G112" s="48"/>
      <c r="H112" s="48"/>
      <c r="I112" s="49"/>
      <c r="J112" s="47"/>
      <c r="K112" s="48"/>
      <c r="L112" s="48"/>
      <c r="M112" s="49"/>
      <c r="N112" s="47"/>
      <c r="O112" s="48"/>
      <c r="P112" s="48"/>
      <c r="Q112" s="49"/>
      <c r="R112" s="34"/>
      <c r="S112" s="48"/>
      <c r="T112" s="35"/>
      <c r="U112" s="49"/>
      <c r="V112" s="47"/>
      <c r="W112" s="48"/>
      <c r="X112" s="49"/>
      <c r="Y112" s="47"/>
      <c r="Z112" s="48"/>
      <c r="AA112" s="49"/>
      <c r="AB112" s="47"/>
      <c r="AC112" s="48"/>
      <c r="AD112" s="49"/>
      <c r="AE112" s="47"/>
      <c r="AF112" s="48"/>
      <c r="AG112" s="49"/>
      <c r="AH112" s="47"/>
      <c r="AI112" s="48"/>
      <c r="AJ112" s="49"/>
      <c r="AK112" s="47"/>
      <c r="AL112" s="48"/>
      <c r="AM112" s="49"/>
      <c r="AN112" s="47"/>
      <c r="AO112" s="48"/>
      <c r="AP112" s="49"/>
      <c r="AQ112" s="47"/>
      <c r="AR112" s="48"/>
      <c r="AS112" s="49"/>
      <c r="AT112" s="47"/>
      <c r="AU112" s="49"/>
      <c r="AV112" s="47"/>
      <c r="AW112" s="49"/>
      <c r="AX112" s="47"/>
      <c r="AY112" s="49"/>
      <c r="AZ112" s="47"/>
      <c r="BA112" s="49"/>
      <c r="BB112" s="13"/>
      <c r="BC112" s="56" t="str">
        <f t="shared" si="0"/>
        <v>･</v>
      </c>
      <c r="BD112" s="44" t="str">
        <f t="shared" si="1"/>
        <v>･</v>
      </c>
      <c r="BE112" s="56" t="str">
        <f>IF(ISNUMBER(BC112),BC112/Eigenvalue!E9,"･")</f>
        <v>･</v>
      </c>
      <c r="BF112" s="44" t="str">
        <f>IF(ISNUMBER(BD112),BD112/Eigenvalue!E9,"･")</f>
        <v>･</v>
      </c>
      <c r="BG112" s="56" t="str">
        <f t="shared" si="2"/>
        <v>･</v>
      </c>
      <c r="BH112" s="44" t="str">
        <f t="shared" si="3"/>
        <v>･</v>
      </c>
    </row>
    <row r="113" spans="1:60" ht="9.75" hidden="1" customHeight="1">
      <c r="A113" s="5" t="str">
        <f t="shared" si="4"/>
        <v>･</v>
      </c>
      <c r="B113" s="47"/>
      <c r="C113" s="48"/>
      <c r="D113" s="48"/>
      <c r="E113" s="49"/>
      <c r="F113" s="47"/>
      <c r="G113" s="48"/>
      <c r="H113" s="48"/>
      <c r="I113" s="49"/>
      <c r="J113" s="47"/>
      <c r="K113" s="48"/>
      <c r="L113" s="48"/>
      <c r="M113" s="49"/>
      <c r="N113" s="47"/>
      <c r="O113" s="48"/>
      <c r="P113" s="48"/>
      <c r="Q113" s="49"/>
      <c r="R113" s="34"/>
      <c r="S113" s="48"/>
      <c r="T113" s="35"/>
      <c r="U113" s="49"/>
      <c r="V113" s="47"/>
      <c r="W113" s="48"/>
      <c r="X113" s="49"/>
      <c r="Y113" s="47"/>
      <c r="Z113" s="48"/>
      <c r="AA113" s="49"/>
      <c r="AB113" s="47"/>
      <c r="AC113" s="48"/>
      <c r="AD113" s="49"/>
      <c r="AE113" s="47"/>
      <c r="AF113" s="48"/>
      <c r="AG113" s="49"/>
      <c r="AH113" s="47"/>
      <c r="AI113" s="48"/>
      <c r="AJ113" s="49"/>
      <c r="AK113" s="47"/>
      <c r="AL113" s="48"/>
      <c r="AM113" s="49"/>
      <c r="AN113" s="47"/>
      <c r="AO113" s="48"/>
      <c r="AP113" s="49"/>
      <c r="AQ113" s="47"/>
      <c r="AR113" s="48"/>
      <c r="AS113" s="49"/>
      <c r="AT113" s="47"/>
      <c r="AU113" s="49"/>
      <c r="AV113" s="47"/>
      <c r="AW113" s="49"/>
      <c r="AX113" s="47"/>
      <c r="AY113" s="49"/>
      <c r="AZ113" s="47"/>
      <c r="BA113" s="49"/>
      <c r="BB113" s="13"/>
      <c r="BC113" s="56" t="str">
        <f t="shared" si="0"/>
        <v>･</v>
      </c>
      <c r="BD113" s="44" t="str">
        <f t="shared" si="1"/>
        <v>･</v>
      </c>
      <c r="BE113" s="56" t="str">
        <f>IF(ISNUMBER(BC113),BC113/Eigenvalue!E10,"･")</f>
        <v>･</v>
      </c>
      <c r="BF113" s="44" t="str">
        <f>IF(ISNUMBER(BD113),BD113/Eigenvalue!E10,"･")</f>
        <v>･</v>
      </c>
      <c r="BG113" s="56" t="str">
        <f t="shared" si="2"/>
        <v>･</v>
      </c>
      <c r="BH113" s="44" t="str">
        <f t="shared" si="3"/>
        <v>･</v>
      </c>
    </row>
    <row r="114" spans="1:60" ht="9.75" hidden="1" customHeight="1">
      <c r="A114" s="5" t="str">
        <f t="shared" si="4"/>
        <v>･</v>
      </c>
      <c r="B114" s="47"/>
      <c r="C114" s="48"/>
      <c r="D114" s="48"/>
      <c r="E114" s="49"/>
      <c r="F114" s="47"/>
      <c r="G114" s="48"/>
      <c r="H114" s="48"/>
      <c r="I114" s="49"/>
      <c r="J114" s="47"/>
      <c r="K114" s="48"/>
      <c r="L114" s="48"/>
      <c r="M114" s="49"/>
      <c r="N114" s="47"/>
      <c r="O114" s="48"/>
      <c r="P114" s="48"/>
      <c r="Q114" s="49"/>
      <c r="R114" s="34"/>
      <c r="S114" s="48"/>
      <c r="T114" s="35"/>
      <c r="U114" s="49"/>
      <c r="V114" s="47"/>
      <c r="W114" s="48"/>
      <c r="X114" s="49"/>
      <c r="Y114" s="47"/>
      <c r="Z114" s="48"/>
      <c r="AA114" s="49"/>
      <c r="AB114" s="47"/>
      <c r="AC114" s="48"/>
      <c r="AD114" s="49"/>
      <c r="AE114" s="47"/>
      <c r="AF114" s="48"/>
      <c r="AG114" s="49"/>
      <c r="AH114" s="47"/>
      <c r="AI114" s="48"/>
      <c r="AJ114" s="49"/>
      <c r="AK114" s="47"/>
      <c r="AL114" s="48"/>
      <c r="AM114" s="49"/>
      <c r="AN114" s="47"/>
      <c r="AO114" s="48"/>
      <c r="AP114" s="49"/>
      <c r="AQ114" s="47"/>
      <c r="AR114" s="48"/>
      <c r="AS114" s="49"/>
      <c r="AT114" s="47"/>
      <c r="AU114" s="49"/>
      <c r="AV114" s="47"/>
      <c r="AW114" s="49"/>
      <c r="AX114" s="47"/>
      <c r="AY114" s="49"/>
      <c r="AZ114" s="47"/>
      <c r="BA114" s="49"/>
      <c r="BB114" s="13"/>
      <c r="BC114" s="56" t="str">
        <f t="shared" si="0"/>
        <v>･</v>
      </c>
      <c r="BD114" s="44" t="str">
        <f t="shared" si="1"/>
        <v>･</v>
      </c>
      <c r="BE114" s="56" t="str">
        <f>IF(ISNUMBER(BC114),BC114/Eigenvalue!E11,"･")</f>
        <v>･</v>
      </c>
      <c r="BF114" s="44" t="str">
        <f>IF(ISNUMBER(BD114),BD114/Eigenvalue!E11,"･")</f>
        <v>･</v>
      </c>
      <c r="BG114" s="56" t="str">
        <f t="shared" si="2"/>
        <v>･</v>
      </c>
      <c r="BH114" s="44" t="str">
        <f t="shared" si="3"/>
        <v>･</v>
      </c>
    </row>
    <row r="115" spans="1:60" ht="9.75" hidden="1" customHeight="1">
      <c r="A115" s="5" t="str">
        <f t="shared" si="4"/>
        <v>･</v>
      </c>
      <c r="B115" s="47"/>
      <c r="C115" s="48"/>
      <c r="D115" s="48"/>
      <c r="E115" s="49"/>
      <c r="F115" s="47"/>
      <c r="G115" s="48"/>
      <c r="H115" s="48"/>
      <c r="I115" s="49"/>
      <c r="J115" s="47"/>
      <c r="K115" s="48"/>
      <c r="L115" s="48"/>
      <c r="M115" s="49"/>
      <c r="N115" s="47"/>
      <c r="O115" s="48"/>
      <c r="P115" s="48"/>
      <c r="Q115" s="49"/>
      <c r="R115" s="34"/>
      <c r="S115" s="48"/>
      <c r="T115" s="35"/>
      <c r="U115" s="49"/>
      <c r="V115" s="47"/>
      <c r="W115" s="48"/>
      <c r="X115" s="49"/>
      <c r="Y115" s="47"/>
      <c r="Z115" s="48"/>
      <c r="AA115" s="49"/>
      <c r="AB115" s="47"/>
      <c r="AC115" s="48"/>
      <c r="AD115" s="49"/>
      <c r="AE115" s="47"/>
      <c r="AF115" s="48"/>
      <c r="AG115" s="49"/>
      <c r="AH115" s="47"/>
      <c r="AI115" s="48"/>
      <c r="AJ115" s="49"/>
      <c r="AK115" s="47"/>
      <c r="AL115" s="48"/>
      <c r="AM115" s="49"/>
      <c r="AN115" s="47"/>
      <c r="AO115" s="48"/>
      <c r="AP115" s="49"/>
      <c r="AQ115" s="47"/>
      <c r="AR115" s="48"/>
      <c r="AS115" s="49"/>
      <c r="AT115" s="47"/>
      <c r="AU115" s="49"/>
      <c r="AV115" s="47"/>
      <c r="AW115" s="49"/>
      <c r="AX115" s="47"/>
      <c r="AY115" s="49"/>
      <c r="AZ115" s="47"/>
      <c r="BA115" s="49"/>
      <c r="BB115" s="13"/>
      <c r="BC115" s="56" t="str">
        <f t="shared" si="0"/>
        <v>･</v>
      </c>
      <c r="BD115" s="44" t="str">
        <f t="shared" si="1"/>
        <v>･</v>
      </c>
      <c r="BE115" s="56" t="str">
        <f>IF(ISNUMBER(BC115),BC115/Eigenvalue!E12,"･")</f>
        <v>･</v>
      </c>
      <c r="BF115" s="44" t="str">
        <f>IF(ISNUMBER(BD115),BD115/Eigenvalue!E12,"･")</f>
        <v>･</v>
      </c>
      <c r="BG115" s="56" t="str">
        <f t="shared" si="2"/>
        <v>･</v>
      </c>
      <c r="BH115" s="44" t="str">
        <f t="shared" si="3"/>
        <v>･</v>
      </c>
    </row>
    <row r="116" spans="1:60" ht="9.75" hidden="1" customHeight="1">
      <c r="A116" s="5" t="str">
        <f t="shared" si="4"/>
        <v>･</v>
      </c>
      <c r="B116" s="47"/>
      <c r="C116" s="48"/>
      <c r="D116" s="48"/>
      <c r="E116" s="49"/>
      <c r="F116" s="47"/>
      <c r="G116" s="48"/>
      <c r="H116" s="48"/>
      <c r="I116" s="49"/>
      <c r="J116" s="47"/>
      <c r="K116" s="48"/>
      <c r="L116" s="48"/>
      <c r="M116" s="49"/>
      <c r="N116" s="47"/>
      <c r="O116" s="48"/>
      <c r="P116" s="48"/>
      <c r="Q116" s="49"/>
      <c r="R116" s="34"/>
      <c r="S116" s="48"/>
      <c r="T116" s="35"/>
      <c r="U116" s="49"/>
      <c r="V116" s="47"/>
      <c r="W116" s="48"/>
      <c r="X116" s="49"/>
      <c r="Y116" s="47"/>
      <c r="Z116" s="48"/>
      <c r="AA116" s="49"/>
      <c r="AB116" s="47"/>
      <c r="AC116" s="48"/>
      <c r="AD116" s="49"/>
      <c r="AE116" s="47"/>
      <c r="AF116" s="48"/>
      <c r="AG116" s="49"/>
      <c r="AH116" s="47"/>
      <c r="AI116" s="48"/>
      <c r="AJ116" s="49"/>
      <c r="AK116" s="47"/>
      <c r="AL116" s="48"/>
      <c r="AM116" s="49"/>
      <c r="AN116" s="47"/>
      <c r="AO116" s="48"/>
      <c r="AP116" s="49"/>
      <c r="AQ116" s="47"/>
      <c r="AR116" s="48"/>
      <c r="AS116" s="49"/>
      <c r="AT116" s="47"/>
      <c r="AU116" s="49"/>
      <c r="AV116" s="47"/>
      <c r="AW116" s="49"/>
      <c r="AX116" s="47"/>
      <c r="AY116" s="49"/>
      <c r="AZ116" s="47"/>
      <c r="BA116" s="49"/>
      <c r="BB116" s="13"/>
      <c r="BC116" s="56" t="str">
        <f t="shared" si="0"/>
        <v>･</v>
      </c>
      <c r="BD116" s="44" t="str">
        <f t="shared" si="1"/>
        <v>･</v>
      </c>
      <c r="BE116" s="56" t="str">
        <f>IF(ISNUMBER(BC116),BC116/Eigenvalue!E13,"･")</f>
        <v>･</v>
      </c>
      <c r="BF116" s="44" t="str">
        <f>IF(ISNUMBER(BD116),BD116/Eigenvalue!E13,"･")</f>
        <v>･</v>
      </c>
      <c r="BG116" s="56" t="str">
        <f t="shared" si="2"/>
        <v>･</v>
      </c>
      <c r="BH116" s="44" t="str">
        <f t="shared" si="3"/>
        <v>･</v>
      </c>
    </row>
    <row r="117" spans="1:60" ht="9.75" hidden="1" customHeight="1">
      <c r="A117" s="5" t="str">
        <f t="shared" si="4"/>
        <v>･</v>
      </c>
      <c r="B117" s="47"/>
      <c r="C117" s="48"/>
      <c r="D117" s="48"/>
      <c r="E117" s="49"/>
      <c r="F117" s="47"/>
      <c r="G117" s="48"/>
      <c r="H117" s="48"/>
      <c r="I117" s="49"/>
      <c r="J117" s="47"/>
      <c r="K117" s="48"/>
      <c r="L117" s="48"/>
      <c r="M117" s="49"/>
      <c r="N117" s="47"/>
      <c r="O117" s="48"/>
      <c r="P117" s="48"/>
      <c r="Q117" s="49"/>
      <c r="R117" s="34"/>
      <c r="S117" s="48"/>
      <c r="T117" s="35"/>
      <c r="U117" s="49"/>
      <c r="V117" s="47"/>
      <c r="W117" s="48"/>
      <c r="X117" s="49"/>
      <c r="Y117" s="47"/>
      <c r="Z117" s="48"/>
      <c r="AA117" s="49"/>
      <c r="AB117" s="47"/>
      <c r="AC117" s="48"/>
      <c r="AD117" s="49"/>
      <c r="AE117" s="47"/>
      <c r="AF117" s="48"/>
      <c r="AG117" s="49"/>
      <c r="AH117" s="47"/>
      <c r="AI117" s="48"/>
      <c r="AJ117" s="49"/>
      <c r="AK117" s="47"/>
      <c r="AL117" s="48"/>
      <c r="AM117" s="49"/>
      <c r="AN117" s="47"/>
      <c r="AO117" s="48"/>
      <c r="AP117" s="49"/>
      <c r="AQ117" s="47"/>
      <c r="AR117" s="48"/>
      <c r="AS117" s="49"/>
      <c r="AT117" s="47"/>
      <c r="AU117" s="49"/>
      <c r="AV117" s="47"/>
      <c r="AW117" s="49"/>
      <c r="AX117" s="47"/>
      <c r="AY117" s="49"/>
      <c r="AZ117" s="47"/>
      <c r="BA117" s="49"/>
      <c r="BB117" s="13"/>
      <c r="BC117" s="56" t="str">
        <f t="shared" si="0"/>
        <v>･</v>
      </c>
      <c r="BD117" s="44" t="str">
        <f t="shared" si="1"/>
        <v>･</v>
      </c>
      <c r="BE117" s="56" t="str">
        <f>IF(ISNUMBER(BC117),BC117/Eigenvalue!E14,"･")</f>
        <v>･</v>
      </c>
      <c r="BF117" s="44" t="str">
        <f>IF(ISNUMBER(BD117),BD117/Eigenvalue!E14,"･")</f>
        <v>･</v>
      </c>
      <c r="BG117" s="56" t="str">
        <f t="shared" si="2"/>
        <v>･</v>
      </c>
      <c r="BH117" s="44" t="str">
        <f t="shared" si="3"/>
        <v>･</v>
      </c>
    </row>
    <row r="118" spans="1:60" ht="9.75" hidden="1" customHeight="1">
      <c r="A118" s="5" t="str">
        <f t="shared" si="4"/>
        <v>･</v>
      </c>
      <c r="B118" s="47"/>
      <c r="C118" s="48"/>
      <c r="D118" s="48"/>
      <c r="E118" s="49"/>
      <c r="F118" s="47"/>
      <c r="G118" s="48"/>
      <c r="H118" s="48"/>
      <c r="I118" s="49"/>
      <c r="J118" s="47"/>
      <c r="K118" s="48"/>
      <c r="L118" s="48"/>
      <c r="M118" s="49"/>
      <c r="N118" s="47"/>
      <c r="O118" s="48"/>
      <c r="P118" s="48"/>
      <c r="Q118" s="49"/>
      <c r="R118" s="34"/>
      <c r="S118" s="48"/>
      <c r="T118" s="35"/>
      <c r="U118" s="49"/>
      <c r="V118" s="47"/>
      <c r="W118" s="48"/>
      <c r="X118" s="49"/>
      <c r="Y118" s="47"/>
      <c r="Z118" s="48"/>
      <c r="AA118" s="49"/>
      <c r="AB118" s="47"/>
      <c r="AC118" s="48"/>
      <c r="AD118" s="49"/>
      <c r="AE118" s="47"/>
      <c r="AF118" s="48"/>
      <c r="AG118" s="49"/>
      <c r="AH118" s="47"/>
      <c r="AI118" s="48"/>
      <c r="AJ118" s="49"/>
      <c r="AK118" s="47"/>
      <c r="AL118" s="48"/>
      <c r="AM118" s="49"/>
      <c r="AN118" s="47"/>
      <c r="AO118" s="48"/>
      <c r="AP118" s="49"/>
      <c r="AQ118" s="47"/>
      <c r="AR118" s="48"/>
      <c r="AS118" s="49"/>
      <c r="AT118" s="47"/>
      <c r="AU118" s="49"/>
      <c r="AV118" s="47"/>
      <c r="AW118" s="49"/>
      <c r="AX118" s="47"/>
      <c r="AY118" s="49"/>
      <c r="AZ118" s="47"/>
      <c r="BA118" s="49"/>
      <c r="BB118" s="13"/>
      <c r="BC118" s="56" t="str">
        <f t="shared" si="0"/>
        <v>･</v>
      </c>
      <c r="BD118" s="44" t="str">
        <f t="shared" si="1"/>
        <v>･</v>
      </c>
      <c r="BE118" s="56" t="str">
        <f>IF(ISNUMBER(BC118),BC118/Eigenvalue!E15,"･")</f>
        <v>･</v>
      </c>
      <c r="BF118" s="44" t="str">
        <f>IF(ISNUMBER(BD118),BD118/Eigenvalue!E15,"･")</f>
        <v>･</v>
      </c>
      <c r="BG118" s="56" t="str">
        <f t="shared" si="2"/>
        <v>･</v>
      </c>
      <c r="BH118" s="44" t="str">
        <f t="shared" si="3"/>
        <v>･</v>
      </c>
    </row>
    <row r="119" spans="1:60" ht="9.75" hidden="1" customHeight="1">
      <c r="A119" s="5" t="str">
        <f t="shared" si="4"/>
        <v>･</v>
      </c>
      <c r="B119" s="47"/>
      <c r="C119" s="48"/>
      <c r="D119" s="48"/>
      <c r="E119" s="49"/>
      <c r="F119" s="47"/>
      <c r="G119" s="48"/>
      <c r="H119" s="48"/>
      <c r="I119" s="49"/>
      <c r="J119" s="47"/>
      <c r="K119" s="48"/>
      <c r="L119" s="48"/>
      <c r="M119" s="49"/>
      <c r="N119" s="47"/>
      <c r="O119" s="48"/>
      <c r="P119" s="48"/>
      <c r="Q119" s="49"/>
      <c r="R119" s="34"/>
      <c r="S119" s="35"/>
      <c r="T119" s="35"/>
      <c r="U119" s="36"/>
      <c r="V119" s="47"/>
      <c r="W119" s="48"/>
      <c r="X119" s="49"/>
      <c r="Y119" s="47"/>
      <c r="Z119" s="48"/>
      <c r="AA119" s="49"/>
      <c r="AB119" s="47"/>
      <c r="AC119" s="48"/>
      <c r="AD119" s="49"/>
      <c r="AE119" s="47"/>
      <c r="AF119" s="48"/>
      <c r="AG119" s="49"/>
      <c r="AH119" s="47"/>
      <c r="AI119" s="48"/>
      <c r="AJ119" s="49"/>
      <c r="AK119" s="47"/>
      <c r="AL119" s="48"/>
      <c r="AM119" s="49"/>
      <c r="AN119" s="47"/>
      <c r="AO119" s="48"/>
      <c r="AP119" s="49"/>
      <c r="AQ119" s="47"/>
      <c r="AR119" s="48"/>
      <c r="AS119" s="49"/>
      <c r="AT119" s="47"/>
      <c r="AU119" s="49"/>
      <c r="AV119" s="47"/>
      <c r="AW119" s="49"/>
      <c r="AX119" s="47"/>
      <c r="AY119" s="49"/>
      <c r="AZ119" s="47"/>
      <c r="BA119" s="49"/>
      <c r="BB119" s="13"/>
      <c r="BC119" s="56" t="str">
        <f t="shared" si="0"/>
        <v>･</v>
      </c>
      <c r="BD119" s="44" t="str">
        <f t="shared" si="1"/>
        <v>･</v>
      </c>
      <c r="BE119" s="56" t="str">
        <f>IF(ISNUMBER(BC119),BC119/Eigenvalue!E16,"･")</f>
        <v>･</v>
      </c>
      <c r="BF119" s="44" t="str">
        <f>IF(ISNUMBER(BD119),BD119/Eigenvalue!E16,"･")</f>
        <v>･</v>
      </c>
      <c r="BG119" s="56" t="str">
        <f t="shared" si="2"/>
        <v>･</v>
      </c>
      <c r="BH119" s="44" t="str">
        <f t="shared" si="3"/>
        <v>･</v>
      </c>
    </row>
    <row r="120" spans="1:60" ht="9.75" hidden="1" customHeight="1">
      <c r="A120" s="5" t="str">
        <f t="shared" si="4"/>
        <v>･</v>
      </c>
      <c r="B120" s="47"/>
      <c r="C120" s="48"/>
      <c r="D120" s="48"/>
      <c r="E120" s="49"/>
      <c r="F120" s="47"/>
      <c r="G120" s="48"/>
      <c r="H120" s="48"/>
      <c r="I120" s="49"/>
      <c r="J120" s="47"/>
      <c r="K120" s="48"/>
      <c r="L120" s="48"/>
      <c r="M120" s="49"/>
      <c r="N120" s="47"/>
      <c r="O120" s="48"/>
      <c r="P120" s="48"/>
      <c r="Q120" s="49"/>
      <c r="R120" s="34"/>
      <c r="S120" s="48"/>
      <c r="T120" s="35"/>
      <c r="U120" s="49"/>
      <c r="V120" s="47"/>
      <c r="W120" s="48"/>
      <c r="X120" s="49"/>
      <c r="Y120" s="47"/>
      <c r="Z120" s="48"/>
      <c r="AA120" s="49"/>
      <c r="AB120" s="47"/>
      <c r="AC120" s="48"/>
      <c r="AD120" s="49"/>
      <c r="AE120" s="47"/>
      <c r="AF120" s="48"/>
      <c r="AG120" s="49"/>
      <c r="AH120" s="47"/>
      <c r="AI120" s="48"/>
      <c r="AJ120" s="49"/>
      <c r="AK120" s="47"/>
      <c r="AL120" s="48"/>
      <c r="AM120" s="49"/>
      <c r="AN120" s="47"/>
      <c r="AO120" s="48"/>
      <c r="AP120" s="49"/>
      <c r="AQ120" s="47"/>
      <c r="AR120" s="48"/>
      <c r="AS120" s="49"/>
      <c r="AT120" s="47"/>
      <c r="AU120" s="49"/>
      <c r="AV120" s="47"/>
      <c r="AW120" s="49"/>
      <c r="AX120" s="47"/>
      <c r="AY120" s="49"/>
      <c r="AZ120" s="47"/>
      <c r="BA120" s="49"/>
      <c r="BB120" s="13"/>
      <c r="BC120" s="56" t="str">
        <f t="shared" si="0"/>
        <v>･</v>
      </c>
      <c r="BD120" s="44" t="str">
        <f t="shared" si="1"/>
        <v>･</v>
      </c>
      <c r="BE120" s="56" t="str">
        <f>IF(ISNUMBER(BC120),BC120/Eigenvalue!E17,"･")</f>
        <v>･</v>
      </c>
      <c r="BF120" s="44" t="str">
        <f>IF(ISNUMBER(BD120),BD120/Eigenvalue!E17,"･")</f>
        <v>･</v>
      </c>
      <c r="BG120" s="56" t="str">
        <f t="shared" si="2"/>
        <v>･</v>
      </c>
      <c r="BH120" s="44" t="str">
        <f t="shared" si="3"/>
        <v>･</v>
      </c>
    </row>
    <row r="121" spans="1:60" ht="9.75" hidden="1" customHeight="1">
      <c r="A121" s="5" t="str">
        <f t="shared" si="4"/>
        <v>･</v>
      </c>
      <c r="B121" s="47"/>
      <c r="C121" s="48"/>
      <c r="D121" s="48"/>
      <c r="E121" s="49"/>
      <c r="F121" s="47"/>
      <c r="G121" s="48"/>
      <c r="H121" s="48"/>
      <c r="I121" s="49"/>
      <c r="J121" s="47"/>
      <c r="K121" s="48"/>
      <c r="L121" s="48"/>
      <c r="M121" s="49"/>
      <c r="N121" s="47"/>
      <c r="O121" s="48"/>
      <c r="P121" s="48"/>
      <c r="Q121" s="49"/>
      <c r="R121" s="47"/>
      <c r="S121" s="48"/>
      <c r="T121" s="35"/>
      <c r="U121" s="49"/>
      <c r="V121" s="47"/>
      <c r="W121" s="48"/>
      <c r="X121" s="49"/>
      <c r="Y121" s="47"/>
      <c r="Z121" s="48"/>
      <c r="AA121" s="49"/>
      <c r="AB121" s="47"/>
      <c r="AC121" s="48"/>
      <c r="AD121" s="49"/>
      <c r="AE121" s="47"/>
      <c r="AF121" s="48"/>
      <c r="AG121" s="49"/>
      <c r="AH121" s="47"/>
      <c r="AI121" s="48"/>
      <c r="AJ121" s="49"/>
      <c r="AK121" s="47"/>
      <c r="AL121" s="48"/>
      <c r="AM121" s="49"/>
      <c r="AN121" s="47"/>
      <c r="AO121" s="48"/>
      <c r="AP121" s="49"/>
      <c r="AQ121" s="47"/>
      <c r="AR121" s="48"/>
      <c r="AS121" s="49"/>
      <c r="AT121" s="47"/>
      <c r="AU121" s="49"/>
      <c r="AV121" s="47"/>
      <c r="AW121" s="49"/>
      <c r="AX121" s="47"/>
      <c r="AY121" s="49"/>
      <c r="AZ121" s="47"/>
      <c r="BA121" s="49"/>
      <c r="BB121" s="13"/>
      <c r="BC121" s="56" t="str">
        <f t="shared" si="0"/>
        <v>･</v>
      </c>
      <c r="BD121" s="44" t="str">
        <f t="shared" si="1"/>
        <v>･</v>
      </c>
      <c r="BE121" s="56" t="str">
        <f>IF(ISNUMBER(BC121),BC121/Eigenvalue!E18,"･")</f>
        <v>･</v>
      </c>
      <c r="BF121" s="44" t="str">
        <f>IF(ISNUMBER(BD121),BD121/Eigenvalue!E18,"･")</f>
        <v>･</v>
      </c>
      <c r="BG121" s="56" t="str">
        <f t="shared" si="2"/>
        <v>･</v>
      </c>
      <c r="BH121" s="44" t="str">
        <f t="shared" si="3"/>
        <v>･</v>
      </c>
    </row>
    <row r="122" spans="1:60" ht="9.75" hidden="1" customHeight="1">
      <c r="A122" s="5" t="str">
        <f t="shared" si="4"/>
        <v>･</v>
      </c>
      <c r="B122" s="47"/>
      <c r="C122" s="48"/>
      <c r="D122" s="48"/>
      <c r="E122" s="49"/>
      <c r="F122" s="47"/>
      <c r="G122" s="48"/>
      <c r="H122" s="48"/>
      <c r="I122" s="49"/>
      <c r="J122" s="47"/>
      <c r="K122" s="48"/>
      <c r="L122" s="48"/>
      <c r="M122" s="49"/>
      <c r="N122" s="47"/>
      <c r="O122" s="48"/>
      <c r="P122" s="48"/>
      <c r="Q122" s="49"/>
      <c r="R122" s="47"/>
      <c r="S122" s="48"/>
      <c r="T122" s="48"/>
      <c r="U122" s="49"/>
      <c r="V122" s="47"/>
      <c r="W122" s="48"/>
      <c r="X122" s="49"/>
      <c r="Y122" s="47"/>
      <c r="Z122" s="48"/>
      <c r="AA122" s="49"/>
      <c r="AB122" s="47"/>
      <c r="AC122" s="48"/>
      <c r="AD122" s="49"/>
      <c r="AE122" s="47"/>
      <c r="AF122" s="48"/>
      <c r="AG122" s="49"/>
      <c r="AH122" s="47"/>
      <c r="AI122" s="48"/>
      <c r="AJ122" s="49"/>
      <c r="AK122" s="47"/>
      <c r="AL122" s="48"/>
      <c r="AM122" s="49"/>
      <c r="AN122" s="47"/>
      <c r="AO122" s="48"/>
      <c r="AP122" s="49"/>
      <c r="AQ122" s="47"/>
      <c r="AR122" s="48"/>
      <c r="AS122" s="49"/>
      <c r="AT122" s="47"/>
      <c r="AU122" s="49"/>
      <c r="AV122" s="47"/>
      <c r="AW122" s="49"/>
      <c r="AX122" s="47"/>
      <c r="AY122" s="49"/>
      <c r="AZ122" s="47"/>
      <c r="BA122" s="49"/>
      <c r="BB122" s="13"/>
      <c r="BC122" s="56" t="str">
        <f t="shared" si="0"/>
        <v>･</v>
      </c>
      <c r="BD122" s="44" t="str">
        <f t="shared" si="1"/>
        <v>･</v>
      </c>
      <c r="BE122" s="56" t="str">
        <f>IF(ISNUMBER(BC122),BC122/Eigenvalue!E19,"･")</f>
        <v>･</v>
      </c>
      <c r="BF122" s="44" t="str">
        <f>IF(ISNUMBER(BD122),BD122/Eigenvalue!E19,"･")</f>
        <v>･</v>
      </c>
      <c r="BG122" s="56" t="str">
        <f t="shared" si="2"/>
        <v>･</v>
      </c>
      <c r="BH122" s="44" t="str">
        <f t="shared" si="3"/>
        <v>･</v>
      </c>
    </row>
    <row r="123" spans="1:60" ht="9.75" hidden="1" customHeight="1">
      <c r="A123" s="5" t="str">
        <f t="shared" si="4"/>
        <v>･</v>
      </c>
      <c r="B123" s="47"/>
      <c r="C123" s="48"/>
      <c r="D123" s="48"/>
      <c r="E123" s="49"/>
      <c r="F123" s="47"/>
      <c r="G123" s="48"/>
      <c r="H123" s="48"/>
      <c r="I123" s="49"/>
      <c r="J123" s="47"/>
      <c r="K123" s="48"/>
      <c r="L123" s="48"/>
      <c r="M123" s="49"/>
      <c r="N123" s="47"/>
      <c r="O123" s="48"/>
      <c r="P123" s="48"/>
      <c r="Q123" s="49"/>
      <c r="R123" s="47"/>
      <c r="S123" s="48"/>
      <c r="T123" s="48"/>
      <c r="U123" s="49"/>
      <c r="V123" s="47"/>
      <c r="W123" s="48"/>
      <c r="X123" s="49"/>
      <c r="Y123" s="47"/>
      <c r="Z123" s="48"/>
      <c r="AA123" s="49"/>
      <c r="AB123" s="47"/>
      <c r="AC123" s="48"/>
      <c r="AD123" s="49"/>
      <c r="AE123" s="47"/>
      <c r="AF123" s="48"/>
      <c r="AG123" s="49"/>
      <c r="AH123" s="47"/>
      <c r="AI123" s="48"/>
      <c r="AJ123" s="49"/>
      <c r="AK123" s="47"/>
      <c r="AL123" s="48"/>
      <c r="AM123" s="49"/>
      <c r="AN123" s="47"/>
      <c r="AO123" s="48"/>
      <c r="AP123" s="49"/>
      <c r="AQ123" s="47"/>
      <c r="AR123" s="48"/>
      <c r="AS123" s="49"/>
      <c r="AT123" s="47"/>
      <c r="AU123" s="49"/>
      <c r="AV123" s="47"/>
      <c r="AW123" s="49"/>
      <c r="AX123" s="47"/>
      <c r="AY123" s="49"/>
      <c r="AZ123" s="47"/>
      <c r="BA123" s="49"/>
      <c r="BB123" s="13"/>
      <c r="BC123" s="56" t="str">
        <f t="shared" si="0"/>
        <v>･</v>
      </c>
      <c r="BD123" s="44" t="str">
        <f t="shared" si="1"/>
        <v>･</v>
      </c>
      <c r="BE123" s="56" t="str">
        <f>IF(ISNUMBER(BC123),BC123/Eigenvalue!E20,"･")</f>
        <v>･</v>
      </c>
      <c r="BF123" s="44" t="str">
        <f>IF(ISNUMBER(BD123),BD123/Eigenvalue!E20,"･")</f>
        <v>･</v>
      </c>
      <c r="BG123" s="56" t="str">
        <f t="shared" si="2"/>
        <v>･</v>
      </c>
      <c r="BH123" s="44" t="str">
        <f t="shared" si="3"/>
        <v>･</v>
      </c>
    </row>
    <row r="124" spans="1:60" ht="9.75" hidden="1" customHeight="1">
      <c r="A124" s="5" t="str">
        <f t="shared" si="4"/>
        <v>･</v>
      </c>
      <c r="B124" s="47"/>
      <c r="C124" s="48"/>
      <c r="D124" s="48"/>
      <c r="E124" s="49"/>
      <c r="F124" s="47"/>
      <c r="G124" s="48"/>
      <c r="H124" s="48"/>
      <c r="I124" s="49"/>
      <c r="J124" s="47"/>
      <c r="K124" s="48"/>
      <c r="L124" s="48"/>
      <c r="M124" s="49"/>
      <c r="N124" s="47"/>
      <c r="O124" s="48"/>
      <c r="P124" s="48"/>
      <c r="Q124" s="49"/>
      <c r="R124" s="47"/>
      <c r="S124" s="48"/>
      <c r="T124" s="48"/>
      <c r="U124" s="49"/>
      <c r="V124" s="47"/>
      <c r="W124" s="48"/>
      <c r="X124" s="49"/>
      <c r="Y124" s="47"/>
      <c r="Z124" s="48"/>
      <c r="AA124" s="49"/>
      <c r="AB124" s="47"/>
      <c r="AC124" s="48"/>
      <c r="AD124" s="49"/>
      <c r="AE124" s="47"/>
      <c r="AF124" s="48"/>
      <c r="AG124" s="49"/>
      <c r="AH124" s="47"/>
      <c r="AI124" s="48"/>
      <c r="AJ124" s="49"/>
      <c r="AK124" s="47"/>
      <c r="AL124" s="48"/>
      <c r="AM124" s="49"/>
      <c r="AN124" s="47"/>
      <c r="AO124" s="48"/>
      <c r="AP124" s="49"/>
      <c r="AQ124" s="47"/>
      <c r="AR124" s="48"/>
      <c r="AS124" s="49"/>
      <c r="AT124" s="47"/>
      <c r="AU124" s="49"/>
      <c r="AV124" s="47"/>
      <c r="AW124" s="49"/>
      <c r="AX124" s="47"/>
      <c r="AY124" s="49"/>
      <c r="AZ124" s="47"/>
      <c r="BA124" s="49"/>
      <c r="BB124" s="13"/>
      <c r="BC124" s="56" t="str">
        <f t="shared" si="0"/>
        <v>･</v>
      </c>
      <c r="BD124" s="44" t="str">
        <f t="shared" si="1"/>
        <v>･</v>
      </c>
      <c r="BE124" s="56" t="str">
        <f>IF(ISNUMBER(BC124),BC124/Eigenvalue!E21,"･")</f>
        <v>･</v>
      </c>
      <c r="BF124" s="44" t="str">
        <f>IF(ISNUMBER(BD124),BD124/Eigenvalue!E21,"･")</f>
        <v>･</v>
      </c>
      <c r="BG124" s="56" t="str">
        <f t="shared" si="2"/>
        <v>･</v>
      </c>
      <c r="BH124" s="44" t="str">
        <f t="shared" si="3"/>
        <v>･</v>
      </c>
    </row>
    <row r="125" spans="1:60" ht="9.75" hidden="1" customHeight="1">
      <c r="A125" s="5" t="str">
        <f t="shared" si="4"/>
        <v>･</v>
      </c>
      <c r="B125" s="47"/>
      <c r="C125" s="48"/>
      <c r="D125" s="48"/>
      <c r="E125" s="49"/>
      <c r="F125" s="47"/>
      <c r="G125" s="48"/>
      <c r="H125" s="48"/>
      <c r="I125" s="49"/>
      <c r="J125" s="47"/>
      <c r="K125" s="48"/>
      <c r="L125" s="48"/>
      <c r="M125" s="49"/>
      <c r="N125" s="47"/>
      <c r="O125" s="48"/>
      <c r="P125" s="48"/>
      <c r="Q125" s="49"/>
      <c r="R125" s="47"/>
      <c r="S125" s="48"/>
      <c r="T125" s="48"/>
      <c r="U125" s="49"/>
      <c r="V125" s="47"/>
      <c r="W125" s="48"/>
      <c r="X125" s="49"/>
      <c r="Y125" s="47"/>
      <c r="Z125" s="48"/>
      <c r="AA125" s="49"/>
      <c r="AB125" s="47"/>
      <c r="AC125" s="48"/>
      <c r="AD125" s="49"/>
      <c r="AE125" s="47"/>
      <c r="AF125" s="48"/>
      <c r="AG125" s="49"/>
      <c r="AH125" s="47"/>
      <c r="AI125" s="48"/>
      <c r="AJ125" s="49"/>
      <c r="AK125" s="47"/>
      <c r="AL125" s="48"/>
      <c r="AM125" s="49"/>
      <c r="AN125" s="47"/>
      <c r="AO125" s="48"/>
      <c r="AP125" s="49"/>
      <c r="AQ125" s="47"/>
      <c r="AR125" s="48"/>
      <c r="AS125" s="49"/>
      <c r="AT125" s="47"/>
      <c r="AU125" s="49"/>
      <c r="AV125" s="47"/>
      <c r="AW125" s="49"/>
      <c r="AX125" s="47"/>
      <c r="AY125" s="49"/>
      <c r="AZ125" s="47"/>
      <c r="BA125" s="49"/>
      <c r="BB125" s="13"/>
      <c r="BC125" s="56" t="str">
        <f t="shared" si="0"/>
        <v>･</v>
      </c>
      <c r="BD125" s="44" t="str">
        <f t="shared" si="1"/>
        <v>･</v>
      </c>
      <c r="BE125" s="56" t="str">
        <f>IF(ISNUMBER(BC125),BC125/Eigenvalue!E22,"･")</f>
        <v>･</v>
      </c>
      <c r="BF125" s="44" t="str">
        <f>IF(ISNUMBER(BD125),BD125/Eigenvalue!E22,"･")</f>
        <v>･</v>
      </c>
      <c r="BG125" s="56" t="str">
        <f t="shared" si="2"/>
        <v>･</v>
      </c>
      <c r="BH125" s="44" t="str">
        <f t="shared" si="3"/>
        <v>･</v>
      </c>
    </row>
    <row r="126" spans="1:60" ht="9.75" hidden="1" customHeight="1">
      <c r="A126" s="5" t="str">
        <f t="shared" si="4"/>
        <v>･</v>
      </c>
      <c r="B126" s="47"/>
      <c r="C126" s="48"/>
      <c r="D126" s="48"/>
      <c r="E126" s="49"/>
      <c r="F126" s="47"/>
      <c r="G126" s="48"/>
      <c r="H126" s="48"/>
      <c r="I126" s="49"/>
      <c r="J126" s="47"/>
      <c r="K126" s="48"/>
      <c r="L126" s="48"/>
      <c r="M126" s="49"/>
      <c r="N126" s="47"/>
      <c r="O126" s="48"/>
      <c r="P126" s="48"/>
      <c r="Q126" s="49"/>
      <c r="R126" s="47"/>
      <c r="S126" s="48"/>
      <c r="T126" s="48"/>
      <c r="U126" s="49"/>
      <c r="V126" s="47"/>
      <c r="W126" s="48"/>
      <c r="X126" s="49"/>
      <c r="Y126" s="47"/>
      <c r="Z126" s="48"/>
      <c r="AA126" s="49"/>
      <c r="AB126" s="47"/>
      <c r="AC126" s="48"/>
      <c r="AD126" s="49"/>
      <c r="AE126" s="47"/>
      <c r="AF126" s="48"/>
      <c r="AG126" s="49"/>
      <c r="AH126" s="47"/>
      <c r="AI126" s="48"/>
      <c r="AJ126" s="49"/>
      <c r="AK126" s="47"/>
      <c r="AL126" s="48"/>
      <c r="AM126" s="49"/>
      <c r="AN126" s="47"/>
      <c r="AO126" s="48"/>
      <c r="AP126" s="49"/>
      <c r="AQ126" s="47"/>
      <c r="AR126" s="48"/>
      <c r="AS126" s="49"/>
      <c r="AT126" s="47"/>
      <c r="AU126" s="49"/>
      <c r="AV126" s="47"/>
      <c r="AW126" s="49"/>
      <c r="AX126" s="47"/>
      <c r="AY126" s="49"/>
      <c r="AZ126" s="47"/>
      <c r="BA126" s="49"/>
      <c r="BB126" s="13"/>
      <c r="BC126" s="56" t="str">
        <f t="shared" si="0"/>
        <v>･</v>
      </c>
      <c r="BD126" s="44" t="str">
        <f t="shared" si="1"/>
        <v>･</v>
      </c>
      <c r="BE126" s="56" t="str">
        <f>IF(ISNUMBER(BC126),BC126/Eigenvalue!E23,"･")</f>
        <v>･</v>
      </c>
      <c r="BF126" s="44" t="str">
        <f>IF(ISNUMBER(BD126),BD126/Eigenvalue!E23,"･")</f>
        <v>･</v>
      </c>
      <c r="BG126" s="56" t="str">
        <f t="shared" si="2"/>
        <v>･</v>
      </c>
      <c r="BH126" s="44" t="str">
        <f t="shared" si="3"/>
        <v>･</v>
      </c>
    </row>
    <row r="127" spans="1:60" ht="9.75" hidden="1" customHeight="1">
      <c r="A127" s="5" t="str">
        <f t="shared" si="4"/>
        <v>･</v>
      </c>
      <c r="B127" s="47"/>
      <c r="C127" s="48"/>
      <c r="D127" s="48"/>
      <c r="E127" s="49"/>
      <c r="F127" s="47"/>
      <c r="G127" s="48"/>
      <c r="H127" s="48"/>
      <c r="I127" s="49"/>
      <c r="J127" s="47"/>
      <c r="K127" s="48"/>
      <c r="L127" s="48"/>
      <c r="M127" s="49"/>
      <c r="N127" s="47"/>
      <c r="O127" s="48"/>
      <c r="P127" s="48"/>
      <c r="Q127" s="49"/>
      <c r="R127" s="47"/>
      <c r="S127" s="48"/>
      <c r="T127" s="48"/>
      <c r="U127" s="49"/>
      <c r="V127" s="47"/>
      <c r="W127" s="48"/>
      <c r="X127" s="49"/>
      <c r="Y127" s="47"/>
      <c r="Z127" s="48"/>
      <c r="AA127" s="49"/>
      <c r="AB127" s="47"/>
      <c r="AC127" s="48"/>
      <c r="AD127" s="49"/>
      <c r="AE127" s="47"/>
      <c r="AF127" s="48"/>
      <c r="AG127" s="49"/>
      <c r="AH127" s="47"/>
      <c r="AI127" s="48"/>
      <c r="AJ127" s="49"/>
      <c r="AK127" s="47"/>
      <c r="AL127" s="48"/>
      <c r="AM127" s="49"/>
      <c r="AN127" s="47"/>
      <c r="AO127" s="48"/>
      <c r="AP127" s="49"/>
      <c r="AQ127" s="47"/>
      <c r="AR127" s="48"/>
      <c r="AS127" s="49"/>
      <c r="AT127" s="47"/>
      <c r="AU127" s="49"/>
      <c r="AV127" s="47"/>
      <c r="AW127" s="49"/>
      <c r="AX127" s="47"/>
      <c r="AY127" s="49"/>
      <c r="AZ127" s="47"/>
      <c r="BA127" s="49"/>
      <c r="BB127" s="13"/>
      <c r="BC127" s="56" t="str">
        <f t="shared" si="0"/>
        <v>･</v>
      </c>
      <c r="BD127" s="44" t="str">
        <f t="shared" si="1"/>
        <v>･</v>
      </c>
      <c r="BE127" s="56" t="str">
        <f>IF(ISNUMBER(BC127),BC127/Eigenvalue!E24,"･")</f>
        <v>･</v>
      </c>
      <c r="BF127" s="44" t="str">
        <f>IF(ISNUMBER(BD127),BD127/Eigenvalue!E24,"･")</f>
        <v>･</v>
      </c>
      <c r="BG127" s="56" t="str">
        <f t="shared" si="2"/>
        <v>･</v>
      </c>
      <c r="BH127" s="44" t="str">
        <f t="shared" si="3"/>
        <v>･</v>
      </c>
    </row>
    <row r="128" spans="1:60" ht="9.75" hidden="1" customHeight="1">
      <c r="A128" s="5" t="str">
        <f t="shared" si="4"/>
        <v>･</v>
      </c>
      <c r="B128" s="47"/>
      <c r="C128" s="48"/>
      <c r="D128" s="48"/>
      <c r="E128" s="49"/>
      <c r="F128" s="47"/>
      <c r="G128" s="48"/>
      <c r="H128" s="48"/>
      <c r="I128" s="49"/>
      <c r="J128" s="47"/>
      <c r="K128" s="48"/>
      <c r="L128" s="48"/>
      <c r="M128" s="49"/>
      <c r="N128" s="47"/>
      <c r="O128" s="48"/>
      <c r="P128" s="48"/>
      <c r="Q128" s="49"/>
      <c r="R128" s="47"/>
      <c r="S128" s="48"/>
      <c r="T128" s="48"/>
      <c r="U128" s="49"/>
      <c r="V128" s="47"/>
      <c r="W128" s="48"/>
      <c r="X128" s="49"/>
      <c r="Y128" s="47"/>
      <c r="Z128" s="48"/>
      <c r="AA128" s="49"/>
      <c r="AB128" s="47"/>
      <c r="AC128" s="48"/>
      <c r="AD128" s="49"/>
      <c r="AE128" s="47"/>
      <c r="AF128" s="48"/>
      <c r="AG128" s="49"/>
      <c r="AH128" s="47"/>
      <c r="AI128" s="48"/>
      <c r="AJ128" s="49"/>
      <c r="AK128" s="47"/>
      <c r="AL128" s="48"/>
      <c r="AM128" s="49"/>
      <c r="AN128" s="47"/>
      <c r="AO128" s="48"/>
      <c r="AP128" s="49"/>
      <c r="AQ128" s="47"/>
      <c r="AR128" s="48"/>
      <c r="AS128" s="49"/>
      <c r="AT128" s="47"/>
      <c r="AU128" s="49"/>
      <c r="AV128" s="47"/>
      <c r="AW128" s="49"/>
      <c r="AX128" s="47"/>
      <c r="AY128" s="49"/>
      <c r="AZ128" s="47"/>
      <c r="BA128" s="49"/>
      <c r="BB128" s="13"/>
      <c r="BC128" s="56" t="str">
        <f t="shared" si="0"/>
        <v>･</v>
      </c>
      <c r="BD128" s="44" t="str">
        <f t="shared" si="1"/>
        <v>･</v>
      </c>
      <c r="BE128" s="56" t="str">
        <f>IF(ISNUMBER(BC128),BC128/Eigenvalue!E25,"･")</f>
        <v>･</v>
      </c>
      <c r="BF128" s="44" t="str">
        <f>IF(ISNUMBER(BD128),BD128/Eigenvalue!E25,"･")</f>
        <v>･</v>
      </c>
      <c r="BG128" s="56" t="str">
        <f t="shared" si="2"/>
        <v>･</v>
      </c>
      <c r="BH128" s="44" t="str">
        <f t="shared" si="3"/>
        <v>･</v>
      </c>
    </row>
    <row r="129" spans="1:60" ht="9.75" hidden="1" customHeight="1">
      <c r="A129" s="5" t="str">
        <f t="shared" si="4"/>
        <v>･</v>
      </c>
      <c r="B129" s="47"/>
      <c r="C129" s="48"/>
      <c r="D129" s="48"/>
      <c r="E129" s="49"/>
      <c r="F129" s="47"/>
      <c r="G129" s="48"/>
      <c r="H129" s="48"/>
      <c r="I129" s="49"/>
      <c r="J129" s="47"/>
      <c r="K129" s="48"/>
      <c r="L129" s="48"/>
      <c r="M129" s="49"/>
      <c r="N129" s="47"/>
      <c r="O129" s="48"/>
      <c r="P129" s="48"/>
      <c r="Q129" s="49"/>
      <c r="R129" s="47"/>
      <c r="S129" s="48"/>
      <c r="T129" s="48"/>
      <c r="U129" s="49"/>
      <c r="V129" s="47"/>
      <c r="W129" s="48"/>
      <c r="X129" s="49"/>
      <c r="Y129" s="47"/>
      <c r="Z129" s="48"/>
      <c r="AA129" s="49"/>
      <c r="AB129" s="47"/>
      <c r="AC129" s="48"/>
      <c r="AD129" s="49"/>
      <c r="AE129" s="47"/>
      <c r="AF129" s="48"/>
      <c r="AG129" s="49"/>
      <c r="AH129" s="47"/>
      <c r="AI129" s="48"/>
      <c r="AJ129" s="49"/>
      <c r="AK129" s="47"/>
      <c r="AL129" s="48"/>
      <c r="AM129" s="49"/>
      <c r="AN129" s="47"/>
      <c r="AO129" s="48"/>
      <c r="AP129" s="49"/>
      <c r="AQ129" s="47"/>
      <c r="AR129" s="48"/>
      <c r="AS129" s="49"/>
      <c r="AT129" s="47"/>
      <c r="AU129" s="49"/>
      <c r="AV129" s="47"/>
      <c r="AW129" s="49"/>
      <c r="AX129" s="47"/>
      <c r="AY129" s="49"/>
      <c r="AZ129" s="47"/>
      <c r="BA129" s="49"/>
      <c r="BB129" s="13"/>
      <c r="BC129" s="56" t="str">
        <f t="shared" si="0"/>
        <v>･</v>
      </c>
      <c r="BD129" s="44" t="str">
        <f t="shared" si="1"/>
        <v>･</v>
      </c>
      <c r="BE129" s="56" t="str">
        <f>IF(ISNUMBER(BC129),BC129/Eigenvalue!E26,"･")</f>
        <v>･</v>
      </c>
      <c r="BF129" s="44" t="str">
        <f>IF(ISNUMBER(BD129),BD129/Eigenvalue!E26,"･")</f>
        <v>･</v>
      </c>
      <c r="BG129" s="56" t="str">
        <f t="shared" si="2"/>
        <v>･</v>
      </c>
      <c r="BH129" s="44" t="str">
        <f t="shared" si="3"/>
        <v>･</v>
      </c>
    </row>
    <row r="130" spans="1:60" ht="9.75" hidden="1" customHeight="1">
      <c r="A130" s="5" t="str">
        <f t="shared" si="4"/>
        <v>･</v>
      </c>
      <c r="B130" s="47"/>
      <c r="C130" s="48"/>
      <c r="D130" s="48"/>
      <c r="E130" s="49"/>
      <c r="F130" s="47"/>
      <c r="G130" s="48"/>
      <c r="H130" s="48"/>
      <c r="I130" s="49"/>
      <c r="J130" s="47"/>
      <c r="K130" s="48"/>
      <c r="L130" s="48"/>
      <c r="M130" s="49"/>
      <c r="N130" s="47"/>
      <c r="O130" s="48"/>
      <c r="P130" s="48"/>
      <c r="Q130" s="49"/>
      <c r="R130" s="47"/>
      <c r="S130" s="48"/>
      <c r="T130" s="48"/>
      <c r="U130" s="49"/>
      <c r="V130" s="47"/>
      <c r="W130" s="48"/>
      <c r="X130" s="49"/>
      <c r="Y130" s="47"/>
      <c r="Z130" s="48"/>
      <c r="AA130" s="49"/>
      <c r="AB130" s="47"/>
      <c r="AC130" s="48"/>
      <c r="AD130" s="49"/>
      <c r="AE130" s="47"/>
      <c r="AF130" s="48"/>
      <c r="AG130" s="49"/>
      <c r="AH130" s="47"/>
      <c r="AI130" s="48"/>
      <c r="AJ130" s="49"/>
      <c r="AK130" s="47"/>
      <c r="AL130" s="48"/>
      <c r="AM130" s="49"/>
      <c r="AN130" s="47"/>
      <c r="AO130" s="48"/>
      <c r="AP130" s="49"/>
      <c r="AQ130" s="47"/>
      <c r="AR130" s="48"/>
      <c r="AS130" s="49"/>
      <c r="AT130" s="47"/>
      <c r="AU130" s="49"/>
      <c r="AV130" s="47"/>
      <c r="AW130" s="49"/>
      <c r="AX130" s="47"/>
      <c r="AY130" s="49"/>
      <c r="AZ130" s="47"/>
      <c r="BA130" s="49"/>
      <c r="BB130" s="13"/>
      <c r="BC130" s="56" t="str">
        <f t="shared" si="0"/>
        <v>･</v>
      </c>
      <c r="BD130" s="44" t="str">
        <f t="shared" si="1"/>
        <v>･</v>
      </c>
      <c r="BE130" s="56" t="str">
        <f>IF(ISNUMBER(BC130),BC130/Eigenvalue!E27,"･")</f>
        <v>･</v>
      </c>
      <c r="BF130" s="44" t="str">
        <f>IF(ISNUMBER(BD130),BD130/Eigenvalue!E27,"･")</f>
        <v>･</v>
      </c>
      <c r="BG130" s="56" t="str">
        <f t="shared" si="2"/>
        <v>･</v>
      </c>
      <c r="BH130" s="44" t="str">
        <f t="shared" si="3"/>
        <v>･</v>
      </c>
    </row>
    <row r="131" spans="1:60" ht="9.75" hidden="1" customHeight="1">
      <c r="A131" s="5" t="str">
        <f t="shared" si="4"/>
        <v>･</v>
      </c>
      <c r="B131" s="47"/>
      <c r="C131" s="48"/>
      <c r="D131" s="48"/>
      <c r="E131" s="49"/>
      <c r="F131" s="47"/>
      <c r="G131" s="48"/>
      <c r="H131" s="48"/>
      <c r="I131" s="49"/>
      <c r="J131" s="47"/>
      <c r="K131" s="48"/>
      <c r="L131" s="48"/>
      <c r="M131" s="49"/>
      <c r="N131" s="47"/>
      <c r="O131" s="48"/>
      <c r="P131" s="48"/>
      <c r="Q131" s="49"/>
      <c r="R131" s="47"/>
      <c r="S131" s="48"/>
      <c r="T131" s="48"/>
      <c r="U131" s="49"/>
      <c r="V131" s="47"/>
      <c r="W131" s="48"/>
      <c r="X131" s="49"/>
      <c r="Y131" s="47"/>
      <c r="Z131" s="48"/>
      <c r="AA131" s="49"/>
      <c r="AB131" s="47"/>
      <c r="AC131" s="48"/>
      <c r="AD131" s="49"/>
      <c r="AE131" s="47"/>
      <c r="AF131" s="48"/>
      <c r="AG131" s="49"/>
      <c r="AH131" s="47"/>
      <c r="AI131" s="48"/>
      <c r="AJ131" s="49"/>
      <c r="AK131" s="47"/>
      <c r="AL131" s="48"/>
      <c r="AM131" s="49"/>
      <c r="AN131" s="47"/>
      <c r="AO131" s="48"/>
      <c r="AP131" s="49"/>
      <c r="AQ131" s="47"/>
      <c r="AR131" s="48"/>
      <c r="AS131" s="49"/>
      <c r="AT131" s="47"/>
      <c r="AU131" s="49"/>
      <c r="AV131" s="47"/>
      <c r="AW131" s="49"/>
      <c r="AX131" s="47"/>
      <c r="AY131" s="49"/>
      <c r="AZ131" s="47"/>
      <c r="BA131" s="49"/>
      <c r="BB131" s="13"/>
      <c r="BC131" s="56" t="str">
        <f t="shared" si="0"/>
        <v>･</v>
      </c>
      <c r="BD131" s="44" t="str">
        <f t="shared" si="1"/>
        <v>･</v>
      </c>
      <c r="BE131" s="56" t="str">
        <f>IF(ISNUMBER(BC131),BC131/Eigenvalue!E28,"･")</f>
        <v>･</v>
      </c>
      <c r="BF131" s="44" t="str">
        <f>IF(ISNUMBER(BD131),BD131/Eigenvalue!E28,"･")</f>
        <v>･</v>
      </c>
      <c r="BG131" s="56" t="str">
        <f t="shared" si="2"/>
        <v>･</v>
      </c>
      <c r="BH131" s="44" t="str">
        <f t="shared" si="3"/>
        <v>･</v>
      </c>
    </row>
    <row r="132" spans="1:60" ht="9.75" hidden="1" customHeight="1">
      <c r="A132" s="5" t="str">
        <f t="shared" si="4"/>
        <v>･</v>
      </c>
      <c r="B132" s="47"/>
      <c r="C132" s="48"/>
      <c r="D132" s="48"/>
      <c r="E132" s="49"/>
      <c r="F132" s="47"/>
      <c r="G132" s="48"/>
      <c r="H132" s="48"/>
      <c r="I132" s="49"/>
      <c r="J132" s="47"/>
      <c r="K132" s="48"/>
      <c r="L132" s="48"/>
      <c r="M132" s="49"/>
      <c r="N132" s="47"/>
      <c r="O132" s="48"/>
      <c r="P132" s="48"/>
      <c r="Q132" s="49"/>
      <c r="R132" s="47"/>
      <c r="S132" s="48"/>
      <c r="T132" s="48"/>
      <c r="U132" s="49"/>
      <c r="V132" s="47"/>
      <c r="W132" s="48"/>
      <c r="X132" s="49"/>
      <c r="Y132" s="47"/>
      <c r="Z132" s="48"/>
      <c r="AA132" s="49"/>
      <c r="AB132" s="47"/>
      <c r="AC132" s="48"/>
      <c r="AD132" s="49"/>
      <c r="AE132" s="47"/>
      <c r="AF132" s="48"/>
      <c r="AG132" s="49"/>
      <c r="AH132" s="47"/>
      <c r="AI132" s="48"/>
      <c r="AJ132" s="49"/>
      <c r="AK132" s="47"/>
      <c r="AL132" s="48"/>
      <c r="AM132" s="49"/>
      <c r="AN132" s="47"/>
      <c r="AO132" s="48"/>
      <c r="AP132" s="49"/>
      <c r="AQ132" s="47"/>
      <c r="AR132" s="48"/>
      <c r="AS132" s="49"/>
      <c r="AT132" s="47"/>
      <c r="AU132" s="49"/>
      <c r="AV132" s="47"/>
      <c r="AW132" s="49"/>
      <c r="AX132" s="47"/>
      <c r="AY132" s="49"/>
      <c r="AZ132" s="47"/>
      <c r="BA132" s="49"/>
      <c r="BB132" s="13"/>
      <c r="BC132" s="56" t="str">
        <f t="shared" si="0"/>
        <v>･</v>
      </c>
      <c r="BD132" s="44" t="str">
        <f t="shared" si="1"/>
        <v>･</v>
      </c>
      <c r="BE132" s="56" t="str">
        <f>IF(ISNUMBER(BC132),BC132/Eigenvalue!E29,"･")</f>
        <v>･</v>
      </c>
      <c r="BF132" s="44" t="str">
        <f>IF(ISNUMBER(BD132),BD132/Eigenvalue!E29,"･")</f>
        <v>･</v>
      </c>
      <c r="BG132" s="56" t="str">
        <f t="shared" si="2"/>
        <v>･</v>
      </c>
      <c r="BH132" s="44" t="str">
        <f t="shared" si="3"/>
        <v>･</v>
      </c>
    </row>
    <row r="133" spans="1:60" ht="9.75" hidden="1" customHeight="1">
      <c r="A133" s="5" t="str">
        <f t="shared" si="4"/>
        <v>･</v>
      </c>
      <c r="B133" s="47"/>
      <c r="C133" s="48"/>
      <c r="D133" s="48"/>
      <c r="E133" s="49"/>
      <c r="F133" s="47"/>
      <c r="G133" s="48"/>
      <c r="H133" s="48"/>
      <c r="I133" s="49"/>
      <c r="J133" s="47"/>
      <c r="K133" s="48"/>
      <c r="L133" s="48"/>
      <c r="M133" s="49"/>
      <c r="N133" s="47"/>
      <c r="O133" s="48"/>
      <c r="P133" s="48"/>
      <c r="Q133" s="49"/>
      <c r="R133" s="47"/>
      <c r="S133" s="48"/>
      <c r="T133" s="48"/>
      <c r="U133" s="49"/>
      <c r="V133" s="47"/>
      <c r="W133" s="48"/>
      <c r="X133" s="49"/>
      <c r="Y133" s="47"/>
      <c r="Z133" s="48"/>
      <c r="AA133" s="49"/>
      <c r="AB133" s="47"/>
      <c r="AC133" s="48"/>
      <c r="AD133" s="49"/>
      <c r="AE133" s="47"/>
      <c r="AF133" s="48"/>
      <c r="AG133" s="49"/>
      <c r="AH133" s="47"/>
      <c r="AI133" s="48"/>
      <c r="AJ133" s="49"/>
      <c r="AK133" s="47"/>
      <c r="AL133" s="48"/>
      <c r="AM133" s="49"/>
      <c r="AN133" s="47"/>
      <c r="AO133" s="48"/>
      <c r="AP133" s="49"/>
      <c r="AQ133" s="47"/>
      <c r="AR133" s="48"/>
      <c r="AS133" s="49"/>
      <c r="AT133" s="47"/>
      <c r="AU133" s="49"/>
      <c r="AV133" s="47"/>
      <c r="AW133" s="49"/>
      <c r="AX133" s="47"/>
      <c r="AY133" s="49"/>
      <c r="AZ133" s="47"/>
      <c r="BA133" s="49"/>
      <c r="BB133" s="13"/>
      <c r="BC133" s="56" t="str">
        <f t="shared" si="0"/>
        <v>･</v>
      </c>
      <c r="BD133" s="44" t="str">
        <f t="shared" si="1"/>
        <v>･</v>
      </c>
      <c r="BE133" s="56" t="str">
        <f>IF(ISNUMBER(BC133),BC133/Eigenvalue!E30,"･")</f>
        <v>･</v>
      </c>
      <c r="BF133" s="44" t="str">
        <f>IF(ISNUMBER(BD133),BD133/Eigenvalue!E30,"･")</f>
        <v>･</v>
      </c>
      <c r="BG133" s="56" t="str">
        <f t="shared" si="2"/>
        <v>･</v>
      </c>
      <c r="BH133" s="44" t="str">
        <f t="shared" si="3"/>
        <v>･</v>
      </c>
    </row>
    <row r="134" spans="1:60" ht="9.75" hidden="1" customHeight="1">
      <c r="A134" s="5" t="str">
        <f t="shared" si="4"/>
        <v>･</v>
      </c>
      <c r="B134" s="47"/>
      <c r="C134" s="48"/>
      <c r="D134" s="48"/>
      <c r="E134" s="49"/>
      <c r="F134" s="47"/>
      <c r="G134" s="48"/>
      <c r="H134" s="48"/>
      <c r="I134" s="49"/>
      <c r="J134" s="47"/>
      <c r="K134" s="48"/>
      <c r="L134" s="48"/>
      <c r="M134" s="49"/>
      <c r="N134" s="47"/>
      <c r="O134" s="48"/>
      <c r="P134" s="48"/>
      <c r="Q134" s="49"/>
      <c r="R134" s="47"/>
      <c r="S134" s="48"/>
      <c r="T134" s="48"/>
      <c r="U134" s="49"/>
      <c r="V134" s="47"/>
      <c r="W134" s="48"/>
      <c r="X134" s="49"/>
      <c r="Y134" s="47"/>
      <c r="Z134" s="48"/>
      <c r="AA134" s="49"/>
      <c r="AB134" s="47"/>
      <c r="AC134" s="48"/>
      <c r="AD134" s="49"/>
      <c r="AE134" s="47"/>
      <c r="AF134" s="48"/>
      <c r="AG134" s="49"/>
      <c r="AH134" s="47"/>
      <c r="AI134" s="48"/>
      <c r="AJ134" s="49"/>
      <c r="AK134" s="47"/>
      <c r="AL134" s="48"/>
      <c r="AM134" s="49"/>
      <c r="AN134" s="47"/>
      <c r="AO134" s="48"/>
      <c r="AP134" s="49"/>
      <c r="AQ134" s="47"/>
      <c r="AR134" s="48"/>
      <c r="AS134" s="49"/>
      <c r="AT134" s="47"/>
      <c r="AU134" s="49"/>
      <c r="AV134" s="47"/>
      <c r="AW134" s="49"/>
      <c r="AX134" s="47"/>
      <c r="AY134" s="49"/>
      <c r="AZ134" s="47"/>
      <c r="BA134" s="49"/>
      <c r="BB134" s="13"/>
      <c r="BC134" s="56" t="str">
        <f t="shared" si="0"/>
        <v>･</v>
      </c>
      <c r="BD134" s="44" t="str">
        <f t="shared" si="1"/>
        <v>･</v>
      </c>
      <c r="BE134" s="56" t="str">
        <f>IF(ISNUMBER(BC134),BC134/Eigenvalue!E31,"･")</f>
        <v>･</v>
      </c>
      <c r="BF134" s="44" t="str">
        <f>IF(ISNUMBER(BD134),BD134/Eigenvalue!E31,"･")</f>
        <v>･</v>
      </c>
      <c r="BG134" s="56" t="str">
        <f t="shared" si="2"/>
        <v>･</v>
      </c>
      <c r="BH134" s="44" t="str">
        <f t="shared" si="3"/>
        <v>･</v>
      </c>
    </row>
    <row r="135" spans="1:60" ht="9.75" hidden="1" customHeight="1">
      <c r="A135" s="5" t="str">
        <f t="shared" si="4"/>
        <v>･</v>
      </c>
      <c r="B135" s="47"/>
      <c r="C135" s="48"/>
      <c r="D135" s="48"/>
      <c r="E135" s="49"/>
      <c r="F135" s="47"/>
      <c r="G135" s="48"/>
      <c r="H135" s="48"/>
      <c r="I135" s="49"/>
      <c r="J135" s="47"/>
      <c r="K135" s="48"/>
      <c r="L135" s="48"/>
      <c r="M135" s="49"/>
      <c r="N135" s="47"/>
      <c r="O135" s="48"/>
      <c r="P135" s="48"/>
      <c r="Q135" s="49"/>
      <c r="R135" s="47"/>
      <c r="S135" s="48"/>
      <c r="T135" s="48"/>
      <c r="U135" s="49"/>
      <c r="V135" s="47"/>
      <c r="W135" s="48"/>
      <c r="X135" s="49"/>
      <c r="Y135" s="47"/>
      <c r="Z135" s="48"/>
      <c r="AA135" s="49"/>
      <c r="AB135" s="47"/>
      <c r="AC135" s="48"/>
      <c r="AD135" s="49"/>
      <c r="AE135" s="47"/>
      <c r="AF135" s="48"/>
      <c r="AG135" s="49"/>
      <c r="AH135" s="47"/>
      <c r="AI135" s="48"/>
      <c r="AJ135" s="49"/>
      <c r="AK135" s="47"/>
      <c r="AL135" s="48"/>
      <c r="AM135" s="49"/>
      <c r="AN135" s="47"/>
      <c r="AO135" s="48"/>
      <c r="AP135" s="49"/>
      <c r="AQ135" s="47"/>
      <c r="AR135" s="48"/>
      <c r="AS135" s="49"/>
      <c r="AT135" s="47"/>
      <c r="AU135" s="49"/>
      <c r="AV135" s="47"/>
      <c r="AW135" s="49"/>
      <c r="AX135" s="47"/>
      <c r="AY135" s="49"/>
      <c r="AZ135" s="47"/>
      <c r="BA135" s="49"/>
      <c r="BB135" s="13"/>
      <c r="BC135" s="56" t="str">
        <f t="shared" si="0"/>
        <v>･</v>
      </c>
      <c r="BD135" s="44" t="str">
        <f t="shared" si="1"/>
        <v>･</v>
      </c>
      <c r="BE135" s="56" t="str">
        <f>IF(ISNUMBER(BC135),BC135/Eigenvalue!E32,"･")</f>
        <v>･</v>
      </c>
      <c r="BF135" s="44" t="str">
        <f>IF(ISNUMBER(BD135),BD135/Eigenvalue!E32,"･")</f>
        <v>･</v>
      </c>
      <c r="BG135" s="56" t="str">
        <f t="shared" si="2"/>
        <v>･</v>
      </c>
      <c r="BH135" s="44" t="str">
        <f t="shared" si="3"/>
        <v>･</v>
      </c>
    </row>
    <row r="136" spans="1:60" ht="9.75" hidden="1" customHeight="1">
      <c r="A136" s="5" t="str">
        <f t="shared" si="4"/>
        <v>･</v>
      </c>
      <c r="B136" s="47"/>
      <c r="C136" s="48"/>
      <c r="D136" s="48"/>
      <c r="E136" s="49"/>
      <c r="F136" s="47"/>
      <c r="G136" s="48"/>
      <c r="H136" s="48"/>
      <c r="I136" s="49"/>
      <c r="J136" s="47"/>
      <c r="K136" s="48"/>
      <c r="L136" s="48"/>
      <c r="M136" s="49"/>
      <c r="N136" s="47"/>
      <c r="O136" s="48"/>
      <c r="P136" s="48"/>
      <c r="Q136" s="49"/>
      <c r="R136" s="47"/>
      <c r="S136" s="48"/>
      <c r="T136" s="48"/>
      <c r="U136" s="49"/>
      <c r="V136" s="47"/>
      <c r="W136" s="48"/>
      <c r="X136" s="49"/>
      <c r="Y136" s="47"/>
      <c r="Z136" s="48"/>
      <c r="AA136" s="49"/>
      <c r="AB136" s="47"/>
      <c r="AC136" s="48"/>
      <c r="AD136" s="49"/>
      <c r="AE136" s="47"/>
      <c r="AF136" s="48"/>
      <c r="AG136" s="49"/>
      <c r="AH136" s="47"/>
      <c r="AI136" s="48"/>
      <c r="AJ136" s="49"/>
      <c r="AK136" s="47"/>
      <c r="AL136" s="48"/>
      <c r="AM136" s="49"/>
      <c r="AN136" s="47"/>
      <c r="AO136" s="48"/>
      <c r="AP136" s="49"/>
      <c r="AQ136" s="47"/>
      <c r="AR136" s="48"/>
      <c r="AS136" s="49"/>
      <c r="AT136" s="47"/>
      <c r="AU136" s="49"/>
      <c r="AV136" s="47"/>
      <c r="AW136" s="49"/>
      <c r="AX136" s="47"/>
      <c r="AY136" s="49"/>
      <c r="AZ136" s="47"/>
      <c r="BA136" s="49"/>
      <c r="BB136" s="13"/>
      <c r="BC136" s="56" t="str">
        <f t="shared" si="0"/>
        <v>･</v>
      </c>
      <c r="BD136" s="44" t="str">
        <f t="shared" si="1"/>
        <v>･</v>
      </c>
      <c r="BE136" s="56" t="str">
        <f>IF(ISNUMBER(BC136),BC136/Eigenvalue!E33,"･")</f>
        <v>･</v>
      </c>
      <c r="BF136" s="44" t="str">
        <f>IF(ISNUMBER(BD136),BD136/Eigenvalue!E33,"･")</f>
        <v>･</v>
      </c>
      <c r="BG136" s="56" t="str">
        <f t="shared" si="2"/>
        <v>･</v>
      </c>
      <c r="BH136" s="44" t="str">
        <f t="shared" si="3"/>
        <v>･</v>
      </c>
    </row>
    <row r="137" spans="1:60" ht="9.75" hidden="1" customHeight="1">
      <c r="A137" s="5" t="str">
        <f t="shared" si="4"/>
        <v>･</v>
      </c>
      <c r="B137" s="47"/>
      <c r="C137" s="48"/>
      <c r="D137" s="48"/>
      <c r="E137" s="49"/>
      <c r="F137" s="47"/>
      <c r="G137" s="48"/>
      <c r="H137" s="48"/>
      <c r="I137" s="49"/>
      <c r="J137" s="47"/>
      <c r="K137" s="48"/>
      <c r="L137" s="48"/>
      <c r="M137" s="49"/>
      <c r="N137" s="47"/>
      <c r="O137" s="48"/>
      <c r="P137" s="48"/>
      <c r="Q137" s="49"/>
      <c r="R137" s="47"/>
      <c r="S137" s="48"/>
      <c r="T137" s="48"/>
      <c r="U137" s="49"/>
      <c r="V137" s="47"/>
      <c r="W137" s="48"/>
      <c r="X137" s="49"/>
      <c r="Y137" s="47"/>
      <c r="Z137" s="48"/>
      <c r="AA137" s="49"/>
      <c r="AB137" s="47"/>
      <c r="AC137" s="48"/>
      <c r="AD137" s="49"/>
      <c r="AE137" s="47"/>
      <c r="AF137" s="48"/>
      <c r="AG137" s="49"/>
      <c r="AH137" s="47"/>
      <c r="AI137" s="48"/>
      <c r="AJ137" s="49"/>
      <c r="AK137" s="47"/>
      <c r="AL137" s="48"/>
      <c r="AM137" s="49"/>
      <c r="AN137" s="47"/>
      <c r="AO137" s="48"/>
      <c r="AP137" s="49"/>
      <c r="AQ137" s="47"/>
      <c r="AR137" s="48"/>
      <c r="AS137" s="49"/>
      <c r="AT137" s="47"/>
      <c r="AU137" s="49"/>
      <c r="AV137" s="47"/>
      <c r="AW137" s="49"/>
      <c r="AX137" s="47"/>
      <c r="AY137" s="49"/>
      <c r="AZ137" s="47"/>
      <c r="BA137" s="49"/>
      <c r="BB137" s="13"/>
      <c r="BC137" s="56" t="str">
        <f t="shared" si="0"/>
        <v>･</v>
      </c>
      <c r="BD137" s="44" t="str">
        <f t="shared" si="1"/>
        <v>･</v>
      </c>
      <c r="BE137" s="56" t="str">
        <f>IF(ISNUMBER(BC137),BC137/Eigenvalue!E34,"･")</f>
        <v>･</v>
      </c>
      <c r="BF137" s="44" t="str">
        <f>IF(ISNUMBER(BD137),BD137/Eigenvalue!E34,"･")</f>
        <v>･</v>
      </c>
      <c r="BG137" s="56" t="str">
        <f t="shared" si="2"/>
        <v>･</v>
      </c>
      <c r="BH137" s="44" t="str">
        <f t="shared" si="3"/>
        <v>･</v>
      </c>
    </row>
    <row r="138" spans="1:60" ht="9.75" hidden="1" customHeight="1">
      <c r="A138" s="5" t="str">
        <f t="shared" si="4"/>
        <v>･</v>
      </c>
      <c r="B138" s="47"/>
      <c r="C138" s="48"/>
      <c r="D138" s="48"/>
      <c r="E138" s="49"/>
      <c r="F138" s="47"/>
      <c r="G138" s="48"/>
      <c r="H138" s="48"/>
      <c r="I138" s="49"/>
      <c r="J138" s="47"/>
      <c r="K138" s="48"/>
      <c r="L138" s="48"/>
      <c r="M138" s="49"/>
      <c r="N138" s="47"/>
      <c r="O138" s="48"/>
      <c r="P138" s="48"/>
      <c r="Q138" s="49"/>
      <c r="R138" s="47"/>
      <c r="S138" s="48"/>
      <c r="T138" s="48"/>
      <c r="U138" s="49"/>
      <c r="V138" s="47"/>
      <c r="W138" s="48"/>
      <c r="X138" s="49"/>
      <c r="Y138" s="47"/>
      <c r="Z138" s="48"/>
      <c r="AA138" s="49"/>
      <c r="AB138" s="47"/>
      <c r="AC138" s="48"/>
      <c r="AD138" s="49"/>
      <c r="AE138" s="47"/>
      <c r="AF138" s="48"/>
      <c r="AG138" s="49"/>
      <c r="AH138" s="47"/>
      <c r="AI138" s="48"/>
      <c r="AJ138" s="49"/>
      <c r="AK138" s="47"/>
      <c r="AL138" s="48"/>
      <c r="AM138" s="49"/>
      <c r="AN138" s="47"/>
      <c r="AO138" s="48"/>
      <c r="AP138" s="49"/>
      <c r="AQ138" s="47"/>
      <c r="AR138" s="48"/>
      <c r="AS138" s="49"/>
      <c r="AT138" s="47"/>
      <c r="AU138" s="49"/>
      <c r="AV138" s="47"/>
      <c r="AW138" s="49"/>
      <c r="AX138" s="47"/>
      <c r="AY138" s="49"/>
      <c r="AZ138" s="47"/>
      <c r="BA138" s="49"/>
      <c r="BB138" s="13"/>
      <c r="BC138" s="56" t="str">
        <f t="shared" ref="BC138:BC155" si="5">IF(ISNUMBER(V138),IF(BC$104="μ=η/2+1",V138,IF(BC$104="manual5.3",W138,X138)),"･")</f>
        <v>･</v>
      </c>
      <c r="BD138" s="44" t="str">
        <f t="shared" ref="BD138:BD155" si="6">IF(ISNUMBER(Y138),IF(BC$104="μ=η/2+1",Y138,IF(BC$104="manual5.3",Z138,AA138)),"･")</f>
        <v>･</v>
      </c>
      <c r="BE138" s="56" t="str">
        <f>IF(ISNUMBER(BC138),BC138/Eigenvalue!E35,"･")</f>
        <v>･</v>
      </c>
      <c r="BF138" s="44" t="str">
        <f>IF(ISNUMBER(BD138),BD138/Eigenvalue!E35,"･")</f>
        <v>･</v>
      </c>
      <c r="BG138" s="56" t="str">
        <f t="shared" ref="BG138:BG155" si="7">IF(ISNUMBER(AB138),IF(BC$104="μ=η/2+1",AB138,IF(BC$104="manual5.3",AC138,AD138)),"･")</f>
        <v>･</v>
      </c>
      <c r="BH138" s="44" t="str">
        <f t="shared" ref="BH138:BH155" si="8">IF(ISNUMBER(AE138),IF(BC$104="μ=η/2+1",AE138,IF(BC$104="manual5.3",AF138,AG138)),"･")</f>
        <v>･</v>
      </c>
    </row>
    <row r="139" spans="1:60" ht="9.75" hidden="1" customHeight="1">
      <c r="A139" s="5" t="str">
        <f t="shared" si="4"/>
        <v>･</v>
      </c>
      <c r="B139" s="47"/>
      <c r="C139" s="48"/>
      <c r="D139" s="48"/>
      <c r="E139" s="49"/>
      <c r="F139" s="47"/>
      <c r="G139" s="48"/>
      <c r="H139" s="48"/>
      <c r="I139" s="49"/>
      <c r="J139" s="47"/>
      <c r="K139" s="48"/>
      <c r="L139" s="48"/>
      <c r="M139" s="49"/>
      <c r="N139" s="47"/>
      <c r="O139" s="48"/>
      <c r="P139" s="48"/>
      <c r="Q139" s="49"/>
      <c r="R139" s="47"/>
      <c r="S139" s="48"/>
      <c r="T139" s="48"/>
      <c r="U139" s="49"/>
      <c r="V139" s="47"/>
      <c r="W139" s="48"/>
      <c r="X139" s="49"/>
      <c r="Y139" s="47"/>
      <c r="Z139" s="48"/>
      <c r="AA139" s="49"/>
      <c r="AB139" s="47"/>
      <c r="AC139" s="48"/>
      <c r="AD139" s="49"/>
      <c r="AE139" s="47"/>
      <c r="AF139" s="48"/>
      <c r="AG139" s="49"/>
      <c r="AH139" s="47"/>
      <c r="AI139" s="48"/>
      <c r="AJ139" s="49"/>
      <c r="AK139" s="47"/>
      <c r="AL139" s="48"/>
      <c r="AM139" s="49"/>
      <c r="AN139" s="47"/>
      <c r="AO139" s="48"/>
      <c r="AP139" s="49"/>
      <c r="AQ139" s="47"/>
      <c r="AR139" s="48"/>
      <c r="AS139" s="49"/>
      <c r="AT139" s="47"/>
      <c r="AU139" s="49"/>
      <c r="AV139" s="47"/>
      <c r="AW139" s="49"/>
      <c r="AX139" s="47"/>
      <c r="AY139" s="49"/>
      <c r="AZ139" s="47"/>
      <c r="BA139" s="49"/>
      <c r="BB139" s="13"/>
      <c r="BC139" s="56" t="str">
        <f t="shared" si="5"/>
        <v>･</v>
      </c>
      <c r="BD139" s="44" t="str">
        <f t="shared" si="6"/>
        <v>･</v>
      </c>
      <c r="BE139" s="56" t="str">
        <f>IF(ISNUMBER(BC139),BC139/Eigenvalue!E36,"･")</f>
        <v>･</v>
      </c>
      <c r="BF139" s="44" t="str">
        <f>IF(ISNUMBER(BD139),BD139/Eigenvalue!E36,"･")</f>
        <v>･</v>
      </c>
      <c r="BG139" s="56" t="str">
        <f t="shared" si="7"/>
        <v>･</v>
      </c>
      <c r="BH139" s="44" t="str">
        <f t="shared" si="8"/>
        <v>･</v>
      </c>
    </row>
    <row r="140" spans="1:60" ht="9.75" hidden="1" customHeight="1">
      <c r="A140" s="5" t="str">
        <f t="shared" si="4"/>
        <v>･</v>
      </c>
      <c r="B140" s="47"/>
      <c r="C140" s="48"/>
      <c r="D140" s="48"/>
      <c r="E140" s="49"/>
      <c r="F140" s="47"/>
      <c r="G140" s="48"/>
      <c r="H140" s="48"/>
      <c r="I140" s="49"/>
      <c r="J140" s="47"/>
      <c r="K140" s="48"/>
      <c r="L140" s="48"/>
      <c r="M140" s="49"/>
      <c r="N140" s="47"/>
      <c r="O140" s="48"/>
      <c r="P140" s="48"/>
      <c r="Q140" s="49"/>
      <c r="R140" s="47"/>
      <c r="S140" s="48"/>
      <c r="T140" s="48"/>
      <c r="U140" s="49"/>
      <c r="V140" s="47"/>
      <c r="W140" s="48"/>
      <c r="X140" s="49"/>
      <c r="Y140" s="47"/>
      <c r="Z140" s="48"/>
      <c r="AA140" s="49"/>
      <c r="AB140" s="47"/>
      <c r="AC140" s="48"/>
      <c r="AD140" s="49"/>
      <c r="AE140" s="47"/>
      <c r="AF140" s="48"/>
      <c r="AG140" s="49"/>
      <c r="AH140" s="47"/>
      <c r="AI140" s="48"/>
      <c r="AJ140" s="49"/>
      <c r="AK140" s="47"/>
      <c r="AL140" s="48"/>
      <c r="AM140" s="49"/>
      <c r="AN140" s="47"/>
      <c r="AO140" s="48"/>
      <c r="AP140" s="49"/>
      <c r="AQ140" s="47"/>
      <c r="AR140" s="48"/>
      <c r="AS140" s="49"/>
      <c r="AT140" s="47"/>
      <c r="AU140" s="49"/>
      <c r="AV140" s="47"/>
      <c r="AW140" s="49"/>
      <c r="AX140" s="47"/>
      <c r="AY140" s="49"/>
      <c r="AZ140" s="47"/>
      <c r="BA140" s="49"/>
      <c r="BB140" s="13"/>
      <c r="BC140" s="56" t="str">
        <f t="shared" si="5"/>
        <v>･</v>
      </c>
      <c r="BD140" s="44" t="str">
        <f t="shared" si="6"/>
        <v>･</v>
      </c>
      <c r="BE140" s="56" t="str">
        <f>IF(ISNUMBER(BC140),BC140/Eigenvalue!E37,"･")</f>
        <v>･</v>
      </c>
      <c r="BF140" s="44" t="str">
        <f>IF(ISNUMBER(BD140),BD140/Eigenvalue!E37,"･")</f>
        <v>･</v>
      </c>
      <c r="BG140" s="56" t="str">
        <f t="shared" si="7"/>
        <v>･</v>
      </c>
      <c r="BH140" s="44" t="str">
        <f t="shared" si="8"/>
        <v>･</v>
      </c>
    </row>
    <row r="141" spans="1:60" ht="9.75" hidden="1" customHeight="1">
      <c r="A141" s="5" t="str">
        <f t="shared" si="4"/>
        <v>･</v>
      </c>
      <c r="B141" s="47"/>
      <c r="C141" s="48"/>
      <c r="D141" s="48"/>
      <c r="E141" s="49"/>
      <c r="F141" s="47"/>
      <c r="G141" s="48"/>
      <c r="H141" s="48"/>
      <c r="I141" s="49"/>
      <c r="J141" s="47"/>
      <c r="K141" s="48"/>
      <c r="L141" s="48"/>
      <c r="M141" s="49"/>
      <c r="N141" s="47"/>
      <c r="O141" s="48"/>
      <c r="P141" s="48"/>
      <c r="Q141" s="49"/>
      <c r="R141" s="47"/>
      <c r="S141" s="48"/>
      <c r="T141" s="48"/>
      <c r="U141" s="49"/>
      <c r="V141" s="47"/>
      <c r="W141" s="48"/>
      <c r="X141" s="49"/>
      <c r="Y141" s="47"/>
      <c r="Z141" s="48"/>
      <c r="AA141" s="49"/>
      <c r="AB141" s="47"/>
      <c r="AC141" s="48"/>
      <c r="AD141" s="49"/>
      <c r="AE141" s="47"/>
      <c r="AF141" s="48"/>
      <c r="AG141" s="49"/>
      <c r="AH141" s="47"/>
      <c r="AI141" s="48"/>
      <c r="AJ141" s="49"/>
      <c r="AK141" s="47"/>
      <c r="AL141" s="48"/>
      <c r="AM141" s="49"/>
      <c r="AN141" s="47"/>
      <c r="AO141" s="48"/>
      <c r="AP141" s="49"/>
      <c r="AQ141" s="47"/>
      <c r="AR141" s="48"/>
      <c r="AS141" s="49"/>
      <c r="AT141" s="47"/>
      <c r="AU141" s="49"/>
      <c r="AV141" s="47"/>
      <c r="AW141" s="49"/>
      <c r="AX141" s="47"/>
      <c r="AY141" s="49"/>
      <c r="AZ141" s="47"/>
      <c r="BA141" s="49"/>
      <c r="BB141" s="13"/>
      <c r="BC141" s="56" t="str">
        <f t="shared" si="5"/>
        <v>･</v>
      </c>
      <c r="BD141" s="44" t="str">
        <f t="shared" si="6"/>
        <v>･</v>
      </c>
      <c r="BE141" s="56" t="str">
        <f>IF(ISNUMBER(BC141),BC141/Eigenvalue!E38,"･")</f>
        <v>･</v>
      </c>
      <c r="BF141" s="44" t="str">
        <f>IF(ISNUMBER(BD141),BD141/Eigenvalue!E38,"･")</f>
        <v>･</v>
      </c>
      <c r="BG141" s="56" t="str">
        <f t="shared" si="7"/>
        <v>･</v>
      </c>
      <c r="BH141" s="44" t="str">
        <f t="shared" si="8"/>
        <v>･</v>
      </c>
    </row>
    <row r="142" spans="1:60" ht="9.75" hidden="1" customHeight="1">
      <c r="A142" s="5" t="str">
        <f t="shared" si="4"/>
        <v>･</v>
      </c>
      <c r="B142" s="47"/>
      <c r="C142" s="48"/>
      <c r="D142" s="48"/>
      <c r="E142" s="49"/>
      <c r="F142" s="47"/>
      <c r="G142" s="48"/>
      <c r="H142" s="48"/>
      <c r="I142" s="49"/>
      <c r="J142" s="47"/>
      <c r="K142" s="48"/>
      <c r="L142" s="48"/>
      <c r="M142" s="49"/>
      <c r="N142" s="47"/>
      <c r="O142" s="48"/>
      <c r="P142" s="48"/>
      <c r="Q142" s="49"/>
      <c r="R142" s="47"/>
      <c r="S142" s="48"/>
      <c r="T142" s="48"/>
      <c r="U142" s="49"/>
      <c r="V142" s="47"/>
      <c r="W142" s="48"/>
      <c r="X142" s="49"/>
      <c r="Y142" s="47"/>
      <c r="Z142" s="48"/>
      <c r="AA142" s="49"/>
      <c r="AB142" s="47"/>
      <c r="AC142" s="48"/>
      <c r="AD142" s="49"/>
      <c r="AE142" s="47"/>
      <c r="AF142" s="48"/>
      <c r="AG142" s="49"/>
      <c r="AH142" s="47"/>
      <c r="AI142" s="48"/>
      <c r="AJ142" s="49"/>
      <c r="AK142" s="47"/>
      <c r="AL142" s="48"/>
      <c r="AM142" s="49"/>
      <c r="AN142" s="47"/>
      <c r="AO142" s="48"/>
      <c r="AP142" s="49"/>
      <c r="AQ142" s="47"/>
      <c r="AR142" s="48"/>
      <c r="AS142" s="49"/>
      <c r="AT142" s="47"/>
      <c r="AU142" s="49"/>
      <c r="AV142" s="47"/>
      <c r="AW142" s="49"/>
      <c r="AX142" s="47"/>
      <c r="AY142" s="49"/>
      <c r="AZ142" s="47"/>
      <c r="BA142" s="49"/>
      <c r="BB142" s="13"/>
      <c r="BC142" s="56" t="str">
        <f t="shared" si="5"/>
        <v>･</v>
      </c>
      <c r="BD142" s="44" t="str">
        <f t="shared" si="6"/>
        <v>･</v>
      </c>
      <c r="BE142" s="56" t="str">
        <f>IF(ISNUMBER(BC142),BC142/Eigenvalue!E39,"･")</f>
        <v>･</v>
      </c>
      <c r="BF142" s="44" t="str">
        <f>IF(ISNUMBER(BD142),BD142/Eigenvalue!E39,"･")</f>
        <v>･</v>
      </c>
      <c r="BG142" s="56" t="str">
        <f t="shared" si="7"/>
        <v>･</v>
      </c>
      <c r="BH142" s="44" t="str">
        <f t="shared" si="8"/>
        <v>･</v>
      </c>
    </row>
    <row r="143" spans="1:60" ht="9.75" hidden="1" customHeight="1">
      <c r="A143" s="5" t="str">
        <f t="shared" si="4"/>
        <v>･</v>
      </c>
      <c r="B143" s="47"/>
      <c r="C143" s="48"/>
      <c r="D143" s="48"/>
      <c r="E143" s="49"/>
      <c r="F143" s="47"/>
      <c r="G143" s="48"/>
      <c r="H143" s="48"/>
      <c r="I143" s="49"/>
      <c r="J143" s="47"/>
      <c r="K143" s="48"/>
      <c r="L143" s="48"/>
      <c r="M143" s="49"/>
      <c r="N143" s="47"/>
      <c r="O143" s="48"/>
      <c r="P143" s="48"/>
      <c r="Q143" s="49"/>
      <c r="R143" s="47"/>
      <c r="S143" s="48"/>
      <c r="T143" s="48"/>
      <c r="U143" s="49"/>
      <c r="V143" s="47"/>
      <c r="W143" s="48"/>
      <c r="X143" s="49"/>
      <c r="Y143" s="47"/>
      <c r="Z143" s="48"/>
      <c r="AA143" s="49"/>
      <c r="AB143" s="47"/>
      <c r="AC143" s="48"/>
      <c r="AD143" s="49"/>
      <c r="AE143" s="47"/>
      <c r="AF143" s="48"/>
      <c r="AG143" s="49"/>
      <c r="AH143" s="47"/>
      <c r="AI143" s="48"/>
      <c r="AJ143" s="49"/>
      <c r="AK143" s="47"/>
      <c r="AL143" s="48"/>
      <c r="AM143" s="49"/>
      <c r="AN143" s="47"/>
      <c r="AO143" s="48"/>
      <c r="AP143" s="49"/>
      <c r="AQ143" s="47"/>
      <c r="AR143" s="48"/>
      <c r="AS143" s="49"/>
      <c r="AT143" s="47"/>
      <c r="AU143" s="49"/>
      <c r="AV143" s="47"/>
      <c r="AW143" s="49"/>
      <c r="AX143" s="47"/>
      <c r="AY143" s="49"/>
      <c r="AZ143" s="47"/>
      <c r="BA143" s="49"/>
      <c r="BB143" s="13"/>
      <c r="BC143" s="56" t="str">
        <f t="shared" si="5"/>
        <v>･</v>
      </c>
      <c r="BD143" s="44" t="str">
        <f t="shared" si="6"/>
        <v>･</v>
      </c>
      <c r="BE143" s="56" t="str">
        <f>IF(ISNUMBER(BC143),BC143/Eigenvalue!E40,"･")</f>
        <v>･</v>
      </c>
      <c r="BF143" s="44" t="str">
        <f>IF(ISNUMBER(BD143),BD143/Eigenvalue!E40,"･")</f>
        <v>･</v>
      </c>
      <c r="BG143" s="56" t="str">
        <f t="shared" si="7"/>
        <v>･</v>
      </c>
      <c r="BH143" s="44" t="str">
        <f t="shared" si="8"/>
        <v>･</v>
      </c>
    </row>
    <row r="144" spans="1:60" ht="9.75" hidden="1" customHeight="1">
      <c r="A144" s="5" t="str">
        <f t="shared" si="4"/>
        <v>･</v>
      </c>
      <c r="B144" s="47"/>
      <c r="C144" s="48"/>
      <c r="D144" s="48"/>
      <c r="E144" s="49"/>
      <c r="F144" s="47"/>
      <c r="G144" s="48"/>
      <c r="H144" s="48"/>
      <c r="I144" s="49"/>
      <c r="J144" s="47"/>
      <c r="K144" s="48"/>
      <c r="L144" s="48"/>
      <c r="M144" s="49"/>
      <c r="N144" s="47"/>
      <c r="O144" s="48"/>
      <c r="P144" s="48"/>
      <c r="Q144" s="49"/>
      <c r="R144" s="47"/>
      <c r="S144" s="48"/>
      <c r="T144" s="48"/>
      <c r="U144" s="49"/>
      <c r="V144" s="47"/>
      <c r="W144" s="48"/>
      <c r="X144" s="49"/>
      <c r="Y144" s="47"/>
      <c r="Z144" s="48"/>
      <c r="AA144" s="49"/>
      <c r="AB144" s="47"/>
      <c r="AC144" s="48"/>
      <c r="AD144" s="49"/>
      <c r="AE144" s="47"/>
      <c r="AF144" s="48"/>
      <c r="AG144" s="49"/>
      <c r="AH144" s="47"/>
      <c r="AI144" s="48"/>
      <c r="AJ144" s="49"/>
      <c r="AK144" s="47"/>
      <c r="AL144" s="48"/>
      <c r="AM144" s="49"/>
      <c r="AN144" s="47"/>
      <c r="AO144" s="48"/>
      <c r="AP144" s="49"/>
      <c r="AQ144" s="47"/>
      <c r="AR144" s="48"/>
      <c r="AS144" s="49"/>
      <c r="AT144" s="47"/>
      <c r="AU144" s="49"/>
      <c r="AV144" s="47"/>
      <c r="AW144" s="49"/>
      <c r="AX144" s="47"/>
      <c r="AY144" s="49"/>
      <c r="AZ144" s="47"/>
      <c r="BA144" s="49"/>
      <c r="BB144" s="13"/>
      <c r="BC144" s="56" t="str">
        <f t="shared" si="5"/>
        <v>･</v>
      </c>
      <c r="BD144" s="44" t="str">
        <f t="shared" si="6"/>
        <v>･</v>
      </c>
      <c r="BE144" s="56" t="str">
        <f>IF(ISNUMBER(BC144),BC144/Eigenvalue!E41,"･")</f>
        <v>･</v>
      </c>
      <c r="BF144" s="44" t="str">
        <f>IF(ISNUMBER(BD144),BD144/Eigenvalue!E41,"･")</f>
        <v>･</v>
      </c>
      <c r="BG144" s="56" t="str">
        <f t="shared" si="7"/>
        <v>･</v>
      </c>
      <c r="BH144" s="44" t="str">
        <f t="shared" si="8"/>
        <v>･</v>
      </c>
    </row>
    <row r="145" spans="1:60" ht="9.75" hidden="1" customHeight="1">
      <c r="A145" s="5" t="str">
        <f t="shared" si="4"/>
        <v>･</v>
      </c>
      <c r="B145" s="47"/>
      <c r="C145" s="48"/>
      <c r="D145" s="48"/>
      <c r="E145" s="49"/>
      <c r="F145" s="47"/>
      <c r="G145" s="48"/>
      <c r="H145" s="48"/>
      <c r="I145" s="49"/>
      <c r="J145" s="47"/>
      <c r="K145" s="48"/>
      <c r="L145" s="48"/>
      <c r="M145" s="49"/>
      <c r="N145" s="47"/>
      <c r="O145" s="48"/>
      <c r="P145" s="48"/>
      <c r="Q145" s="49"/>
      <c r="R145" s="47"/>
      <c r="S145" s="48"/>
      <c r="T145" s="48"/>
      <c r="U145" s="49"/>
      <c r="V145" s="47"/>
      <c r="W145" s="48"/>
      <c r="X145" s="49"/>
      <c r="Y145" s="47"/>
      <c r="Z145" s="48"/>
      <c r="AA145" s="49"/>
      <c r="AB145" s="47"/>
      <c r="AC145" s="48"/>
      <c r="AD145" s="49"/>
      <c r="AE145" s="47"/>
      <c r="AF145" s="48"/>
      <c r="AG145" s="49"/>
      <c r="AH145" s="47"/>
      <c r="AI145" s="48"/>
      <c r="AJ145" s="49"/>
      <c r="AK145" s="47"/>
      <c r="AL145" s="48"/>
      <c r="AM145" s="49"/>
      <c r="AN145" s="47"/>
      <c r="AO145" s="48"/>
      <c r="AP145" s="49"/>
      <c r="AQ145" s="47"/>
      <c r="AR145" s="48"/>
      <c r="AS145" s="49"/>
      <c r="AT145" s="47"/>
      <c r="AU145" s="49"/>
      <c r="AV145" s="47"/>
      <c r="AW145" s="49"/>
      <c r="AX145" s="47"/>
      <c r="AY145" s="49"/>
      <c r="AZ145" s="47"/>
      <c r="BA145" s="49"/>
      <c r="BB145" s="13"/>
      <c r="BC145" s="56" t="str">
        <f t="shared" si="5"/>
        <v>･</v>
      </c>
      <c r="BD145" s="44" t="str">
        <f t="shared" si="6"/>
        <v>･</v>
      </c>
      <c r="BE145" s="56" t="str">
        <f>IF(ISNUMBER(BC145),BC145/Eigenvalue!E42,"･")</f>
        <v>･</v>
      </c>
      <c r="BF145" s="44" t="str">
        <f>IF(ISNUMBER(BD145),BD145/Eigenvalue!E42,"･")</f>
        <v>･</v>
      </c>
      <c r="BG145" s="56" t="str">
        <f t="shared" si="7"/>
        <v>･</v>
      </c>
      <c r="BH145" s="44" t="str">
        <f t="shared" si="8"/>
        <v>･</v>
      </c>
    </row>
    <row r="146" spans="1:60" ht="9.75" hidden="1" customHeight="1">
      <c r="A146" s="5" t="str">
        <f t="shared" si="4"/>
        <v>･</v>
      </c>
      <c r="B146" s="47"/>
      <c r="C146" s="48"/>
      <c r="D146" s="48"/>
      <c r="E146" s="49"/>
      <c r="F146" s="47"/>
      <c r="G146" s="48"/>
      <c r="H146" s="48"/>
      <c r="I146" s="49"/>
      <c r="J146" s="47"/>
      <c r="K146" s="48"/>
      <c r="L146" s="48"/>
      <c r="M146" s="49"/>
      <c r="N146" s="47"/>
      <c r="O146" s="48"/>
      <c r="P146" s="48"/>
      <c r="Q146" s="49"/>
      <c r="R146" s="47"/>
      <c r="S146" s="48"/>
      <c r="T146" s="48"/>
      <c r="U146" s="49"/>
      <c r="V146" s="47"/>
      <c r="W146" s="48"/>
      <c r="X146" s="49"/>
      <c r="Y146" s="47"/>
      <c r="Z146" s="48"/>
      <c r="AA146" s="49"/>
      <c r="AB146" s="47"/>
      <c r="AC146" s="48"/>
      <c r="AD146" s="49"/>
      <c r="AE146" s="47"/>
      <c r="AF146" s="48"/>
      <c r="AG146" s="49"/>
      <c r="AH146" s="47"/>
      <c r="AI146" s="48"/>
      <c r="AJ146" s="49"/>
      <c r="AK146" s="47"/>
      <c r="AL146" s="48"/>
      <c r="AM146" s="49"/>
      <c r="AN146" s="47"/>
      <c r="AO146" s="48"/>
      <c r="AP146" s="49"/>
      <c r="AQ146" s="47"/>
      <c r="AR146" s="48"/>
      <c r="AS146" s="49"/>
      <c r="AT146" s="47"/>
      <c r="AU146" s="49"/>
      <c r="AV146" s="47"/>
      <c r="AW146" s="49"/>
      <c r="AX146" s="47"/>
      <c r="AY146" s="49"/>
      <c r="AZ146" s="47"/>
      <c r="BA146" s="49"/>
      <c r="BB146" s="13"/>
      <c r="BC146" s="56" t="str">
        <f t="shared" si="5"/>
        <v>･</v>
      </c>
      <c r="BD146" s="44" t="str">
        <f t="shared" si="6"/>
        <v>･</v>
      </c>
      <c r="BE146" s="56" t="str">
        <f>IF(ISNUMBER(BC146),BC146/Eigenvalue!E43,"･")</f>
        <v>･</v>
      </c>
      <c r="BF146" s="44" t="str">
        <f>IF(ISNUMBER(BD146),BD146/Eigenvalue!E43,"･")</f>
        <v>･</v>
      </c>
      <c r="BG146" s="56" t="str">
        <f t="shared" si="7"/>
        <v>･</v>
      </c>
      <c r="BH146" s="44" t="str">
        <f t="shared" si="8"/>
        <v>･</v>
      </c>
    </row>
    <row r="147" spans="1:60" ht="9.75" hidden="1" customHeight="1">
      <c r="A147" s="5" t="str">
        <f t="shared" si="4"/>
        <v>･</v>
      </c>
      <c r="B147" s="47"/>
      <c r="C147" s="48"/>
      <c r="D147" s="48"/>
      <c r="E147" s="49"/>
      <c r="F147" s="47"/>
      <c r="G147" s="48"/>
      <c r="H147" s="48"/>
      <c r="I147" s="49"/>
      <c r="J147" s="47"/>
      <c r="K147" s="48"/>
      <c r="L147" s="48"/>
      <c r="M147" s="49"/>
      <c r="N147" s="47"/>
      <c r="O147" s="48"/>
      <c r="P147" s="48"/>
      <c r="Q147" s="49"/>
      <c r="R147" s="47"/>
      <c r="S147" s="48"/>
      <c r="T147" s="48"/>
      <c r="U147" s="49"/>
      <c r="V147" s="47"/>
      <c r="W147" s="48"/>
      <c r="X147" s="49"/>
      <c r="Y147" s="47"/>
      <c r="Z147" s="48"/>
      <c r="AA147" s="49"/>
      <c r="AB147" s="47"/>
      <c r="AC147" s="48"/>
      <c r="AD147" s="49"/>
      <c r="AE147" s="47"/>
      <c r="AF147" s="48"/>
      <c r="AG147" s="49"/>
      <c r="AH147" s="47"/>
      <c r="AI147" s="48"/>
      <c r="AJ147" s="49"/>
      <c r="AK147" s="47"/>
      <c r="AL147" s="48"/>
      <c r="AM147" s="49"/>
      <c r="AN147" s="47"/>
      <c r="AO147" s="48"/>
      <c r="AP147" s="49"/>
      <c r="AQ147" s="47"/>
      <c r="AR147" s="48"/>
      <c r="AS147" s="49"/>
      <c r="AT147" s="47"/>
      <c r="AU147" s="49"/>
      <c r="AV147" s="47"/>
      <c r="AW147" s="49"/>
      <c r="AX147" s="47"/>
      <c r="AY147" s="49"/>
      <c r="AZ147" s="47"/>
      <c r="BA147" s="49"/>
      <c r="BB147" s="13"/>
      <c r="BC147" s="56" t="str">
        <f t="shared" si="5"/>
        <v>･</v>
      </c>
      <c r="BD147" s="44" t="str">
        <f t="shared" si="6"/>
        <v>･</v>
      </c>
      <c r="BE147" s="56" t="str">
        <f>IF(ISNUMBER(BC147),BC147/Eigenvalue!E44,"･")</f>
        <v>･</v>
      </c>
      <c r="BF147" s="44" t="str">
        <f>IF(ISNUMBER(BD147),BD147/Eigenvalue!E44,"･")</f>
        <v>･</v>
      </c>
      <c r="BG147" s="56" t="str">
        <f t="shared" si="7"/>
        <v>･</v>
      </c>
      <c r="BH147" s="44" t="str">
        <f t="shared" si="8"/>
        <v>･</v>
      </c>
    </row>
    <row r="148" spans="1:60" ht="9.75" hidden="1" customHeight="1">
      <c r="A148" s="5" t="str">
        <f t="shared" si="4"/>
        <v>･</v>
      </c>
      <c r="B148" s="47"/>
      <c r="C148" s="48"/>
      <c r="D148" s="48"/>
      <c r="E148" s="49"/>
      <c r="F148" s="47"/>
      <c r="G148" s="48"/>
      <c r="H148" s="48"/>
      <c r="I148" s="49"/>
      <c r="J148" s="47"/>
      <c r="K148" s="48"/>
      <c r="L148" s="48"/>
      <c r="M148" s="49"/>
      <c r="N148" s="47"/>
      <c r="O148" s="48"/>
      <c r="P148" s="48"/>
      <c r="Q148" s="49"/>
      <c r="R148" s="47"/>
      <c r="S148" s="48"/>
      <c r="T148" s="48"/>
      <c r="U148" s="49"/>
      <c r="V148" s="47"/>
      <c r="W148" s="48"/>
      <c r="X148" s="49"/>
      <c r="Y148" s="47"/>
      <c r="Z148" s="48"/>
      <c r="AA148" s="49"/>
      <c r="AB148" s="47"/>
      <c r="AC148" s="48"/>
      <c r="AD148" s="49"/>
      <c r="AE148" s="47"/>
      <c r="AF148" s="48"/>
      <c r="AG148" s="49"/>
      <c r="AH148" s="47"/>
      <c r="AI148" s="48"/>
      <c r="AJ148" s="49"/>
      <c r="AK148" s="47"/>
      <c r="AL148" s="48"/>
      <c r="AM148" s="49"/>
      <c r="AN148" s="47"/>
      <c r="AO148" s="48"/>
      <c r="AP148" s="49"/>
      <c r="AQ148" s="47"/>
      <c r="AR148" s="48"/>
      <c r="AS148" s="49"/>
      <c r="AT148" s="47"/>
      <c r="AU148" s="49"/>
      <c r="AV148" s="47"/>
      <c r="AW148" s="49"/>
      <c r="AX148" s="47"/>
      <c r="AY148" s="49"/>
      <c r="AZ148" s="47"/>
      <c r="BA148" s="49"/>
      <c r="BB148" s="13"/>
      <c r="BC148" s="56" t="str">
        <f t="shared" si="5"/>
        <v>･</v>
      </c>
      <c r="BD148" s="44" t="str">
        <f t="shared" si="6"/>
        <v>･</v>
      </c>
      <c r="BE148" s="56" t="str">
        <f>IF(ISNUMBER(BC148),BC148/Eigenvalue!E45,"･")</f>
        <v>･</v>
      </c>
      <c r="BF148" s="44" t="str">
        <f>IF(ISNUMBER(BD148),BD148/Eigenvalue!E45,"･")</f>
        <v>･</v>
      </c>
      <c r="BG148" s="56" t="str">
        <f t="shared" si="7"/>
        <v>･</v>
      </c>
      <c r="BH148" s="44" t="str">
        <f t="shared" si="8"/>
        <v>･</v>
      </c>
    </row>
    <row r="149" spans="1:60" ht="9.75" hidden="1" customHeight="1">
      <c r="A149" s="5" t="str">
        <f t="shared" si="4"/>
        <v>･</v>
      </c>
      <c r="B149" s="47"/>
      <c r="C149" s="48"/>
      <c r="D149" s="48"/>
      <c r="E149" s="49"/>
      <c r="F149" s="47"/>
      <c r="G149" s="48"/>
      <c r="H149" s="48"/>
      <c r="I149" s="49"/>
      <c r="J149" s="47"/>
      <c r="K149" s="48"/>
      <c r="L149" s="48"/>
      <c r="M149" s="49"/>
      <c r="N149" s="47"/>
      <c r="O149" s="48"/>
      <c r="P149" s="48"/>
      <c r="Q149" s="49"/>
      <c r="R149" s="47"/>
      <c r="S149" s="48"/>
      <c r="T149" s="48"/>
      <c r="U149" s="49"/>
      <c r="V149" s="47"/>
      <c r="W149" s="48"/>
      <c r="X149" s="49"/>
      <c r="Y149" s="47"/>
      <c r="Z149" s="48"/>
      <c r="AA149" s="49"/>
      <c r="AB149" s="47"/>
      <c r="AC149" s="48"/>
      <c r="AD149" s="49"/>
      <c r="AE149" s="47"/>
      <c r="AF149" s="48"/>
      <c r="AG149" s="49"/>
      <c r="AH149" s="47"/>
      <c r="AI149" s="48"/>
      <c r="AJ149" s="49"/>
      <c r="AK149" s="47"/>
      <c r="AL149" s="48"/>
      <c r="AM149" s="49"/>
      <c r="AN149" s="47"/>
      <c r="AO149" s="48"/>
      <c r="AP149" s="49"/>
      <c r="AQ149" s="47"/>
      <c r="AR149" s="48"/>
      <c r="AS149" s="49"/>
      <c r="AT149" s="47"/>
      <c r="AU149" s="49"/>
      <c r="AV149" s="47"/>
      <c r="AW149" s="49"/>
      <c r="AX149" s="47"/>
      <c r="AY149" s="49"/>
      <c r="AZ149" s="47"/>
      <c r="BA149" s="49"/>
      <c r="BB149" s="13"/>
      <c r="BC149" s="56" t="str">
        <f t="shared" si="5"/>
        <v>･</v>
      </c>
      <c r="BD149" s="44" t="str">
        <f t="shared" si="6"/>
        <v>･</v>
      </c>
      <c r="BE149" s="56" t="str">
        <f>IF(ISNUMBER(BC149),BC149/Eigenvalue!E46,"･")</f>
        <v>･</v>
      </c>
      <c r="BF149" s="44" t="str">
        <f>IF(ISNUMBER(BD149),BD149/Eigenvalue!E46,"･")</f>
        <v>･</v>
      </c>
      <c r="BG149" s="56" t="str">
        <f t="shared" si="7"/>
        <v>･</v>
      </c>
      <c r="BH149" s="44" t="str">
        <f t="shared" si="8"/>
        <v>･</v>
      </c>
    </row>
    <row r="150" spans="1:60" ht="9.75" hidden="1" customHeight="1">
      <c r="A150" s="5" t="str">
        <f t="shared" si="4"/>
        <v>･</v>
      </c>
      <c r="B150" s="47"/>
      <c r="C150" s="48"/>
      <c r="D150" s="48"/>
      <c r="E150" s="49"/>
      <c r="F150" s="47"/>
      <c r="G150" s="48"/>
      <c r="H150" s="48"/>
      <c r="I150" s="49"/>
      <c r="J150" s="47"/>
      <c r="K150" s="48"/>
      <c r="L150" s="48"/>
      <c r="M150" s="49"/>
      <c r="N150" s="47"/>
      <c r="O150" s="48"/>
      <c r="P150" s="48"/>
      <c r="Q150" s="49"/>
      <c r="R150" s="47"/>
      <c r="S150" s="48"/>
      <c r="T150" s="48"/>
      <c r="U150" s="49"/>
      <c r="V150" s="47"/>
      <c r="W150" s="48"/>
      <c r="X150" s="49"/>
      <c r="Y150" s="47"/>
      <c r="Z150" s="48"/>
      <c r="AA150" s="49"/>
      <c r="AB150" s="47"/>
      <c r="AC150" s="48"/>
      <c r="AD150" s="49"/>
      <c r="AE150" s="47"/>
      <c r="AF150" s="48"/>
      <c r="AG150" s="49"/>
      <c r="AH150" s="47"/>
      <c r="AI150" s="48"/>
      <c r="AJ150" s="49"/>
      <c r="AK150" s="47"/>
      <c r="AL150" s="48"/>
      <c r="AM150" s="49"/>
      <c r="AN150" s="47"/>
      <c r="AO150" s="48"/>
      <c r="AP150" s="49"/>
      <c r="AQ150" s="47"/>
      <c r="AR150" s="48"/>
      <c r="AS150" s="49"/>
      <c r="AT150" s="47"/>
      <c r="AU150" s="49"/>
      <c r="AV150" s="47"/>
      <c r="AW150" s="49"/>
      <c r="AX150" s="47"/>
      <c r="AY150" s="49"/>
      <c r="AZ150" s="47"/>
      <c r="BA150" s="49"/>
      <c r="BB150" s="13"/>
      <c r="BC150" s="56" t="str">
        <f t="shared" si="5"/>
        <v>･</v>
      </c>
      <c r="BD150" s="44" t="str">
        <f t="shared" si="6"/>
        <v>･</v>
      </c>
      <c r="BE150" s="56" t="str">
        <f>IF(ISNUMBER(BC150),BC150/Eigenvalue!E47,"･")</f>
        <v>･</v>
      </c>
      <c r="BF150" s="44" t="str">
        <f>IF(ISNUMBER(BD150),BD150/Eigenvalue!E47,"･")</f>
        <v>･</v>
      </c>
      <c r="BG150" s="56" t="str">
        <f t="shared" si="7"/>
        <v>･</v>
      </c>
      <c r="BH150" s="44" t="str">
        <f t="shared" si="8"/>
        <v>･</v>
      </c>
    </row>
    <row r="151" spans="1:60" ht="9.75" hidden="1" customHeight="1">
      <c r="A151" s="5" t="str">
        <f t="shared" si="4"/>
        <v>･</v>
      </c>
      <c r="B151" s="47"/>
      <c r="C151" s="48"/>
      <c r="D151" s="48"/>
      <c r="E151" s="49"/>
      <c r="F151" s="47"/>
      <c r="G151" s="48"/>
      <c r="H151" s="48"/>
      <c r="I151" s="49"/>
      <c r="J151" s="47"/>
      <c r="K151" s="48"/>
      <c r="L151" s="48"/>
      <c r="M151" s="49"/>
      <c r="N151" s="47"/>
      <c r="O151" s="48"/>
      <c r="P151" s="48"/>
      <c r="Q151" s="49"/>
      <c r="R151" s="47"/>
      <c r="S151" s="48"/>
      <c r="T151" s="48"/>
      <c r="U151" s="49"/>
      <c r="V151" s="47"/>
      <c r="W151" s="48"/>
      <c r="X151" s="49"/>
      <c r="Y151" s="47"/>
      <c r="Z151" s="48"/>
      <c r="AA151" s="49"/>
      <c r="AB151" s="47"/>
      <c r="AC151" s="48"/>
      <c r="AD151" s="49"/>
      <c r="AE151" s="47"/>
      <c r="AF151" s="48"/>
      <c r="AG151" s="49"/>
      <c r="AH151" s="47"/>
      <c r="AI151" s="48"/>
      <c r="AJ151" s="49"/>
      <c r="AK151" s="47"/>
      <c r="AL151" s="48"/>
      <c r="AM151" s="49"/>
      <c r="AN151" s="47"/>
      <c r="AO151" s="48"/>
      <c r="AP151" s="49"/>
      <c r="AQ151" s="47"/>
      <c r="AR151" s="48"/>
      <c r="AS151" s="49"/>
      <c r="AT151" s="47"/>
      <c r="AU151" s="49"/>
      <c r="AV151" s="47"/>
      <c r="AW151" s="49"/>
      <c r="AX151" s="47"/>
      <c r="AY151" s="49"/>
      <c r="AZ151" s="47"/>
      <c r="BA151" s="49"/>
      <c r="BB151" s="13"/>
      <c r="BC151" s="56" t="str">
        <f t="shared" si="5"/>
        <v>･</v>
      </c>
      <c r="BD151" s="44" t="str">
        <f t="shared" si="6"/>
        <v>･</v>
      </c>
      <c r="BE151" s="56" t="str">
        <f>IF(ISNUMBER(BC151),BC151/Eigenvalue!E48,"･")</f>
        <v>･</v>
      </c>
      <c r="BF151" s="44" t="str">
        <f>IF(ISNUMBER(BD151),BD151/Eigenvalue!E48,"･")</f>
        <v>･</v>
      </c>
      <c r="BG151" s="56" t="str">
        <f t="shared" si="7"/>
        <v>･</v>
      </c>
      <c r="BH151" s="44" t="str">
        <f t="shared" si="8"/>
        <v>･</v>
      </c>
    </row>
    <row r="152" spans="1:60" ht="9.75" hidden="1" customHeight="1">
      <c r="A152" s="5" t="str">
        <f t="shared" si="4"/>
        <v>･</v>
      </c>
      <c r="B152" s="47"/>
      <c r="C152" s="48"/>
      <c r="D152" s="48"/>
      <c r="E152" s="49"/>
      <c r="F152" s="47"/>
      <c r="G152" s="48"/>
      <c r="H152" s="48"/>
      <c r="I152" s="49"/>
      <c r="J152" s="47"/>
      <c r="K152" s="48"/>
      <c r="L152" s="48"/>
      <c r="M152" s="49"/>
      <c r="N152" s="47"/>
      <c r="O152" s="48"/>
      <c r="P152" s="48"/>
      <c r="Q152" s="49"/>
      <c r="R152" s="47"/>
      <c r="S152" s="48"/>
      <c r="T152" s="48"/>
      <c r="U152" s="49"/>
      <c r="V152" s="47"/>
      <c r="W152" s="48"/>
      <c r="X152" s="49"/>
      <c r="Y152" s="47"/>
      <c r="Z152" s="48"/>
      <c r="AA152" s="49"/>
      <c r="AB152" s="47"/>
      <c r="AC152" s="48"/>
      <c r="AD152" s="49"/>
      <c r="AE152" s="47"/>
      <c r="AF152" s="48"/>
      <c r="AG152" s="49"/>
      <c r="AH152" s="47"/>
      <c r="AI152" s="48"/>
      <c r="AJ152" s="49"/>
      <c r="AK152" s="47"/>
      <c r="AL152" s="48"/>
      <c r="AM152" s="49"/>
      <c r="AN152" s="47"/>
      <c r="AO152" s="48"/>
      <c r="AP152" s="49"/>
      <c r="AQ152" s="47"/>
      <c r="AR152" s="48"/>
      <c r="AS152" s="49"/>
      <c r="AT152" s="47"/>
      <c r="AU152" s="49"/>
      <c r="AV152" s="47"/>
      <c r="AW152" s="49"/>
      <c r="AX152" s="47"/>
      <c r="AY152" s="49"/>
      <c r="AZ152" s="47"/>
      <c r="BA152" s="49"/>
      <c r="BB152" s="13"/>
      <c r="BC152" s="56" t="str">
        <f t="shared" si="5"/>
        <v>･</v>
      </c>
      <c r="BD152" s="44" t="str">
        <f t="shared" si="6"/>
        <v>･</v>
      </c>
      <c r="BE152" s="56" t="str">
        <f>IF(ISNUMBER(BC152),BC152/Eigenvalue!E49,"･")</f>
        <v>･</v>
      </c>
      <c r="BF152" s="44" t="str">
        <f>IF(ISNUMBER(BD152),BD152/Eigenvalue!E49,"･")</f>
        <v>･</v>
      </c>
      <c r="BG152" s="56" t="str">
        <f t="shared" si="7"/>
        <v>･</v>
      </c>
      <c r="BH152" s="44" t="str">
        <f t="shared" si="8"/>
        <v>･</v>
      </c>
    </row>
    <row r="153" spans="1:60" ht="9.75" hidden="1" customHeight="1">
      <c r="A153" s="5" t="str">
        <f t="shared" si="4"/>
        <v>･</v>
      </c>
      <c r="B153" s="47"/>
      <c r="C153" s="48"/>
      <c r="D153" s="48"/>
      <c r="E153" s="49"/>
      <c r="F153" s="47"/>
      <c r="G153" s="48"/>
      <c r="H153" s="48"/>
      <c r="I153" s="49"/>
      <c r="J153" s="47"/>
      <c r="K153" s="48"/>
      <c r="L153" s="48"/>
      <c r="M153" s="49"/>
      <c r="N153" s="47"/>
      <c r="O153" s="48"/>
      <c r="P153" s="48"/>
      <c r="Q153" s="49"/>
      <c r="R153" s="47"/>
      <c r="S153" s="48"/>
      <c r="T153" s="48"/>
      <c r="U153" s="49"/>
      <c r="V153" s="47"/>
      <c r="W153" s="48"/>
      <c r="X153" s="49"/>
      <c r="Y153" s="47"/>
      <c r="Z153" s="48"/>
      <c r="AA153" s="49"/>
      <c r="AB153" s="47"/>
      <c r="AC153" s="48"/>
      <c r="AD153" s="49"/>
      <c r="AE153" s="47"/>
      <c r="AF153" s="48"/>
      <c r="AG153" s="49"/>
      <c r="AH153" s="47"/>
      <c r="AI153" s="48"/>
      <c r="AJ153" s="49"/>
      <c r="AK153" s="47"/>
      <c r="AL153" s="48"/>
      <c r="AM153" s="49"/>
      <c r="AN153" s="47"/>
      <c r="AO153" s="48"/>
      <c r="AP153" s="49"/>
      <c r="AQ153" s="47"/>
      <c r="AR153" s="48"/>
      <c r="AS153" s="49"/>
      <c r="AT153" s="47"/>
      <c r="AU153" s="49"/>
      <c r="AV153" s="47"/>
      <c r="AW153" s="49"/>
      <c r="AX153" s="47"/>
      <c r="AY153" s="49"/>
      <c r="AZ153" s="47"/>
      <c r="BA153" s="49"/>
      <c r="BB153" s="13"/>
      <c r="BC153" s="56" t="str">
        <f t="shared" si="5"/>
        <v>･</v>
      </c>
      <c r="BD153" s="44" t="str">
        <f t="shared" si="6"/>
        <v>･</v>
      </c>
      <c r="BE153" s="56" t="str">
        <f>IF(ISNUMBER(BC153),BC153/Eigenvalue!E50,"･")</f>
        <v>･</v>
      </c>
      <c r="BF153" s="44" t="str">
        <f>IF(ISNUMBER(BD153),BD153/Eigenvalue!E50,"･")</f>
        <v>･</v>
      </c>
      <c r="BG153" s="56" t="str">
        <f t="shared" si="7"/>
        <v>･</v>
      </c>
      <c r="BH153" s="44" t="str">
        <f t="shared" si="8"/>
        <v>･</v>
      </c>
    </row>
    <row r="154" spans="1:60" ht="9.75" hidden="1" customHeight="1">
      <c r="A154" s="5" t="str">
        <f t="shared" si="4"/>
        <v>･</v>
      </c>
      <c r="B154" s="47"/>
      <c r="C154" s="48"/>
      <c r="D154" s="48"/>
      <c r="E154" s="49"/>
      <c r="F154" s="47"/>
      <c r="G154" s="48"/>
      <c r="H154" s="48"/>
      <c r="I154" s="49"/>
      <c r="J154" s="47"/>
      <c r="K154" s="48"/>
      <c r="L154" s="48"/>
      <c r="M154" s="49"/>
      <c r="N154" s="47"/>
      <c r="O154" s="48"/>
      <c r="P154" s="48"/>
      <c r="Q154" s="49"/>
      <c r="R154" s="47"/>
      <c r="S154" s="48"/>
      <c r="T154" s="48"/>
      <c r="U154" s="49"/>
      <c r="V154" s="47"/>
      <c r="W154" s="48"/>
      <c r="X154" s="49"/>
      <c r="Y154" s="47"/>
      <c r="Z154" s="48"/>
      <c r="AA154" s="49"/>
      <c r="AB154" s="47"/>
      <c r="AC154" s="48"/>
      <c r="AD154" s="49"/>
      <c r="AE154" s="47"/>
      <c r="AF154" s="48"/>
      <c r="AG154" s="49"/>
      <c r="AH154" s="47"/>
      <c r="AI154" s="48"/>
      <c r="AJ154" s="49"/>
      <c r="AK154" s="47"/>
      <c r="AL154" s="48"/>
      <c r="AM154" s="49"/>
      <c r="AN154" s="47"/>
      <c r="AO154" s="48"/>
      <c r="AP154" s="49"/>
      <c r="AQ154" s="47"/>
      <c r="AR154" s="48"/>
      <c r="AS154" s="49"/>
      <c r="AT154" s="47"/>
      <c r="AU154" s="49"/>
      <c r="AV154" s="47"/>
      <c r="AW154" s="49"/>
      <c r="AX154" s="47"/>
      <c r="AY154" s="49"/>
      <c r="AZ154" s="47"/>
      <c r="BA154" s="49"/>
      <c r="BB154" s="13"/>
      <c r="BC154" s="56" t="str">
        <f t="shared" si="5"/>
        <v>･</v>
      </c>
      <c r="BD154" s="44" t="str">
        <f t="shared" si="6"/>
        <v>･</v>
      </c>
      <c r="BE154" s="56" t="str">
        <f>IF(ISNUMBER(BC154),BC154/Eigenvalue!E51,"･")</f>
        <v>･</v>
      </c>
      <c r="BF154" s="44" t="str">
        <f>IF(ISNUMBER(BD154),BD154/Eigenvalue!E51,"･")</f>
        <v>･</v>
      </c>
      <c r="BG154" s="56" t="str">
        <f t="shared" si="7"/>
        <v>･</v>
      </c>
      <c r="BH154" s="44" t="str">
        <f t="shared" si="8"/>
        <v>･</v>
      </c>
    </row>
    <row r="155" spans="1:60" ht="9.75" hidden="1" customHeight="1">
      <c r="A155" s="5" t="str">
        <f t="shared" si="4"/>
        <v>･</v>
      </c>
      <c r="B155" s="66"/>
      <c r="C155" s="67"/>
      <c r="D155" s="67"/>
      <c r="E155" s="68"/>
      <c r="F155" s="66"/>
      <c r="G155" s="67"/>
      <c r="H155" s="67"/>
      <c r="I155" s="68"/>
      <c r="J155" s="66"/>
      <c r="K155" s="67"/>
      <c r="L155" s="67"/>
      <c r="M155" s="68"/>
      <c r="N155" s="66"/>
      <c r="O155" s="67"/>
      <c r="P155" s="67"/>
      <c r="Q155" s="68"/>
      <c r="R155" s="66"/>
      <c r="S155" s="67"/>
      <c r="T155" s="67"/>
      <c r="U155" s="68"/>
      <c r="V155" s="66"/>
      <c r="W155" s="67"/>
      <c r="X155" s="68"/>
      <c r="Y155" s="66"/>
      <c r="Z155" s="67"/>
      <c r="AA155" s="68"/>
      <c r="AB155" s="66"/>
      <c r="AC155" s="67"/>
      <c r="AD155" s="68"/>
      <c r="AE155" s="66"/>
      <c r="AF155" s="67"/>
      <c r="AG155" s="68"/>
      <c r="AH155" s="66"/>
      <c r="AI155" s="67"/>
      <c r="AJ155" s="68"/>
      <c r="AK155" s="66"/>
      <c r="AL155" s="67"/>
      <c r="AM155" s="68"/>
      <c r="AN155" s="66"/>
      <c r="AO155" s="67"/>
      <c r="AP155" s="68"/>
      <c r="AQ155" s="66"/>
      <c r="AR155" s="67"/>
      <c r="AS155" s="68"/>
      <c r="AT155" s="66"/>
      <c r="AU155" s="68"/>
      <c r="AV155" s="66"/>
      <c r="AW155" s="68"/>
      <c r="AX155" s="66"/>
      <c r="AY155" s="68"/>
      <c r="AZ155" s="66"/>
      <c r="BA155" s="68"/>
      <c r="BB155" s="13"/>
      <c r="BC155" s="69" t="str">
        <f t="shared" si="5"/>
        <v>･</v>
      </c>
      <c r="BD155" s="70" t="str">
        <f t="shared" si="6"/>
        <v>･</v>
      </c>
      <c r="BE155" s="69" t="str">
        <f>IF(ISNUMBER(BC155),BC155/Eigenvalue!E52,"･")</f>
        <v>･</v>
      </c>
      <c r="BF155" s="70" t="str">
        <f>IF(ISNUMBER(BD155),BD155/Eigenvalue!E52,"･")</f>
        <v>･</v>
      </c>
      <c r="BG155" s="69" t="str">
        <f t="shared" si="7"/>
        <v>･</v>
      </c>
      <c r="BH155" s="70" t="str">
        <f t="shared" si="8"/>
        <v>･</v>
      </c>
    </row>
    <row r="156" spans="1:60" ht="9.75" hidden="1" customHeight="1">
      <c r="B156" s="104"/>
      <c r="C156" s="104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 s="104"/>
      <c r="BG156" s="104"/>
      <c r="BH156" s="104"/>
    </row>
    <row r="157" spans="1:60" ht="9.75" hidden="1" customHeight="1"/>
    <row r="158" spans="1:60" ht="9.75" hidden="1" customHeight="1"/>
    <row r="159" spans="1:60" ht="9.75" hidden="1" customHeight="1"/>
    <row r="160" spans="1:60" ht="9.75" hidden="1" customHeight="1"/>
    <row r="161" s="101" customFormat="1" ht="9.75" hidden="1" customHeight="1"/>
    <row r="162" s="101" customFormat="1" ht="9.75" hidden="1" customHeight="1"/>
    <row r="163" s="101" customFormat="1" ht="9.75" hidden="1" customHeight="1"/>
    <row r="164" s="101" customFormat="1" ht="9.75" hidden="1" customHeight="1"/>
    <row r="165" s="101" customFormat="1" ht="9.75" hidden="1" customHeight="1"/>
    <row r="166" s="101" customFormat="1" ht="9.75" hidden="1" customHeight="1"/>
    <row r="167" s="101" customFormat="1" ht="9.75" hidden="1" customHeight="1"/>
    <row r="168" s="101" customFormat="1" ht="9.75" hidden="1" customHeight="1"/>
    <row r="169" s="101" customFormat="1" ht="9.75" hidden="1" customHeight="1"/>
    <row r="170" s="101" customFormat="1" ht="9.75" hidden="1" customHeight="1"/>
    <row r="171" s="101" customFormat="1" ht="9.75" hidden="1" customHeight="1"/>
    <row r="172" s="101" customFormat="1" ht="9.75" hidden="1" customHeight="1"/>
    <row r="173" s="101" customFormat="1" ht="9.75" hidden="1" customHeight="1"/>
    <row r="174" s="101" customFormat="1" ht="9.75" hidden="1" customHeight="1"/>
    <row r="175" s="101" customFormat="1" ht="9.75" hidden="1" customHeight="1"/>
    <row r="176" s="101" customFormat="1" ht="9.75" hidden="1" customHeight="1"/>
    <row r="177" s="101" customFormat="1" ht="9.75" hidden="1" customHeight="1"/>
    <row r="178" s="101" customFormat="1" ht="9.75" hidden="1" customHeight="1"/>
    <row r="179" s="101" customFormat="1" ht="9.75" hidden="1" customHeight="1"/>
    <row r="180" s="101" customFormat="1" ht="9.75" hidden="1" customHeight="1"/>
    <row r="181" s="101" customFormat="1" ht="9.75" hidden="1" customHeight="1"/>
    <row r="182" s="101" customFormat="1" ht="9.75" hidden="1" customHeight="1"/>
    <row r="183" s="101" customFormat="1" ht="9.75" hidden="1" customHeight="1"/>
    <row r="184" s="101" customFormat="1" ht="9.75" hidden="1" customHeight="1"/>
    <row r="185" s="101" customFormat="1" ht="9.75" hidden="1" customHeight="1"/>
    <row r="186" s="101" customFormat="1" ht="9.75" hidden="1" customHeight="1"/>
    <row r="187" s="101" customFormat="1" ht="9.75" hidden="1" customHeight="1"/>
    <row r="188" s="101" customFormat="1" ht="9.75" hidden="1" customHeight="1"/>
    <row r="189" s="101" customFormat="1" ht="9.75" hidden="1" customHeight="1"/>
    <row r="190" s="101" customFormat="1" ht="9.75" hidden="1" customHeight="1"/>
    <row r="191" s="101" customFormat="1" ht="9.75" hidden="1" customHeight="1"/>
    <row r="192" s="101" customFormat="1" ht="9.75" hidden="1" customHeight="1"/>
    <row r="193" spans="1:17" ht="9.75" hidden="1" customHeight="1"/>
    <row r="194" spans="1:17" ht="9.75" hidden="1" customHeight="1"/>
    <row r="195" spans="1:17" ht="9.75" hidden="1" customHeight="1"/>
    <row r="196" spans="1:17" ht="9.75" hidden="1" customHeight="1"/>
    <row r="197" spans="1:17" ht="9.75" hidden="1" customHeight="1"/>
    <row r="198" spans="1:17" ht="9.75" hidden="1" customHeight="1"/>
    <row r="199" spans="1:17" ht="9.75" hidden="1" customHeight="1"/>
    <row r="200" spans="1:17" ht="9.75" hidden="1" customHeight="1"/>
    <row r="201" spans="1:17" ht="9.75" hidden="1" customHeight="1"/>
    <row r="202" spans="1:17" ht="9.75" hidden="1" customHeight="1"/>
    <row r="203" spans="1:17" ht="9.75" hidden="1" customHeight="1"/>
    <row r="204" spans="1:17" ht="9.75" hidden="1" customHeight="1"/>
    <row r="205" spans="1:17" ht="9.75" hidden="1" customHeight="1"/>
    <row r="206" spans="1:17" ht="9.75" hidden="1" customHeight="1"/>
    <row r="207" spans="1:17" ht="9.75" hidden="1" customHeight="1">
      <c r="A207" s="13"/>
      <c r="B207" s="153" t="s">
        <v>109</v>
      </c>
      <c r="C207" s="154"/>
      <c r="D207" s="154"/>
      <c r="E207" s="155"/>
      <c r="F207" s="153" t="s">
        <v>6</v>
      </c>
      <c r="G207" s="154"/>
      <c r="H207" s="154"/>
      <c r="I207" s="155"/>
      <c r="J207" s="153" t="s">
        <v>7</v>
      </c>
      <c r="K207" s="154"/>
      <c r="L207" s="154"/>
      <c r="M207" s="155"/>
      <c r="N207" s="153" t="s">
        <v>8</v>
      </c>
      <c r="O207" s="154"/>
      <c r="P207" s="154"/>
      <c r="Q207" s="155"/>
    </row>
    <row r="208" spans="1:17" ht="9.75" hidden="1" customHeight="1">
      <c r="A208" s="13"/>
      <c r="B208" s="27" t="s">
        <v>72</v>
      </c>
      <c r="C208" s="27" t="s">
        <v>73</v>
      </c>
      <c r="D208" s="27" t="s">
        <v>74</v>
      </c>
      <c r="E208" s="27" t="s">
        <v>75</v>
      </c>
      <c r="F208" s="27" t="s">
        <v>72</v>
      </c>
      <c r="G208" s="27" t="s">
        <v>73</v>
      </c>
      <c r="H208" s="27" t="s">
        <v>74</v>
      </c>
      <c r="I208" s="27" t="s">
        <v>75</v>
      </c>
      <c r="J208" s="27" t="s">
        <v>72</v>
      </c>
      <c r="K208" s="27" t="s">
        <v>73</v>
      </c>
      <c r="L208" s="27" t="s">
        <v>74</v>
      </c>
      <c r="M208" s="27" t="s">
        <v>75</v>
      </c>
      <c r="N208" s="27" t="s">
        <v>72</v>
      </c>
      <c r="O208" s="27" t="s">
        <v>73</v>
      </c>
      <c r="P208" s="27" t="s">
        <v>74</v>
      </c>
      <c r="Q208" s="27" t="s">
        <v>75</v>
      </c>
    </row>
    <row r="209" spans="1:17" ht="9.75" hidden="1" customHeight="1">
      <c r="A209" s="5" t="str">
        <f>A3</f>
        <v>･</v>
      </c>
      <c r="B209" s="57"/>
      <c r="C209" s="58"/>
      <c r="D209" s="58"/>
      <c r="E209" s="59"/>
      <c r="F209" s="57"/>
      <c r="G209" s="58"/>
      <c r="H209" s="58"/>
      <c r="I209" s="59"/>
      <c r="J209" s="57"/>
      <c r="K209" s="58"/>
      <c r="L209" s="58"/>
      <c r="M209" s="59"/>
      <c r="N209" s="57"/>
      <c r="O209" s="58"/>
      <c r="P209" s="58"/>
      <c r="Q209" s="59"/>
    </row>
    <row r="210" spans="1:17" ht="9.75" hidden="1" customHeight="1">
      <c r="A210" s="5" t="str">
        <f t="shared" ref="A210:A258" si="9">A4</f>
        <v>･</v>
      </c>
      <c r="B210" s="47"/>
      <c r="C210" s="48"/>
      <c r="D210" s="48"/>
      <c r="E210" s="49"/>
      <c r="F210" s="47"/>
      <c r="G210" s="48"/>
      <c r="H210" s="48"/>
      <c r="I210" s="49"/>
      <c r="J210" s="47"/>
      <c r="K210" s="48"/>
      <c r="L210" s="48"/>
      <c r="M210" s="49"/>
      <c r="N210" s="47"/>
      <c r="O210" s="48"/>
      <c r="P210" s="48"/>
      <c r="Q210" s="49"/>
    </row>
    <row r="211" spans="1:17" ht="9.75" hidden="1" customHeight="1">
      <c r="A211" s="5" t="str">
        <f t="shared" si="9"/>
        <v>･</v>
      </c>
      <c r="B211" s="47"/>
      <c r="C211" s="48"/>
      <c r="D211" s="48"/>
      <c r="E211" s="49"/>
      <c r="F211" s="47"/>
      <c r="G211" s="48"/>
      <c r="H211" s="48"/>
      <c r="I211" s="49"/>
      <c r="J211" s="47"/>
      <c r="K211" s="48"/>
      <c r="L211" s="48"/>
      <c r="M211" s="49"/>
      <c r="N211" s="47"/>
      <c r="O211" s="48"/>
      <c r="P211" s="48"/>
      <c r="Q211" s="49"/>
    </row>
    <row r="212" spans="1:17" ht="9.75" hidden="1" customHeight="1">
      <c r="A212" s="5" t="str">
        <f t="shared" si="9"/>
        <v>･</v>
      </c>
      <c r="B212" s="47"/>
      <c r="C212" s="48"/>
      <c r="D212" s="48"/>
      <c r="E212" s="49"/>
      <c r="F212" s="47"/>
      <c r="G212" s="48"/>
      <c r="H212" s="48"/>
      <c r="I212" s="49"/>
      <c r="J212" s="47"/>
      <c r="K212" s="48"/>
      <c r="L212" s="48"/>
      <c r="M212" s="49"/>
      <c r="N212" s="47"/>
      <c r="O212" s="48"/>
      <c r="P212" s="48"/>
      <c r="Q212" s="49"/>
    </row>
    <row r="213" spans="1:17" ht="9.75" hidden="1" customHeight="1">
      <c r="A213" s="5" t="str">
        <f t="shared" si="9"/>
        <v>･</v>
      </c>
      <c r="B213" s="47"/>
      <c r="C213" s="48"/>
      <c r="D213" s="48"/>
      <c r="E213" s="49"/>
      <c r="F213" s="47"/>
      <c r="G213" s="48"/>
      <c r="H213" s="48"/>
      <c r="I213" s="49"/>
      <c r="J213" s="47"/>
      <c r="K213" s="48"/>
      <c r="L213" s="48"/>
      <c r="M213" s="49"/>
      <c r="N213" s="47"/>
      <c r="O213" s="48"/>
      <c r="P213" s="48"/>
      <c r="Q213" s="49"/>
    </row>
    <row r="214" spans="1:17" ht="9.75" hidden="1" customHeight="1">
      <c r="A214" s="5" t="str">
        <f t="shared" si="9"/>
        <v>･</v>
      </c>
      <c r="B214" s="47"/>
      <c r="C214" s="48"/>
      <c r="D214" s="48"/>
      <c r="E214" s="49"/>
      <c r="F214" s="47"/>
      <c r="G214" s="48"/>
      <c r="H214" s="48"/>
      <c r="I214" s="49"/>
      <c r="J214" s="47"/>
      <c r="K214" s="48"/>
      <c r="L214" s="48"/>
      <c r="M214" s="49"/>
      <c r="N214" s="47"/>
      <c r="O214" s="48"/>
      <c r="P214" s="48"/>
      <c r="Q214" s="49"/>
    </row>
    <row r="215" spans="1:17" ht="9.75" hidden="1" customHeight="1">
      <c r="A215" s="5" t="str">
        <f t="shared" si="9"/>
        <v>･</v>
      </c>
      <c r="B215" s="47"/>
      <c r="C215" s="48"/>
      <c r="D215" s="48"/>
      <c r="E215" s="49"/>
      <c r="F215" s="47"/>
      <c r="G215" s="48"/>
      <c r="H215" s="48"/>
      <c r="I215" s="49"/>
      <c r="J215" s="47"/>
      <c r="K215" s="48"/>
      <c r="L215" s="48"/>
      <c r="M215" s="49"/>
      <c r="N215" s="47"/>
      <c r="O215" s="48"/>
      <c r="P215" s="48"/>
      <c r="Q215" s="49"/>
    </row>
    <row r="216" spans="1:17" ht="9.75" hidden="1" customHeight="1">
      <c r="A216" s="5" t="str">
        <f t="shared" si="9"/>
        <v>･</v>
      </c>
      <c r="B216" s="47"/>
      <c r="C216" s="48"/>
      <c r="D216" s="48"/>
      <c r="E216" s="49"/>
      <c r="F216" s="47"/>
      <c r="G216" s="48"/>
      <c r="H216" s="48"/>
      <c r="I216" s="49"/>
      <c r="J216" s="47"/>
      <c r="K216" s="48"/>
      <c r="L216" s="48"/>
      <c r="M216" s="49"/>
      <c r="N216" s="47"/>
      <c r="O216" s="48"/>
      <c r="P216" s="48"/>
      <c r="Q216" s="49"/>
    </row>
    <row r="217" spans="1:17" ht="9.75" hidden="1" customHeight="1">
      <c r="A217" s="5" t="str">
        <f t="shared" si="9"/>
        <v>･</v>
      </c>
      <c r="B217" s="47"/>
      <c r="C217" s="48"/>
      <c r="D217" s="48"/>
      <c r="E217" s="49"/>
      <c r="F217" s="47"/>
      <c r="G217" s="48"/>
      <c r="H217" s="48"/>
      <c r="I217" s="49"/>
      <c r="J217" s="47"/>
      <c r="K217" s="48"/>
      <c r="L217" s="48"/>
      <c r="M217" s="49"/>
      <c r="N217" s="47"/>
      <c r="O217" s="48"/>
      <c r="P217" s="48"/>
      <c r="Q217" s="49"/>
    </row>
    <row r="218" spans="1:17" ht="9.75" hidden="1" customHeight="1">
      <c r="A218" s="5" t="str">
        <f t="shared" si="9"/>
        <v>･</v>
      </c>
      <c r="B218" s="47"/>
      <c r="C218" s="48"/>
      <c r="D218" s="48"/>
      <c r="E218" s="49"/>
      <c r="F218" s="47"/>
      <c r="G218" s="48"/>
      <c r="H218" s="48"/>
      <c r="I218" s="49"/>
      <c r="J218" s="47"/>
      <c r="K218" s="48"/>
      <c r="L218" s="48"/>
      <c r="M218" s="49"/>
      <c r="N218" s="47"/>
      <c r="O218" s="48"/>
      <c r="P218" s="48"/>
      <c r="Q218" s="49"/>
    </row>
    <row r="219" spans="1:17" ht="9.75" hidden="1" customHeight="1">
      <c r="A219" s="5" t="str">
        <f t="shared" si="9"/>
        <v>･</v>
      </c>
      <c r="B219" s="47"/>
      <c r="C219" s="48"/>
      <c r="D219" s="48"/>
      <c r="E219" s="49"/>
      <c r="F219" s="47"/>
      <c r="G219" s="48"/>
      <c r="H219" s="48"/>
      <c r="I219" s="49"/>
      <c r="J219" s="47"/>
      <c r="K219" s="48"/>
      <c r="L219" s="48"/>
      <c r="M219" s="49"/>
      <c r="N219" s="47"/>
      <c r="O219" s="48"/>
      <c r="P219" s="48"/>
      <c r="Q219" s="49"/>
    </row>
    <row r="220" spans="1:17" ht="9.75" hidden="1" customHeight="1">
      <c r="A220" s="5" t="str">
        <f t="shared" si="9"/>
        <v>･</v>
      </c>
      <c r="B220" s="47"/>
      <c r="C220" s="48"/>
      <c r="D220" s="48"/>
      <c r="E220" s="49"/>
      <c r="F220" s="47"/>
      <c r="G220" s="48"/>
      <c r="H220" s="48"/>
      <c r="I220" s="49"/>
      <c r="J220" s="47"/>
      <c r="K220" s="48"/>
      <c r="L220" s="48"/>
      <c r="M220" s="49"/>
      <c r="N220" s="47"/>
      <c r="O220" s="48"/>
      <c r="P220" s="48"/>
      <c r="Q220" s="49"/>
    </row>
    <row r="221" spans="1:17" ht="9.75" hidden="1" customHeight="1">
      <c r="A221" s="5" t="str">
        <f t="shared" si="9"/>
        <v>･</v>
      </c>
      <c r="B221" s="47"/>
      <c r="C221" s="48"/>
      <c r="D221" s="48"/>
      <c r="E221" s="49"/>
      <c r="F221" s="47"/>
      <c r="G221" s="48"/>
      <c r="H221" s="48"/>
      <c r="I221" s="49"/>
      <c r="J221" s="47"/>
      <c r="K221" s="48"/>
      <c r="L221" s="48"/>
      <c r="M221" s="49"/>
      <c r="N221" s="47"/>
      <c r="O221" s="48"/>
      <c r="P221" s="48"/>
      <c r="Q221" s="49"/>
    </row>
    <row r="222" spans="1:17" ht="9.75" hidden="1" customHeight="1">
      <c r="A222" s="5" t="str">
        <f t="shared" si="9"/>
        <v>･</v>
      </c>
      <c r="B222" s="47"/>
      <c r="C222" s="48"/>
      <c r="D222" s="48"/>
      <c r="E222" s="49"/>
      <c r="F222" s="47"/>
      <c r="G222" s="48"/>
      <c r="H222" s="48"/>
      <c r="I222" s="49"/>
      <c r="J222" s="47"/>
      <c r="K222" s="48"/>
      <c r="L222" s="48"/>
      <c r="M222" s="49"/>
      <c r="N222" s="47"/>
      <c r="O222" s="48"/>
      <c r="P222" s="48"/>
      <c r="Q222" s="49"/>
    </row>
    <row r="223" spans="1:17" ht="9.75" hidden="1" customHeight="1">
      <c r="A223" s="5" t="str">
        <f t="shared" si="9"/>
        <v>･</v>
      </c>
      <c r="B223" s="47"/>
      <c r="C223" s="48"/>
      <c r="D223" s="48"/>
      <c r="E223" s="49"/>
      <c r="F223" s="47"/>
      <c r="G223" s="48"/>
      <c r="H223" s="48"/>
      <c r="I223" s="49"/>
      <c r="J223" s="47"/>
      <c r="K223" s="48"/>
      <c r="L223" s="48"/>
      <c r="M223" s="49"/>
      <c r="N223" s="47"/>
      <c r="O223" s="48"/>
      <c r="P223" s="48"/>
      <c r="Q223" s="49"/>
    </row>
    <row r="224" spans="1:17" ht="9.75" hidden="1" customHeight="1">
      <c r="A224" s="5" t="str">
        <f t="shared" si="9"/>
        <v>･</v>
      </c>
      <c r="B224" s="47"/>
      <c r="C224" s="48"/>
      <c r="D224" s="48"/>
      <c r="E224" s="49"/>
      <c r="F224" s="47"/>
      <c r="G224" s="48"/>
      <c r="H224" s="48"/>
      <c r="I224" s="49"/>
      <c r="J224" s="47"/>
      <c r="K224" s="48"/>
      <c r="L224" s="48"/>
      <c r="M224" s="49"/>
      <c r="N224" s="47"/>
      <c r="O224" s="48"/>
      <c r="P224" s="48"/>
      <c r="Q224" s="49"/>
    </row>
    <row r="225" spans="1:17" ht="9.75" hidden="1" customHeight="1">
      <c r="A225" s="5" t="str">
        <f t="shared" si="9"/>
        <v>･</v>
      </c>
      <c r="B225" s="47"/>
      <c r="C225" s="48"/>
      <c r="D225" s="48"/>
      <c r="E225" s="49"/>
      <c r="F225" s="47"/>
      <c r="G225" s="48"/>
      <c r="H225" s="48"/>
      <c r="I225" s="49"/>
      <c r="J225" s="47"/>
      <c r="K225" s="48"/>
      <c r="L225" s="48"/>
      <c r="M225" s="49"/>
      <c r="N225" s="47"/>
      <c r="O225" s="48"/>
      <c r="P225" s="48"/>
      <c r="Q225" s="49"/>
    </row>
    <row r="226" spans="1:17" ht="9.75" hidden="1" customHeight="1">
      <c r="A226" s="5" t="str">
        <f t="shared" si="9"/>
        <v>･</v>
      </c>
      <c r="B226" s="47"/>
      <c r="C226" s="48"/>
      <c r="D226" s="48"/>
      <c r="E226" s="49"/>
      <c r="F226" s="47"/>
      <c r="G226" s="48"/>
      <c r="H226" s="48"/>
      <c r="I226" s="49"/>
      <c r="J226" s="47"/>
      <c r="K226" s="48"/>
      <c r="L226" s="48"/>
      <c r="M226" s="49"/>
      <c r="N226" s="47"/>
      <c r="O226" s="48"/>
      <c r="P226" s="48"/>
      <c r="Q226" s="49"/>
    </row>
    <row r="227" spans="1:17" ht="9.75" hidden="1" customHeight="1">
      <c r="A227" s="5" t="str">
        <f t="shared" si="9"/>
        <v>･</v>
      </c>
      <c r="B227" s="47"/>
      <c r="C227" s="48"/>
      <c r="D227" s="48"/>
      <c r="E227" s="49"/>
      <c r="F227" s="47"/>
      <c r="G227" s="48"/>
      <c r="H227" s="48"/>
      <c r="I227" s="49"/>
      <c r="J227" s="47"/>
      <c r="K227" s="48"/>
      <c r="L227" s="48"/>
      <c r="M227" s="49"/>
      <c r="N227" s="47"/>
      <c r="O227" s="48"/>
      <c r="P227" s="48"/>
      <c r="Q227" s="49"/>
    </row>
    <row r="228" spans="1:17" ht="9.75" hidden="1" customHeight="1">
      <c r="A228" s="5" t="str">
        <f t="shared" si="9"/>
        <v>･</v>
      </c>
      <c r="B228" s="47"/>
      <c r="C228" s="48"/>
      <c r="D228" s="48"/>
      <c r="E228" s="49"/>
      <c r="F228" s="47"/>
      <c r="G228" s="48"/>
      <c r="H228" s="48"/>
      <c r="I228" s="49"/>
      <c r="J228" s="47"/>
      <c r="K228" s="48"/>
      <c r="L228" s="48"/>
      <c r="M228" s="49"/>
      <c r="N228" s="47"/>
      <c r="O228" s="48"/>
      <c r="P228" s="48"/>
      <c r="Q228" s="49"/>
    </row>
    <row r="229" spans="1:17" ht="9.75" hidden="1" customHeight="1">
      <c r="A229" s="5" t="str">
        <f t="shared" si="9"/>
        <v>･</v>
      </c>
      <c r="B229" s="47"/>
      <c r="C229" s="48"/>
      <c r="D229" s="48"/>
      <c r="E229" s="49"/>
      <c r="F229" s="47"/>
      <c r="G229" s="48"/>
      <c r="H229" s="48"/>
      <c r="I229" s="49"/>
      <c r="J229" s="47"/>
      <c r="K229" s="48"/>
      <c r="L229" s="48"/>
      <c r="M229" s="49"/>
      <c r="N229" s="47"/>
      <c r="O229" s="48"/>
      <c r="P229" s="48"/>
      <c r="Q229" s="49"/>
    </row>
    <row r="230" spans="1:17" ht="9.75" hidden="1" customHeight="1">
      <c r="A230" s="5" t="str">
        <f t="shared" si="9"/>
        <v>･</v>
      </c>
      <c r="B230" s="47"/>
      <c r="C230" s="48"/>
      <c r="D230" s="48"/>
      <c r="E230" s="49"/>
      <c r="F230" s="47"/>
      <c r="G230" s="48"/>
      <c r="H230" s="48"/>
      <c r="I230" s="49"/>
      <c r="J230" s="47"/>
      <c r="K230" s="48"/>
      <c r="L230" s="48"/>
      <c r="M230" s="49"/>
      <c r="N230" s="47"/>
      <c r="O230" s="48"/>
      <c r="P230" s="48"/>
      <c r="Q230" s="49"/>
    </row>
    <row r="231" spans="1:17" ht="9.75" hidden="1" customHeight="1">
      <c r="A231" s="5" t="str">
        <f t="shared" si="9"/>
        <v>･</v>
      </c>
      <c r="B231" s="47"/>
      <c r="C231" s="48"/>
      <c r="D231" s="48"/>
      <c r="E231" s="49"/>
      <c r="F231" s="47"/>
      <c r="G231" s="48"/>
      <c r="H231" s="48"/>
      <c r="I231" s="49"/>
      <c r="J231" s="47"/>
      <c r="K231" s="48"/>
      <c r="L231" s="48"/>
      <c r="M231" s="49"/>
      <c r="N231" s="47"/>
      <c r="O231" s="48"/>
      <c r="P231" s="48"/>
      <c r="Q231" s="49"/>
    </row>
    <row r="232" spans="1:17" ht="9.75" hidden="1" customHeight="1">
      <c r="A232" s="5" t="str">
        <f t="shared" si="9"/>
        <v>･</v>
      </c>
      <c r="B232" s="47"/>
      <c r="C232" s="48"/>
      <c r="D232" s="48"/>
      <c r="E232" s="49"/>
      <c r="F232" s="47"/>
      <c r="G232" s="48"/>
      <c r="H232" s="48"/>
      <c r="I232" s="49"/>
      <c r="J232" s="47"/>
      <c r="K232" s="48"/>
      <c r="L232" s="48"/>
      <c r="M232" s="49"/>
      <c r="N232" s="47"/>
      <c r="O232" s="48"/>
      <c r="P232" s="48"/>
      <c r="Q232" s="49"/>
    </row>
    <row r="233" spans="1:17" ht="9.75" hidden="1" customHeight="1">
      <c r="A233" s="5" t="str">
        <f t="shared" si="9"/>
        <v>･</v>
      </c>
      <c r="B233" s="47"/>
      <c r="C233" s="48"/>
      <c r="D233" s="48"/>
      <c r="E233" s="49"/>
      <c r="F233" s="47"/>
      <c r="G233" s="48"/>
      <c r="H233" s="48"/>
      <c r="I233" s="49"/>
      <c r="J233" s="47"/>
      <c r="K233" s="48"/>
      <c r="L233" s="48"/>
      <c r="M233" s="49"/>
      <c r="N233" s="47"/>
      <c r="O233" s="48"/>
      <c r="P233" s="48"/>
      <c r="Q233" s="49"/>
    </row>
    <row r="234" spans="1:17" ht="9.75" hidden="1" customHeight="1">
      <c r="A234" s="5" t="str">
        <f t="shared" si="9"/>
        <v>･</v>
      </c>
      <c r="B234" s="47"/>
      <c r="C234" s="48"/>
      <c r="D234" s="48"/>
      <c r="E234" s="49"/>
      <c r="F234" s="47"/>
      <c r="G234" s="48"/>
      <c r="H234" s="48"/>
      <c r="I234" s="49"/>
      <c r="J234" s="47"/>
      <c r="K234" s="48"/>
      <c r="L234" s="48"/>
      <c r="M234" s="49"/>
      <c r="N234" s="47"/>
      <c r="O234" s="48"/>
      <c r="P234" s="48"/>
      <c r="Q234" s="49"/>
    </row>
    <row r="235" spans="1:17" ht="9.75" hidden="1" customHeight="1">
      <c r="A235" s="5" t="str">
        <f t="shared" si="9"/>
        <v>･</v>
      </c>
      <c r="B235" s="47"/>
      <c r="C235" s="48"/>
      <c r="D235" s="48"/>
      <c r="E235" s="49"/>
      <c r="F235" s="47"/>
      <c r="G235" s="48"/>
      <c r="H235" s="48"/>
      <c r="I235" s="49"/>
      <c r="J235" s="47"/>
      <c r="K235" s="48"/>
      <c r="L235" s="48"/>
      <c r="M235" s="49"/>
      <c r="N235" s="47"/>
      <c r="O235" s="48"/>
      <c r="P235" s="48"/>
      <c r="Q235" s="49"/>
    </row>
    <row r="236" spans="1:17" ht="9.75" hidden="1" customHeight="1">
      <c r="A236" s="5" t="str">
        <f t="shared" si="9"/>
        <v>･</v>
      </c>
      <c r="B236" s="47"/>
      <c r="C236" s="48"/>
      <c r="D236" s="48"/>
      <c r="E236" s="49"/>
      <c r="F236" s="47"/>
      <c r="G236" s="48"/>
      <c r="H236" s="48"/>
      <c r="I236" s="49"/>
      <c r="J236" s="47"/>
      <c r="K236" s="48"/>
      <c r="L236" s="48"/>
      <c r="M236" s="49"/>
      <c r="N236" s="47"/>
      <c r="O236" s="48"/>
      <c r="P236" s="48"/>
      <c r="Q236" s="49"/>
    </row>
    <row r="237" spans="1:17" ht="9.75" hidden="1" customHeight="1">
      <c r="A237" s="5" t="str">
        <f t="shared" si="9"/>
        <v>･</v>
      </c>
      <c r="B237" s="47"/>
      <c r="C237" s="48"/>
      <c r="D237" s="48"/>
      <c r="E237" s="49"/>
      <c r="F237" s="47"/>
      <c r="G237" s="48"/>
      <c r="H237" s="48"/>
      <c r="I237" s="49"/>
      <c r="J237" s="47"/>
      <c r="K237" s="48"/>
      <c r="L237" s="48"/>
      <c r="M237" s="49"/>
      <c r="N237" s="47"/>
      <c r="O237" s="48"/>
      <c r="P237" s="48"/>
      <c r="Q237" s="49"/>
    </row>
    <row r="238" spans="1:17" ht="9.75" hidden="1" customHeight="1">
      <c r="A238" s="5" t="str">
        <f t="shared" si="9"/>
        <v>･</v>
      </c>
      <c r="B238" s="47"/>
      <c r="C238" s="48"/>
      <c r="D238" s="48"/>
      <c r="E238" s="49"/>
      <c r="F238" s="47"/>
      <c r="G238" s="48"/>
      <c r="H238" s="48"/>
      <c r="I238" s="49"/>
      <c r="J238" s="47"/>
      <c r="K238" s="48"/>
      <c r="L238" s="48"/>
      <c r="M238" s="49"/>
      <c r="N238" s="47"/>
      <c r="O238" s="48"/>
      <c r="P238" s="48"/>
      <c r="Q238" s="49"/>
    </row>
    <row r="239" spans="1:17" ht="9.75" hidden="1" customHeight="1">
      <c r="A239" s="5" t="str">
        <f t="shared" si="9"/>
        <v>･</v>
      </c>
      <c r="B239" s="47"/>
      <c r="C239" s="48"/>
      <c r="D239" s="48"/>
      <c r="E239" s="49"/>
      <c r="F239" s="47"/>
      <c r="G239" s="48"/>
      <c r="H239" s="48"/>
      <c r="I239" s="49"/>
      <c r="J239" s="47"/>
      <c r="K239" s="48"/>
      <c r="L239" s="48"/>
      <c r="M239" s="49"/>
      <c r="N239" s="47"/>
      <c r="O239" s="48"/>
      <c r="P239" s="48"/>
      <c r="Q239" s="49"/>
    </row>
    <row r="240" spans="1:17" ht="9.75" hidden="1" customHeight="1">
      <c r="A240" s="5" t="str">
        <f t="shared" si="9"/>
        <v>･</v>
      </c>
      <c r="B240" s="47"/>
      <c r="C240" s="48"/>
      <c r="D240" s="48"/>
      <c r="E240" s="49"/>
      <c r="F240" s="47"/>
      <c r="G240" s="48"/>
      <c r="H240" s="48"/>
      <c r="I240" s="49"/>
      <c r="J240" s="47"/>
      <c r="K240" s="48"/>
      <c r="L240" s="48"/>
      <c r="M240" s="49"/>
      <c r="N240" s="47"/>
      <c r="O240" s="48"/>
      <c r="P240" s="48"/>
      <c r="Q240" s="49"/>
    </row>
    <row r="241" spans="1:17" ht="9.75" hidden="1" customHeight="1">
      <c r="A241" s="5" t="str">
        <f t="shared" si="9"/>
        <v>･</v>
      </c>
      <c r="B241" s="47"/>
      <c r="C241" s="48"/>
      <c r="D241" s="48"/>
      <c r="E241" s="49"/>
      <c r="F241" s="47"/>
      <c r="G241" s="48"/>
      <c r="H241" s="48"/>
      <c r="I241" s="49"/>
      <c r="J241" s="47"/>
      <c r="K241" s="48"/>
      <c r="L241" s="48"/>
      <c r="M241" s="49"/>
      <c r="N241" s="47"/>
      <c r="O241" s="48"/>
      <c r="P241" s="48"/>
      <c r="Q241" s="49"/>
    </row>
    <row r="242" spans="1:17" ht="9.75" hidden="1" customHeight="1">
      <c r="A242" s="5" t="str">
        <f t="shared" si="9"/>
        <v>･</v>
      </c>
      <c r="B242" s="47"/>
      <c r="C242" s="48"/>
      <c r="D242" s="48"/>
      <c r="E242" s="49"/>
      <c r="F242" s="47"/>
      <c r="G242" s="48"/>
      <c r="H242" s="48"/>
      <c r="I242" s="49"/>
      <c r="J242" s="47"/>
      <c r="K242" s="48"/>
      <c r="L242" s="48"/>
      <c r="M242" s="49"/>
      <c r="N242" s="47"/>
      <c r="O242" s="48"/>
      <c r="P242" s="48"/>
      <c r="Q242" s="49"/>
    </row>
    <row r="243" spans="1:17" ht="9.75" hidden="1" customHeight="1">
      <c r="A243" s="5" t="str">
        <f t="shared" si="9"/>
        <v>･</v>
      </c>
      <c r="B243" s="47"/>
      <c r="C243" s="48"/>
      <c r="D243" s="48"/>
      <c r="E243" s="49"/>
      <c r="F243" s="47"/>
      <c r="G243" s="48"/>
      <c r="H243" s="48"/>
      <c r="I243" s="49"/>
      <c r="J243" s="47"/>
      <c r="K243" s="48"/>
      <c r="L243" s="48"/>
      <c r="M243" s="49"/>
      <c r="N243" s="47"/>
      <c r="O243" s="48"/>
      <c r="P243" s="48"/>
      <c r="Q243" s="49"/>
    </row>
    <row r="244" spans="1:17" ht="9.75" hidden="1" customHeight="1">
      <c r="A244" s="5" t="str">
        <f t="shared" si="9"/>
        <v>･</v>
      </c>
      <c r="B244" s="47"/>
      <c r="C244" s="48"/>
      <c r="D244" s="48"/>
      <c r="E244" s="49"/>
      <c r="F244" s="47"/>
      <c r="G244" s="48"/>
      <c r="H244" s="48"/>
      <c r="I244" s="49"/>
      <c r="J244" s="47"/>
      <c r="K244" s="48"/>
      <c r="L244" s="48"/>
      <c r="M244" s="49"/>
      <c r="N244" s="47"/>
      <c r="O244" s="48"/>
      <c r="P244" s="48"/>
      <c r="Q244" s="49"/>
    </row>
    <row r="245" spans="1:17" ht="9.75" hidden="1" customHeight="1">
      <c r="A245" s="5" t="str">
        <f t="shared" si="9"/>
        <v>･</v>
      </c>
      <c r="B245" s="47"/>
      <c r="C245" s="48"/>
      <c r="D245" s="48"/>
      <c r="E245" s="49"/>
      <c r="F245" s="47"/>
      <c r="G245" s="48"/>
      <c r="H245" s="48"/>
      <c r="I245" s="49"/>
      <c r="J245" s="47"/>
      <c r="K245" s="48"/>
      <c r="L245" s="48"/>
      <c r="M245" s="49"/>
      <c r="N245" s="47"/>
      <c r="O245" s="48"/>
      <c r="P245" s="48"/>
      <c r="Q245" s="49"/>
    </row>
    <row r="246" spans="1:17" ht="9.75" hidden="1" customHeight="1">
      <c r="A246" s="5" t="str">
        <f t="shared" si="9"/>
        <v>･</v>
      </c>
      <c r="B246" s="47"/>
      <c r="C246" s="48"/>
      <c r="D246" s="48"/>
      <c r="E246" s="49"/>
      <c r="F246" s="47"/>
      <c r="G246" s="48"/>
      <c r="H246" s="48"/>
      <c r="I246" s="49"/>
      <c r="J246" s="47"/>
      <c r="K246" s="48"/>
      <c r="L246" s="48"/>
      <c r="M246" s="49"/>
      <c r="N246" s="47"/>
      <c r="O246" s="48"/>
      <c r="P246" s="48"/>
      <c r="Q246" s="49"/>
    </row>
    <row r="247" spans="1:17" ht="9.75" hidden="1" customHeight="1">
      <c r="A247" s="5" t="str">
        <f t="shared" si="9"/>
        <v>･</v>
      </c>
      <c r="B247" s="47"/>
      <c r="C247" s="48"/>
      <c r="D247" s="48"/>
      <c r="E247" s="49"/>
      <c r="F247" s="47"/>
      <c r="G247" s="48"/>
      <c r="H247" s="48"/>
      <c r="I247" s="49"/>
      <c r="J247" s="47"/>
      <c r="K247" s="48"/>
      <c r="L247" s="48"/>
      <c r="M247" s="49"/>
      <c r="N247" s="47"/>
      <c r="O247" s="48"/>
      <c r="P247" s="48"/>
      <c r="Q247" s="49"/>
    </row>
    <row r="248" spans="1:17" ht="9.75" hidden="1" customHeight="1">
      <c r="A248" s="5" t="str">
        <f t="shared" si="9"/>
        <v>･</v>
      </c>
      <c r="B248" s="47"/>
      <c r="C248" s="48"/>
      <c r="D248" s="48"/>
      <c r="E248" s="49"/>
      <c r="F248" s="47"/>
      <c r="G248" s="48"/>
      <c r="H248" s="48"/>
      <c r="I248" s="49"/>
      <c r="J248" s="47"/>
      <c r="K248" s="48"/>
      <c r="L248" s="48"/>
      <c r="M248" s="49"/>
      <c r="N248" s="47"/>
      <c r="O248" s="48"/>
      <c r="P248" s="48"/>
      <c r="Q248" s="49"/>
    </row>
    <row r="249" spans="1:17" ht="9.75" hidden="1" customHeight="1">
      <c r="A249" s="5" t="str">
        <f t="shared" si="9"/>
        <v>･</v>
      </c>
      <c r="B249" s="47"/>
      <c r="C249" s="48"/>
      <c r="D249" s="48"/>
      <c r="E249" s="49"/>
      <c r="F249" s="47"/>
      <c r="G249" s="48"/>
      <c r="H249" s="48"/>
      <c r="I249" s="49"/>
      <c r="J249" s="47"/>
      <c r="K249" s="48"/>
      <c r="L249" s="48"/>
      <c r="M249" s="49"/>
      <c r="N249" s="47"/>
      <c r="O249" s="48"/>
      <c r="P249" s="48"/>
      <c r="Q249" s="49"/>
    </row>
    <row r="250" spans="1:17" ht="9.75" hidden="1" customHeight="1">
      <c r="A250" s="5" t="str">
        <f t="shared" si="9"/>
        <v>･</v>
      </c>
      <c r="B250" s="47"/>
      <c r="C250" s="48"/>
      <c r="D250" s="48"/>
      <c r="E250" s="49"/>
      <c r="F250" s="47"/>
      <c r="G250" s="48"/>
      <c r="H250" s="48"/>
      <c r="I250" s="49"/>
      <c r="J250" s="47"/>
      <c r="K250" s="48"/>
      <c r="L250" s="48"/>
      <c r="M250" s="49"/>
      <c r="N250" s="47"/>
      <c r="O250" s="48"/>
      <c r="P250" s="48"/>
      <c r="Q250" s="49"/>
    </row>
    <row r="251" spans="1:17" ht="9.75" hidden="1" customHeight="1">
      <c r="A251" s="5" t="str">
        <f t="shared" si="9"/>
        <v>･</v>
      </c>
      <c r="B251" s="47"/>
      <c r="C251" s="48"/>
      <c r="D251" s="48"/>
      <c r="E251" s="49"/>
      <c r="F251" s="47"/>
      <c r="G251" s="48"/>
      <c r="H251" s="48"/>
      <c r="I251" s="49"/>
      <c r="J251" s="47"/>
      <c r="K251" s="48"/>
      <c r="L251" s="48"/>
      <c r="M251" s="49"/>
      <c r="N251" s="47"/>
      <c r="O251" s="48"/>
      <c r="P251" s="48"/>
      <c r="Q251" s="49"/>
    </row>
    <row r="252" spans="1:17" ht="9.75" hidden="1" customHeight="1">
      <c r="A252" s="5" t="str">
        <f t="shared" si="9"/>
        <v>･</v>
      </c>
      <c r="B252" s="47"/>
      <c r="C252" s="48"/>
      <c r="D252" s="48"/>
      <c r="E252" s="49"/>
      <c r="F252" s="47"/>
      <c r="G252" s="48"/>
      <c r="H252" s="48"/>
      <c r="I252" s="49"/>
      <c r="J252" s="47"/>
      <c r="K252" s="48"/>
      <c r="L252" s="48"/>
      <c r="M252" s="49"/>
      <c r="N252" s="47"/>
      <c r="O252" s="48"/>
      <c r="P252" s="48"/>
      <c r="Q252" s="49"/>
    </row>
    <row r="253" spans="1:17" ht="9.75" hidden="1" customHeight="1">
      <c r="A253" s="5" t="str">
        <f t="shared" si="9"/>
        <v>･</v>
      </c>
      <c r="B253" s="47"/>
      <c r="C253" s="48"/>
      <c r="D253" s="48"/>
      <c r="E253" s="49"/>
      <c r="F253" s="47"/>
      <c r="G253" s="48"/>
      <c r="H253" s="48"/>
      <c r="I253" s="49"/>
      <c r="J253" s="47"/>
      <c r="K253" s="48"/>
      <c r="L253" s="48"/>
      <c r="M253" s="49"/>
      <c r="N253" s="47"/>
      <c r="O253" s="48"/>
      <c r="P253" s="48"/>
      <c r="Q253" s="49"/>
    </row>
    <row r="254" spans="1:17" ht="9.75" hidden="1" customHeight="1">
      <c r="A254" s="5" t="str">
        <f t="shared" si="9"/>
        <v>･</v>
      </c>
      <c r="B254" s="47"/>
      <c r="C254" s="48"/>
      <c r="D254" s="48"/>
      <c r="E254" s="49"/>
      <c r="F254" s="47"/>
      <c r="G254" s="48"/>
      <c r="H254" s="48"/>
      <c r="I254" s="49"/>
      <c r="J254" s="47"/>
      <c r="K254" s="48"/>
      <c r="L254" s="48"/>
      <c r="M254" s="49"/>
      <c r="N254" s="47"/>
      <c r="O254" s="48"/>
      <c r="P254" s="48"/>
      <c r="Q254" s="49"/>
    </row>
    <row r="255" spans="1:17" ht="9.75" hidden="1" customHeight="1">
      <c r="A255" s="5" t="str">
        <f t="shared" si="9"/>
        <v>･</v>
      </c>
      <c r="B255" s="47"/>
      <c r="C255" s="48"/>
      <c r="D255" s="48"/>
      <c r="E255" s="49"/>
      <c r="F255" s="47"/>
      <c r="G255" s="48"/>
      <c r="H255" s="48"/>
      <c r="I255" s="49"/>
      <c r="J255" s="47"/>
      <c r="K255" s="48"/>
      <c r="L255" s="48"/>
      <c r="M255" s="49"/>
      <c r="N255" s="47"/>
      <c r="O255" s="48"/>
      <c r="P255" s="48"/>
      <c r="Q255" s="49"/>
    </row>
    <row r="256" spans="1:17" ht="9.75" hidden="1" customHeight="1">
      <c r="A256" s="5" t="str">
        <f t="shared" si="9"/>
        <v>･</v>
      </c>
      <c r="B256" s="47"/>
      <c r="C256" s="48"/>
      <c r="D256" s="48"/>
      <c r="E256" s="49"/>
      <c r="F256" s="47"/>
      <c r="G256" s="48"/>
      <c r="H256" s="48"/>
      <c r="I256" s="49"/>
      <c r="J256" s="47"/>
      <c r="K256" s="48"/>
      <c r="L256" s="48"/>
      <c r="M256" s="49"/>
      <c r="N256" s="47"/>
      <c r="O256" s="48"/>
      <c r="P256" s="48"/>
      <c r="Q256" s="49"/>
    </row>
    <row r="257" spans="1:17" ht="9.75" hidden="1" customHeight="1">
      <c r="A257" s="5" t="str">
        <f t="shared" si="9"/>
        <v>･</v>
      </c>
      <c r="B257" s="47"/>
      <c r="C257" s="48"/>
      <c r="D257" s="48"/>
      <c r="E257" s="49"/>
      <c r="F257" s="47"/>
      <c r="G257" s="48"/>
      <c r="H257" s="48"/>
      <c r="I257" s="49"/>
      <c r="J257" s="47"/>
      <c r="K257" s="48"/>
      <c r="L257" s="48"/>
      <c r="M257" s="49"/>
      <c r="N257" s="47"/>
      <c r="O257" s="48"/>
      <c r="P257" s="48"/>
      <c r="Q257" s="49"/>
    </row>
    <row r="258" spans="1:17" ht="9.75" hidden="1" customHeight="1">
      <c r="A258" s="5" t="str">
        <f t="shared" si="9"/>
        <v>･</v>
      </c>
      <c r="B258" s="66"/>
      <c r="C258" s="67"/>
      <c r="D258" s="67"/>
      <c r="E258" s="68"/>
      <c r="F258" s="66"/>
      <c r="G258" s="67"/>
      <c r="H258" s="67"/>
      <c r="I258" s="68"/>
      <c r="J258" s="66"/>
      <c r="K258" s="67"/>
      <c r="L258" s="67"/>
      <c r="M258" s="68"/>
      <c r="N258" s="66"/>
      <c r="O258" s="67"/>
      <c r="P258" s="67"/>
      <c r="Q258" s="68"/>
    </row>
    <row r="259" spans="1:17" ht="9.75" hidden="1" customHeight="1">
      <c r="B259" s="104"/>
      <c r="C259" s="104"/>
      <c r="D259" s="104"/>
      <c r="E259" s="104"/>
      <c r="F259" s="104"/>
      <c r="G259" s="104"/>
      <c r="H259" s="104"/>
      <c r="I259" s="104"/>
      <c r="J259" s="104"/>
      <c r="K259" s="104"/>
      <c r="L259" s="104"/>
      <c r="M259" s="104"/>
      <c r="N259" s="104"/>
      <c r="O259" s="104"/>
      <c r="P259" s="104"/>
      <c r="Q259" s="104"/>
    </row>
    <row r="260" spans="1:17" ht="9.75" customHeight="1">
      <c r="B260" s="101" t="s">
        <v>236</v>
      </c>
    </row>
    <row r="261" spans="1:17" ht="9.75" customHeight="1">
      <c r="B261" s="101" t="s">
        <v>237</v>
      </c>
    </row>
  </sheetData>
  <mergeCells count="27">
    <mergeCell ref="B207:E207"/>
    <mergeCell ref="F207:I207"/>
    <mergeCell ref="J207:M207"/>
    <mergeCell ref="N207:Q207"/>
    <mergeCell ref="AQ104:AS104"/>
    <mergeCell ref="Y104:AA104"/>
    <mergeCell ref="AB104:AD104"/>
    <mergeCell ref="AE104:AG104"/>
    <mergeCell ref="AH104:AJ104"/>
    <mergeCell ref="AK104:AM104"/>
    <mergeCell ref="AN104:AP104"/>
    <mergeCell ref="B104:E104"/>
    <mergeCell ref="F104:I104"/>
    <mergeCell ref="J104:M104"/>
    <mergeCell ref="N104:Q104"/>
    <mergeCell ref="R104:U104"/>
    <mergeCell ref="AT104:AU104"/>
    <mergeCell ref="AV104:AW104"/>
    <mergeCell ref="AX104:AY104"/>
    <mergeCell ref="AZ104:BA104"/>
    <mergeCell ref="BC104:BD104"/>
    <mergeCell ref="V104:X104"/>
    <mergeCell ref="B1:E1"/>
    <mergeCell ref="F1:I1"/>
    <mergeCell ref="J1:M1"/>
    <mergeCell ref="N1:Q1"/>
    <mergeCell ref="R1:U1"/>
  </mergeCells>
  <phoneticPr fontId="1"/>
  <dataValidations count="3">
    <dataValidation type="list" allowBlank="1" showInputMessage="1" showErrorMessage="1" sqref="R3:U52 W5" xr:uid="{A44E08AB-830F-4C31-A203-09AE5F7FE036}">
      <formula1>"Linear,Bi-Linear,Takeda"</formula1>
    </dataValidation>
    <dataValidation type="list" allowBlank="1" showInputMessage="1" showErrorMessage="1" sqref="W7" xr:uid="{C1B261A4-66C4-4D27-BA34-5F064BC52A45}">
      <formula1>"β=1/4,β=1/6"</formula1>
    </dataValidation>
    <dataValidation type="list" allowBlank="1" showInputMessage="1" showErrorMessage="1" sqref="W9" xr:uid="{B9CA7183-3D3C-48FB-944B-C40CC4C1B75C}">
      <formula1>"LU,LLT,LDLT"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9594C-F072-4CE8-8F0B-C78B074B98EE}">
  <sheetPr codeName="Sheet15"/>
  <dimension ref="A1:AG69"/>
  <sheetViews>
    <sheetView workbookViewId="0">
      <selection sqref="A1:A2"/>
    </sheetView>
  </sheetViews>
  <sheetFormatPr defaultColWidth="8.7109375" defaultRowHeight="9.75" customHeight="1"/>
  <cols>
    <col min="1" max="16384" width="8.7109375" style="13"/>
  </cols>
  <sheetData>
    <row r="1" spans="1:33" ht="9.75" customHeight="1">
      <c r="A1" s="159" t="s">
        <v>65</v>
      </c>
      <c r="B1" s="26" t="s">
        <v>130</v>
      </c>
      <c r="C1" s="159" t="s">
        <v>131</v>
      </c>
      <c r="D1" s="159" t="s">
        <v>132</v>
      </c>
      <c r="E1" s="159" t="s">
        <v>133</v>
      </c>
      <c r="F1" s="159" t="s">
        <v>134</v>
      </c>
      <c r="G1" s="159" t="s">
        <v>135</v>
      </c>
      <c r="H1" s="159" t="s">
        <v>136</v>
      </c>
      <c r="I1" s="159" t="s">
        <v>50</v>
      </c>
      <c r="J1" s="159" t="s">
        <v>48</v>
      </c>
      <c r="K1" s="26" t="s">
        <v>49</v>
      </c>
      <c r="L1" s="26" t="s">
        <v>50</v>
      </c>
      <c r="M1" s="26" t="s">
        <v>51</v>
      </c>
      <c r="N1" s="26" t="s">
        <v>52</v>
      </c>
      <c r="O1" s="26" t="s">
        <v>53</v>
      </c>
      <c r="P1" s="159" t="s">
        <v>257</v>
      </c>
      <c r="Q1" s="159" t="s">
        <v>54</v>
      </c>
      <c r="R1" s="26" t="s">
        <v>55</v>
      </c>
      <c r="S1" s="26" t="s">
        <v>56</v>
      </c>
      <c r="T1" s="155" t="s">
        <v>57</v>
      </c>
      <c r="U1" s="158"/>
      <c r="V1" s="158" t="s">
        <v>58</v>
      </c>
      <c r="W1" s="158"/>
      <c r="X1" s="158" t="s">
        <v>59</v>
      </c>
      <c r="Y1" s="158"/>
      <c r="Z1" s="158" t="s">
        <v>60</v>
      </c>
      <c r="AA1" s="158"/>
      <c r="AB1" s="158" t="s">
        <v>61</v>
      </c>
      <c r="AC1" s="158"/>
      <c r="AD1" s="158" t="s">
        <v>62</v>
      </c>
      <c r="AE1" s="158"/>
      <c r="AF1" s="158" t="s">
        <v>63</v>
      </c>
      <c r="AG1" s="158"/>
    </row>
    <row r="2" spans="1:33" ht="9.75" customHeight="1">
      <c r="A2" s="160"/>
      <c r="B2" s="29" t="s">
        <v>106</v>
      </c>
      <c r="C2" s="160"/>
      <c r="D2" s="160"/>
      <c r="E2" s="160"/>
      <c r="F2" s="160"/>
      <c r="G2" s="160"/>
      <c r="H2" s="160"/>
      <c r="I2" s="160"/>
      <c r="J2" s="160"/>
      <c r="K2" s="29" t="s">
        <v>76</v>
      </c>
      <c r="L2" s="29" t="s">
        <v>77</v>
      </c>
      <c r="M2" s="29" t="s">
        <v>78</v>
      </c>
      <c r="N2" s="29" t="s">
        <v>79</v>
      </c>
      <c r="O2" s="29" t="s">
        <v>80</v>
      </c>
      <c r="P2" s="160"/>
      <c r="Q2" s="160"/>
      <c r="R2" s="29" t="s">
        <v>81</v>
      </c>
      <c r="S2" s="29" t="s">
        <v>82</v>
      </c>
      <c r="T2" s="25" t="s">
        <v>83</v>
      </c>
      <c r="U2" s="27" t="s">
        <v>84</v>
      </c>
      <c r="V2" s="27" t="s">
        <v>83</v>
      </c>
      <c r="W2" s="27" t="s">
        <v>84</v>
      </c>
      <c r="X2" s="27" t="s">
        <v>55</v>
      </c>
      <c r="Y2" s="27" t="s">
        <v>56</v>
      </c>
      <c r="Z2" s="27" t="s">
        <v>55</v>
      </c>
      <c r="AA2" s="27" t="s">
        <v>56</v>
      </c>
      <c r="AB2" s="27" t="s">
        <v>85</v>
      </c>
      <c r="AC2" s="27" t="s">
        <v>86</v>
      </c>
      <c r="AD2" s="27" t="s">
        <v>87</v>
      </c>
      <c r="AE2" s="27" t="s">
        <v>88</v>
      </c>
      <c r="AF2" s="27" t="s">
        <v>87</v>
      </c>
      <c r="AG2" s="27" t="s">
        <v>88</v>
      </c>
    </row>
    <row r="3" spans="1:33" ht="9.75" customHeight="1">
      <c r="A3" s="71"/>
      <c r="B3" s="72"/>
      <c r="C3" s="72"/>
      <c r="D3" s="72"/>
      <c r="E3" s="72"/>
      <c r="F3" s="72"/>
      <c r="G3" s="72"/>
      <c r="H3" s="72"/>
      <c r="I3" s="73"/>
      <c r="J3" s="74"/>
      <c r="K3" s="75"/>
      <c r="L3" s="75"/>
      <c r="M3" s="75"/>
      <c r="N3" s="75"/>
      <c r="O3" s="75"/>
      <c r="P3" s="75"/>
      <c r="Q3" s="75"/>
      <c r="R3" s="75"/>
      <c r="S3" s="76"/>
      <c r="T3" s="34"/>
      <c r="U3" s="36"/>
      <c r="V3" s="34"/>
      <c r="W3" s="36"/>
      <c r="X3" s="34"/>
      <c r="Y3" s="36"/>
      <c r="Z3" s="34"/>
      <c r="AA3" s="36"/>
      <c r="AB3" s="34"/>
      <c r="AC3" s="36"/>
      <c r="AD3" s="34"/>
      <c r="AE3" s="36"/>
      <c r="AF3" s="34"/>
      <c r="AG3" s="36"/>
    </row>
    <row r="4" spans="1:33" ht="9.75" customHeight="1">
      <c r="A4" s="77"/>
      <c r="B4" s="78"/>
      <c r="C4" s="78"/>
      <c r="D4" s="78"/>
      <c r="E4" s="78"/>
      <c r="F4" s="78"/>
      <c r="G4" s="78"/>
      <c r="H4" s="78"/>
      <c r="I4" s="79"/>
      <c r="J4" s="42"/>
      <c r="K4" s="43"/>
      <c r="L4" s="43"/>
      <c r="M4" s="43"/>
      <c r="N4" s="43"/>
      <c r="O4" s="43"/>
      <c r="P4" s="43"/>
      <c r="Q4" s="43"/>
      <c r="R4" s="43"/>
      <c r="S4" s="44"/>
      <c r="T4" s="47"/>
      <c r="U4" s="49"/>
      <c r="V4" s="47"/>
      <c r="W4" s="49"/>
      <c r="X4" s="47"/>
      <c r="Y4" s="49"/>
      <c r="Z4" s="47"/>
      <c r="AA4" s="49"/>
      <c r="AB4" s="47"/>
      <c r="AC4" s="49"/>
      <c r="AD4" s="47"/>
      <c r="AE4" s="49"/>
      <c r="AF4" s="47"/>
      <c r="AG4" s="49"/>
    </row>
    <row r="5" spans="1:33" ht="9.75" customHeight="1">
      <c r="A5" s="77"/>
      <c r="B5" s="78"/>
      <c r="C5" s="78"/>
      <c r="D5" s="78"/>
      <c r="E5" s="78"/>
      <c r="F5" s="78"/>
      <c r="G5" s="78"/>
      <c r="H5" s="78"/>
      <c r="I5" s="79"/>
      <c r="J5" s="42"/>
      <c r="K5" s="43"/>
      <c r="L5" s="43"/>
      <c r="M5" s="43"/>
      <c r="N5" s="43"/>
      <c r="O5" s="43"/>
      <c r="P5" s="43"/>
      <c r="Q5" s="43"/>
      <c r="R5" s="43"/>
      <c r="S5" s="44"/>
      <c r="T5" s="47"/>
      <c r="U5" s="49"/>
      <c r="V5" s="47"/>
      <c r="W5" s="49"/>
      <c r="X5" s="47"/>
      <c r="Y5" s="49"/>
      <c r="Z5" s="47"/>
      <c r="AA5" s="49"/>
      <c r="AB5" s="47"/>
      <c r="AC5" s="49"/>
      <c r="AD5" s="47"/>
      <c r="AE5" s="49"/>
      <c r="AF5" s="47"/>
      <c r="AG5" s="49"/>
    </row>
    <row r="6" spans="1:33" ht="9.75" customHeight="1">
      <c r="A6" s="77"/>
      <c r="B6" s="78"/>
      <c r="C6" s="78"/>
      <c r="D6" s="78"/>
      <c r="E6" s="78"/>
      <c r="F6" s="78"/>
      <c r="G6" s="78"/>
      <c r="H6" s="78"/>
      <c r="I6" s="79"/>
      <c r="J6" s="42"/>
      <c r="K6" s="43"/>
      <c r="L6" s="43"/>
      <c r="M6" s="43"/>
      <c r="N6" s="43"/>
      <c r="O6" s="43"/>
      <c r="P6" s="43"/>
      <c r="Q6" s="43"/>
      <c r="R6" s="43"/>
      <c r="S6" s="44"/>
      <c r="T6" s="47"/>
      <c r="U6" s="49"/>
      <c r="V6" s="47"/>
      <c r="W6" s="49"/>
      <c r="X6" s="47"/>
      <c r="Y6" s="49"/>
      <c r="Z6" s="47"/>
      <c r="AA6" s="49"/>
      <c r="AB6" s="47"/>
      <c r="AC6" s="49"/>
      <c r="AD6" s="47"/>
      <c r="AE6" s="49"/>
      <c r="AF6" s="47"/>
      <c r="AG6" s="49"/>
    </row>
    <row r="7" spans="1:33" ht="9.75" customHeight="1">
      <c r="A7" s="77"/>
      <c r="B7" s="78"/>
      <c r="C7" s="78"/>
      <c r="D7" s="78"/>
      <c r="E7" s="78"/>
      <c r="F7" s="78"/>
      <c r="G7" s="78"/>
      <c r="H7" s="78"/>
      <c r="I7" s="79"/>
      <c r="J7" s="42"/>
      <c r="K7" s="43"/>
      <c r="L7" s="43"/>
      <c r="M7" s="43"/>
      <c r="N7" s="43"/>
      <c r="O7" s="43"/>
      <c r="P7" s="43"/>
      <c r="Q7" s="43"/>
      <c r="R7" s="43"/>
      <c r="S7" s="44"/>
      <c r="T7" s="47"/>
      <c r="U7" s="49"/>
      <c r="V7" s="47"/>
      <c r="W7" s="49"/>
      <c r="X7" s="47"/>
      <c r="Y7" s="49"/>
      <c r="Z7" s="47"/>
      <c r="AA7" s="49"/>
      <c r="AB7" s="47"/>
      <c r="AC7" s="49"/>
      <c r="AD7" s="47"/>
      <c r="AE7" s="49"/>
      <c r="AF7" s="47"/>
      <c r="AG7" s="49"/>
    </row>
    <row r="8" spans="1:33" ht="9.75" customHeight="1">
      <c r="A8" s="77"/>
      <c r="B8" s="78"/>
      <c r="C8" s="78"/>
      <c r="D8" s="78"/>
      <c r="E8" s="78"/>
      <c r="F8" s="78"/>
      <c r="G8" s="78"/>
      <c r="H8" s="78"/>
      <c r="I8" s="79"/>
      <c r="J8" s="42"/>
      <c r="K8" s="43"/>
      <c r="L8" s="43"/>
      <c r="M8" s="43"/>
      <c r="N8" s="43"/>
      <c r="O8" s="43"/>
      <c r="P8" s="43"/>
      <c r="Q8" s="43"/>
      <c r="R8" s="43"/>
      <c r="S8" s="44"/>
      <c r="T8" s="47"/>
      <c r="U8" s="49"/>
      <c r="V8" s="47"/>
      <c r="W8" s="49"/>
      <c r="X8" s="47"/>
      <c r="Y8" s="49"/>
      <c r="Z8" s="47"/>
      <c r="AA8" s="49"/>
      <c r="AB8" s="47"/>
      <c r="AC8" s="49"/>
      <c r="AD8" s="47"/>
      <c r="AE8" s="49"/>
      <c r="AF8" s="47"/>
      <c r="AG8" s="49"/>
    </row>
    <row r="9" spans="1:33" ht="9.75" customHeight="1">
      <c r="A9" s="77"/>
      <c r="B9" s="78"/>
      <c r="C9" s="78"/>
      <c r="D9" s="78"/>
      <c r="E9" s="78"/>
      <c r="F9" s="78"/>
      <c r="G9" s="78"/>
      <c r="H9" s="78"/>
      <c r="I9" s="79"/>
      <c r="J9" s="42"/>
      <c r="K9" s="43"/>
      <c r="L9" s="43"/>
      <c r="M9" s="43"/>
      <c r="N9" s="43"/>
      <c r="O9" s="43"/>
      <c r="P9" s="43"/>
      <c r="Q9" s="43"/>
      <c r="R9" s="43"/>
      <c r="S9" s="44"/>
      <c r="T9" s="47"/>
      <c r="U9" s="49"/>
      <c r="V9" s="47"/>
      <c r="W9" s="49"/>
      <c r="X9" s="47"/>
      <c r="Y9" s="49"/>
      <c r="Z9" s="47"/>
      <c r="AA9" s="49"/>
      <c r="AB9" s="47"/>
      <c r="AC9" s="49"/>
      <c r="AD9" s="47"/>
      <c r="AE9" s="49"/>
      <c r="AF9" s="47"/>
      <c r="AG9" s="49"/>
    </row>
    <row r="10" spans="1:33" ht="9.75" customHeight="1">
      <c r="A10" s="77"/>
      <c r="B10" s="78"/>
      <c r="C10" s="78"/>
      <c r="D10" s="78"/>
      <c r="E10" s="78"/>
      <c r="F10" s="78"/>
      <c r="G10" s="78"/>
      <c r="H10" s="78"/>
      <c r="I10" s="79"/>
      <c r="J10" s="42"/>
      <c r="K10" s="43"/>
      <c r="L10" s="43"/>
      <c r="M10" s="43"/>
      <c r="N10" s="43"/>
      <c r="O10" s="43"/>
      <c r="P10" s="43"/>
      <c r="Q10" s="43"/>
      <c r="R10" s="43"/>
      <c r="S10" s="44"/>
      <c r="T10" s="47"/>
      <c r="U10" s="49"/>
      <c r="V10" s="47"/>
      <c r="W10" s="49"/>
      <c r="X10" s="47"/>
      <c r="Y10" s="49"/>
      <c r="Z10" s="47"/>
      <c r="AA10" s="49"/>
      <c r="AB10" s="47"/>
      <c r="AC10" s="49"/>
      <c r="AD10" s="47"/>
      <c r="AE10" s="49"/>
      <c r="AF10" s="47"/>
      <c r="AG10" s="49"/>
    </row>
    <row r="11" spans="1:33" ht="9.75" customHeight="1">
      <c r="A11" s="77"/>
      <c r="B11" s="78"/>
      <c r="C11" s="78"/>
      <c r="D11" s="78"/>
      <c r="E11" s="78"/>
      <c r="F11" s="78"/>
      <c r="G11" s="78"/>
      <c r="H11" s="78"/>
      <c r="I11" s="79"/>
      <c r="J11" s="42"/>
      <c r="K11" s="43"/>
      <c r="L11" s="43"/>
      <c r="M11" s="43"/>
      <c r="N11" s="43"/>
      <c r="O11" s="43"/>
      <c r="P11" s="43"/>
      <c r="Q11" s="43"/>
      <c r="R11" s="43"/>
      <c r="S11" s="44"/>
      <c r="T11" s="47"/>
      <c r="U11" s="49"/>
      <c r="V11" s="47"/>
      <c r="W11" s="49"/>
      <c r="X11" s="47"/>
      <c r="Y11" s="49"/>
      <c r="Z11" s="47"/>
      <c r="AA11" s="49"/>
      <c r="AB11" s="47"/>
      <c r="AC11" s="49"/>
      <c r="AD11" s="47"/>
      <c r="AE11" s="49"/>
      <c r="AF11" s="47"/>
      <c r="AG11" s="49"/>
    </row>
    <row r="12" spans="1:33" ht="9.75" customHeight="1">
      <c r="A12" s="77"/>
      <c r="B12" s="78"/>
      <c r="C12" s="78"/>
      <c r="D12" s="78"/>
      <c r="E12" s="78"/>
      <c r="F12" s="78"/>
      <c r="G12" s="78"/>
      <c r="H12" s="78"/>
      <c r="I12" s="79"/>
      <c r="J12" s="42"/>
      <c r="K12" s="43"/>
      <c r="L12" s="43"/>
      <c r="M12" s="43"/>
      <c r="N12" s="43"/>
      <c r="O12" s="43"/>
      <c r="P12" s="43"/>
      <c r="Q12" s="43"/>
      <c r="R12" s="43"/>
      <c r="S12" s="44"/>
      <c r="T12" s="47"/>
      <c r="U12" s="49"/>
      <c r="V12" s="47"/>
      <c r="W12" s="49"/>
      <c r="X12" s="47"/>
      <c r="Y12" s="49"/>
      <c r="Z12" s="47"/>
      <c r="AA12" s="49"/>
      <c r="AB12" s="47"/>
      <c r="AC12" s="49"/>
      <c r="AD12" s="47"/>
      <c r="AE12" s="49"/>
      <c r="AF12" s="47"/>
      <c r="AG12" s="49"/>
    </row>
    <row r="13" spans="1:33" ht="9.75" customHeight="1">
      <c r="A13" s="77"/>
      <c r="B13" s="78"/>
      <c r="C13" s="78"/>
      <c r="D13" s="78"/>
      <c r="E13" s="78"/>
      <c r="F13" s="78"/>
      <c r="G13" s="78"/>
      <c r="H13" s="78"/>
      <c r="I13" s="79"/>
      <c r="J13" s="42"/>
      <c r="K13" s="43"/>
      <c r="L13" s="43"/>
      <c r="M13" s="43"/>
      <c r="N13" s="43"/>
      <c r="O13" s="43"/>
      <c r="P13" s="43"/>
      <c r="Q13" s="43"/>
      <c r="R13" s="43"/>
      <c r="S13" s="44"/>
      <c r="T13" s="47"/>
      <c r="U13" s="49"/>
      <c r="V13" s="47"/>
      <c r="W13" s="49"/>
      <c r="X13" s="47"/>
      <c r="Y13" s="49"/>
      <c r="Z13" s="47"/>
      <c r="AA13" s="49"/>
      <c r="AB13" s="47"/>
      <c r="AC13" s="49"/>
      <c r="AD13" s="47"/>
      <c r="AE13" s="49"/>
      <c r="AF13" s="47"/>
      <c r="AG13" s="49"/>
    </row>
    <row r="14" spans="1:33" ht="9.75" customHeight="1">
      <c r="A14" s="77"/>
      <c r="B14" s="78"/>
      <c r="C14" s="78"/>
      <c r="D14" s="78"/>
      <c r="E14" s="78"/>
      <c r="F14" s="78"/>
      <c r="G14" s="78"/>
      <c r="H14" s="78"/>
      <c r="I14" s="79"/>
      <c r="J14" s="42"/>
      <c r="K14" s="43"/>
      <c r="L14" s="43"/>
      <c r="M14" s="43"/>
      <c r="N14" s="43"/>
      <c r="O14" s="43"/>
      <c r="P14" s="43"/>
      <c r="Q14" s="43"/>
      <c r="R14" s="43"/>
      <c r="S14" s="44"/>
      <c r="T14" s="47"/>
      <c r="U14" s="49"/>
      <c r="V14" s="47"/>
      <c r="W14" s="49"/>
      <c r="X14" s="47"/>
      <c r="Y14" s="49"/>
      <c r="Z14" s="47"/>
      <c r="AA14" s="49"/>
      <c r="AB14" s="47"/>
      <c r="AC14" s="49"/>
      <c r="AD14" s="47"/>
      <c r="AE14" s="49"/>
      <c r="AF14" s="47"/>
      <c r="AG14" s="49"/>
    </row>
    <row r="15" spans="1:33" ht="9.75" customHeight="1">
      <c r="A15" s="77"/>
      <c r="B15" s="78"/>
      <c r="C15" s="78"/>
      <c r="D15" s="78"/>
      <c r="E15" s="78"/>
      <c r="F15" s="78"/>
      <c r="G15" s="78"/>
      <c r="H15" s="78"/>
      <c r="I15" s="79"/>
      <c r="J15" s="42"/>
      <c r="K15" s="43"/>
      <c r="L15" s="43"/>
      <c r="M15" s="43"/>
      <c r="N15" s="43"/>
      <c r="O15" s="43"/>
      <c r="P15" s="43"/>
      <c r="Q15" s="43"/>
      <c r="R15" s="43"/>
      <c r="S15" s="44"/>
      <c r="T15" s="47"/>
      <c r="U15" s="49"/>
      <c r="V15" s="47"/>
      <c r="W15" s="49"/>
      <c r="X15" s="47"/>
      <c r="Y15" s="49"/>
      <c r="Z15" s="47"/>
      <c r="AA15" s="49"/>
      <c r="AB15" s="47"/>
      <c r="AC15" s="49"/>
      <c r="AD15" s="47"/>
      <c r="AE15" s="49"/>
      <c r="AF15" s="47"/>
      <c r="AG15" s="49"/>
    </row>
    <row r="16" spans="1:33" ht="9.75" customHeight="1">
      <c r="A16" s="77"/>
      <c r="B16" s="78"/>
      <c r="C16" s="78"/>
      <c r="D16" s="78"/>
      <c r="E16" s="78"/>
      <c r="F16" s="78"/>
      <c r="G16" s="78"/>
      <c r="H16" s="78"/>
      <c r="I16" s="79"/>
      <c r="J16" s="42"/>
      <c r="K16" s="43"/>
      <c r="L16" s="43"/>
      <c r="M16" s="43"/>
      <c r="N16" s="43"/>
      <c r="O16" s="43"/>
      <c r="P16" s="43"/>
      <c r="Q16" s="43"/>
      <c r="R16" s="43"/>
      <c r="S16" s="44"/>
      <c r="T16" s="47"/>
      <c r="U16" s="49"/>
      <c r="V16" s="47"/>
      <c r="W16" s="49"/>
      <c r="X16" s="47"/>
      <c r="Y16" s="49"/>
      <c r="Z16" s="47"/>
      <c r="AA16" s="49"/>
      <c r="AB16" s="47"/>
      <c r="AC16" s="49"/>
      <c r="AD16" s="47"/>
      <c r="AE16" s="49"/>
      <c r="AF16" s="47"/>
      <c r="AG16" s="49"/>
    </row>
    <row r="17" spans="1:33" ht="9.75" customHeight="1">
      <c r="A17" s="77"/>
      <c r="B17" s="78"/>
      <c r="C17" s="78"/>
      <c r="D17" s="78"/>
      <c r="E17" s="78"/>
      <c r="F17" s="78"/>
      <c r="G17" s="78"/>
      <c r="H17" s="78"/>
      <c r="I17" s="79"/>
      <c r="J17" s="42"/>
      <c r="K17" s="43"/>
      <c r="L17" s="43"/>
      <c r="M17" s="43"/>
      <c r="N17" s="43"/>
      <c r="O17" s="43"/>
      <c r="P17" s="43"/>
      <c r="Q17" s="43"/>
      <c r="R17" s="43"/>
      <c r="S17" s="44"/>
      <c r="T17" s="47"/>
      <c r="U17" s="49"/>
      <c r="V17" s="47"/>
      <c r="W17" s="49"/>
      <c r="X17" s="47"/>
      <c r="Y17" s="49"/>
      <c r="Z17" s="47"/>
      <c r="AA17" s="49"/>
      <c r="AB17" s="47"/>
      <c r="AC17" s="49"/>
      <c r="AD17" s="47"/>
      <c r="AE17" s="49"/>
      <c r="AF17" s="47"/>
      <c r="AG17" s="49"/>
    </row>
    <row r="18" spans="1:33" ht="9.75" customHeight="1">
      <c r="A18" s="77"/>
      <c r="B18" s="78"/>
      <c r="C18" s="78"/>
      <c r="D18" s="78"/>
      <c r="E18" s="78"/>
      <c r="F18" s="78"/>
      <c r="G18" s="78"/>
      <c r="H18" s="78"/>
      <c r="I18" s="79"/>
      <c r="J18" s="42"/>
      <c r="K18" s="43"/>
      <c r="L18" s="43"/>
      <c r="M18" s="43"/>
      <c r="N18" s="43"/>
      <c r="O18" s="43"/>
      <c r="P18" s="43"/>
      <c r="Q18" s="43"/>
      <c r="R18" s="43"/>
      <c r="S18" s="44"/>
      <c r="T18" s="47"/>
      <c r="U18" s="49"/>
      <c r="V18" s="47"/>
      <c r="W18" s="49"/>
      <c r="X18" s="47"/>
      <c r="Y18" s="49"/>
      <c r="Z18" s="47"/>
      <c r="AA18" s="49"/>
      <c r="AB18" s="47"/>
      <c r="AC18" s="49"/>
      <c r="AD18" s="47"/>
      <c r="AE18" s="49"/>
      <c r="AF18" s="47"/>
      <c r="AG18" s="49"/>
    </row>
    <row r="19" spans="1:33" ht="9.75" customHeight="1">
      <c r="A19" s="77"/>
      <c r="B19" s="78"/>
      <c r="C19" s="78"/>
      <c r="D19" s="78"/>
      <c r="E19" s="78"/>
      <c r="F19" s="78"/>
      <c r="G19" s="78"/>
      <c r="H19" s="78"/>
      <c r="I19" s="79"/>
      <c r="J19" s="42"/>
      <c r="K19" s="43"/>
      <c r="L19" s="43"/>
      <c r="M19" s="43"/>
      <c r="N19" s="43"/>
      <c r="O19" s="43"/>
      <c r="P19" s="43"/>
      <c r="Q19" s="43"/>
      <c r="R19" s="43"/>
      <c r="S19" s="44"/>
      <c r="T19" s="47"/>
      <c r="U19" s="49"/>
      <c r="V19" s="47"/>
      <c r="W19" s="49"/>
      <c r="X19" s="47"/>
      <c r="Y19" s="49"/>
      <c r="Z19" s="47"/>
      <c r="AA19" s="49"/>
      <c r="AB19" s="47"/>
      <c r="AC19" s="49"/>
      <c r="AD19" s="47"/>
      <c r="AE19" s="49"/>
      <c r="AF19" s="47"/>
      <c r="AG19" s="49"/>
    </row>
    <row r="20" spans="1:33" ht="9.75" customHeight="1">
      <c r="A20" s="77"/>
      <c r="B20" s="78"/>
      <c r="C20" s="78"/>
      <c r="D20" s="78"/>
      <c r="E20" s="78"/>
      <c r="F20" s="78"/>
      <c r="G20" s="78"/>
      <c r="H20" s="78"/>
      <c r="I20" s="79"/>
      <c r="J20" s="42"/>
      <c r="K20" s="43"/>
      <c r="L20" s="43"/>
      <c r="M20" s="43"/>
      <c r="N20" s="43"/>
      <c r="O20" s="43"/>
      <c r="P20" s="43"/>
      <c r="Q20" s="43"/>
      <c r="R20" s="43"/>
      <c r="S20" s="44"/>
      <c r="T20" s="34"/>
      <c r="U20" s="36"/>
      <c r="V20" s="34"/>
      <c r="W20" s="36"/>
      <c r="X20" s="34"/>
      <c r="Y20" s="36"/>
      <c r="Z20" s="34"/>
      <c r="AA20" s="36"/>
      <c r="AB20" s="34"/>
      <c r="AC20" s="36"/>
      <c r="AD20" s="34"/>
      <c r="AE20" s="36"/>
      <c r="AF20" s="34"/>
      <c r="AG20" s="36"/>
    </row>
    <row r="21" spans="1:33" ht="9.75" customHeight="1">
      <c r="A21" s="77"/>
      <c r="B21" s="78"/>
      <c r="C21" s="78"/>
      <c r="D21" s="78"/>
      <c r="E21" s="78"/>
      <c r="F21" s="78"/>
      <c r="G21" s="78"/>
      <c r="H21" s="78"/>
      <c r="I21" s="79"/>
      <c r="J21" s="42"/>
      <c r="K21" s="43"/>
      <c r="L21" s="43"/>
      <c r="M21" s="43"/>
      <c r="N21" s="43"/>
      <c r="O21" s="43"/>
      <c r="P21" s="43"/>
      <c r="Q21" s="43"/>
      <c r="R21" s="43"/>
      <c r="S21" s="44"/>
      <c r="T21" s="47"/>
      <c r="U21" s="49"/>
      <c r="V21" s="47"/>
      <c r="W21" s="49"/>
      <c r="X21" s="47"/>
      <c r="Y21" s="49"/>
      <c r="Z21" s="47"/>
      <c r="AA21" s="49"/>
      <c r="AB21" s="47"/>
      <c r="AC21" s="49"/>
      <c r="AD21" s="47"/>
      <c r="AE21" s="49"/>
      <c r="AF21" s="47"/>
      <c r="AG21" s="49"/>
    </row>
    <row r="22" spans="1:33" ht="9.75" customHeight="1">
      <c r="A22" s="77"/>
      <c r="B22" s="78"/>
      <c r="C22" s="78"/>
      <c r="D22" s="78"/>
      <c r="E22" s="78"/>
      <c r="F22" s="78"/>
      <c r="G22" s="78"/>
      <c r="H22" s="78"/>
      <c r="I22" s="79"/>
      <c r="J22" s="42"/>
      <c r="K22" s="43"/>
      <c r="L22" s="43"/>
      <c r="M22" s="43"/>
      <c r="N22" s="43"/>
      <c r="O22" s="43"/>
      <c r="P22" s="43"/>
      <c r="Q22" s="43"/>
      <c r="R22" s="43"/>
      <c r="S22" s="44"/>
      <c r="T22" s="47"/>
      <c r="U22" s="49"/>
      <c r="V22" s="47"/>
      <c r="W22" s="49"/>
      <c r="X22" s="47"/>
      <c r="Y22" s="49"/>
      <c r="Z22" s="47"/>
      <c r="AA22" s="49"/>
      <c r="AB22" s="47"/>
      <c r="AC22" s="49"/>
      <c r="AD22" s="47"/>
      <c r="AE22" s="49"/>
      <c r="AF22" s="47"/>
      <c r="AG22" s="49"/>
    </row>
    <row r="23" spans="1:33" ht="9.75" customHeight="1">
      <c r="A23" s="77"/>
      <c r="B23" s="78"/>
      <c r="C23" s="78"/>
      <c r="D23" s="78"/>
      <c r="E23" s="78"/>
      <c r="F23" s="78"/>
      <c r="G23" s="78"/>
      <c r="H23" s="78"/>
      <c r="I23" s="79"/>
      <c r="J23" s="42"/>
      <c r="K23" s="43"/>
      <c r="L23" s="43"/>
      <c r="M23" s="43"/>
      <c r="N23" s="43"/>
      <c r="O23" s="43"/>
      <c r="P23" s="43"/>
      <c r="Q23" s="43"/>
      <c r="R23" s="43"/>
      <c r="S23" s="44"/>
      <c r="T23" s="47"/>
      <c r="U23" s="49"/>
      <c r="V23" s="47"/>
      <c r="W23" s="49"/>
      <c r="X23" s="47"/>
      <c r="Y23" s="49"/>
      <c r="Z23" s="47"/>
      <c r="AA23" s="49"/>
      <c r="AB23" s="47"/>
      <c r="AC23" s="49"/>
      <c r="AD23" s="47"/>
      <c r="AE23" s="49"/>
      <c r="AF23" s="47"/>
      <c r="AG23" s="49"/>
    </row>
    <row r="24" spans="1:33" ht="9.75" customHeight="1">
      <c r="A24" s="77"/>
      <c r="B24" s="78"/>
      <c r="C24" s="78"/>
      <c r="D24" s="78"/>
      <c r="E24" s="78"/>
      <c r="F24" s="78"/>
      <c r="G24" s="78"/>
      <c r="H24" s="78"/>
      <c r="I24" s="79"/>
      <c r="J24" s="42"/>
      <c r="K24" s="43"/>
      <c r="L24" s="43"/>
      <c r="M24" s="43"/>
      <c r="N24" s="43"/>
      <c r="O24" s="43"/>
      <c r="P24" s="43"/>
      <c r="Q24" s="43"/>
      <c r="R24" s="43"/>
      <c r="S24" s="44"/>
      <c r="T24" s="47"/>
      <c r="U24" s="49"/>
      <c r="V24" s="47"/>
      <c r="W24" s="49"/>
      <c r="X24" s="47"/>
      <c r="Y24" s="49"/>
      <c r="Z24" s="47"/>
      <c r="AA24" s="49"/>
      <c r="AB24" s="47"/>
      <c r="AC24" s="49"/>
      <c r="AD24" s="47"/>
      <c r="AE24" s="49"/>
      <c r="AF24" s="47"/>
      <c r="AG24" s="49"/>
    </row>
    <row r="25" spans="1:33" ht="9.75" customHeight="1">
      <c r="A25" s="77"/>
      <c r="B25" s="78"/>
      <c r="C25" s="78"/>
      <c r="D25" s="78"/>
      <c r="E25" s="78"/>
      <c r="F25" s="78"/>
      <c r="G25" s="78"/>
      <c r="H25" s="78"/>
      <c r="I25" s="79"/>
      <c r="J25" s="42"/>
      <c r="K25" s="43"/>
      <c r="L25" s="43"/>
      <c r="M25" s="43"/>
      <c r="N25" s="43"/>
      <c r="O25" s="43"/>
      <c r="P25" s="43"/>
      <c r="Q25" s="43"/>
      <c r="R25" s="43"/>
      <c r="S25" s="44"/>
      <c r="T25" s="47"/>
      <c r="U25" s="49"/>
      <c r="V25" s="47"/>
      <c r="W25" s="49"/>
      <c r="X25" s="47"/>
      <c r="Y25" s="49"/>
      <c r="Z25" s="47"/>
      <c r="AA25" s="49"/>
      <c r="AB25" s="47"/>
      <c r="AC25" s="49"/>
      <c r="AD25" s="47"/>
      <c r="AE25" s="49"/>
      <c r="AF25" s="47"/>
      <c r="AG25" s="49"/>
    </row>
    <row r="26" spans="1:33" ht="9.75" customHeight="1">
      <c r="A26" s="77"/>
      <c r="B26" s="78"/>
      <c r="C26" s="78"/>
      <c r="D26" s="78"/>
      <c r="E26" s="78"/>
      <c r="F26" s="78"/>
      <c r="G26" s="78"/>
      <c r="H26" s="78"/>
      <c r="I26" s="79"/>
      <c r="J26" s="42"/>
      <c r="K26" s="43"/>
      <c r="L26" s="43"/>
      <c r="M26" s="43"/>
      <c r="N26" s="43"/>
      <c r="O26" s="43"/>
      <c r="P26" s="43"/>
      <c r="Q26" s="43"/>
      <c r="R26" s="43"/>
      <c r="S26" s="44"/>
      <c r="T26" s="47"/>
      <c r="U26" s="49"/>
      <c r="V26" s="47"/>
      <c r="W26" s="49"/>
      <c r="X26" s="47"/>
      <c r="Y26" s="49"/>
      <c r="Z26" s="47"/>
      <c r="AA26" s="49"/>
      <c r="AB26" s="47"/>
      <c r="AC26" s="49"/>
      <c r="AD26" s="47"/>
      <c r="AE26" s="49"/>
      <c r="AF26" s="47"/>
      <c r="AG26" s="49"/>
    </row>
    <row r="27" spans="1:33" ht="9.75" customHeight="1">
      <c r="A27" s="77"/>
      <c r="B27" s="78"/>
      <c r="C27" s="78"/>
      <c r="D27" s="78"/>
      <c r="E27" s="78"/>
      <c r="F27" s="78"/>
      <c r="G27" s="78"/>
      <c r="H27" s="78"/>
      <c r="I27" s="79"/>
      <c r="J27" s="42"/>
      <c r="K27" s="43"/>
      <c r="L27" s="43"/>
      <c r="M27" s="43"/>
      <c r="N27" s="43"/>
      <c r="O27" s="43"/>
      <c r="P27" s="43"/>
      <c r="Q27" s="43"/>
      <c r="R27" s="43"/>
      <c r="S27" s="44"/>
      <c r="T27" s="47"/>
      <c r="U27" s="49"/>
      <c r="V27" s="47"/>
      <c r="W27" s="49"/>
      <c r="X27" s="47"/>
      <c r="Y27" s="49"/>
      <c r="Z27" s="47"/>
      <c r="AA27" s="49"/>
      <c r="AB27" s="47"/>
      <c r="AC27" s="49"/>
      <c r="AD27" s="47"/>
      <c r="AE27" s="49"/>
      <c r="AF27" s="47"/>
      <c r="AG27" s="49"/>
    </row>
    <row r="28" spans="1:33" ht="9.75" customHeight="1">
      <c r="A28" s="77"/>
      <c r="B28" s="78"/>
      <c r="C28" s="78"/>
      <c r="D28" s="78"/>
      <c r="E28" s="78"/>
      <c r="F28" s="78"/>
      <c r="G28" s="78"/>
      <c r="H28" s="78"/>
      <c r="I28" s="79"/>
      <c r="J28" s="42"/>
      <c r="K28" s="43"/>
      <c r="L28" s="43"/>
      <c r="M28" s="43"/>
      <c r="N28" s="43"/>
      <c r="O28" s="43"/>
      <c r="P28" s="43"/>
      <c r="Q28" s="43"/>
      <c r="R28" s="43"/>
      <c r="S28" s="44"/>
      <c r="T28" s="47"/>
      <c r="U28" s="49"/>
      <c r="V28" s="47"/>
      <c r="W28" s="49"/>
      <c r="X28" s="47"/>
      <c r="Y28" s="49"/>
      <c r="Z28" s="47"/>
      <c r="AA28" s="49"/>
      <c r="AB28" s="47"/>
      <c r="AC28" s="49"/>
      <c r="AD28" s="47"/>
      <c r="AE28" s="49"/>
      <c r="AF28" s="47"/>
      <c r="AG28" s="49"/>
    </row>
    <row r="29" spans="1:33" ht="9.75" customHeight="1">
      <c r="A29" s="77"/>
      <c r="B29" s="78"/>
      <c r="C29" s="78"/>
      <c r="D29" s="78"/>
      <c r="E29" s="78"/>
      <c r="F29" s="78"/>
      <c r="G29" s="78"/>
      <c r="H29" s="78"/>
      <c r="I29" s="79"/>
      <c r="J29" s="42"/>
      <c r="K29" s="43"/>
      <c r="L29" s="43"/>
      <c r="M29" s="43"/>
      <c r="N29" s="43"/>
      <c r="O29" s="43"/>
      <c r="P29" s="43"/>
      <c r="Q29" s="43"/>
      <c r="R29" s="43"/>
      <c r="S29" s="44"/>
      <c r="T29" s="47"/>
      <c r="U29" s="49"/>
      <c r="V29" s="47"/>
      <c r="W29" s="49"/>
      <c r="X29" s="47"/>
      <c r="Y29" s="49"/>
      <c r="Z29" s="47"/>
      <c r="AA29" s="49"/>
      <c r="AB29" s="47"/>
      <c r="AC29" s="49"/>
      <c r="AD29" s="47"/>
      <c r="AE29" s="49"/>
      <c r="AF29" s="47"/>
      <c r="AG29" s="49"/>
    </row>
    <row r="30" spans="1:33" ht="9.75" customHeight="1">
      <c r="A30" s="77"/>
      <c r="B30" s="78"/>
      <c r="C30" s="78"/>
      <c r="D30" s="78"/>
      <c r="E30" s="78"/>
      <c r="F30" s="78"/>
      <c r="G30" s="78"/>
      <c r="H30" s="78"/>
      <c r="I30" s="79"/>
      <c r="J30" s="42"/>
      <c r="K30" s="43"/>
      <c r="L30" s="43"/>
      <c r="M30" s="43"/>
      <c r="N30" s="43"/>
      <c r="O30" s="43"/>
      <c r="P30" s="43"/>
      <c r="Q30" s="43"/>
      <c r="R30" s="43"/>
      <c r="S30" s="44"/>
      <c r="T30" s="47"/>
      <c r="U30" s="49"/>
      <c r="V30" s="47"/>
      <c r="W30" s="49"/>
      <c r="X30" s="47"/>
      <c r="Y30" s="49"/>
      <c r="Z30" s="47"/>
      <c r="AA30" s="49"/>
      <c r="AB30" s="47"/>
      <c r="AC30" s="49"/>
      <c r="AD30" s="47"/>
      <c r="AE30" s="49"/>
      <c r="AF30" s="47"/>
      <c r="AG30" s="49"/>
    </row>
    <row r="31" spans="1:33" ht="9.75" customHeight="1">
      <c r="A31" s="77"/>
      <c r="B31" s="78"/>
      <c r="C31" s="78"/>
      <c r="D31" s="78"/>
      <c r="E31" s="78"/>
      <c r="F31" s="78"/>
      <c r="G31" s="78"/>
      <c r="H31" s="78"/>
      <c r="I31" s="79"/>
      <c r="J31" s="42"/>
      <c r="K31" s="43"/>
      <c r="L31" s="43"/>
      <c r="M31" s="43"/>
      <c r="N31" s="43"/>
      <c r="O31" s="43"/>
      <c r="P31" s="43"/>
      <c r="Q31" s="43"/>
      <c r="R31" s="43"/>
      <c r="S31" s="44"/>
      <c r="T31" s="47"/>
      <c r="U31" s="49"/>
      <c r="V31" s="47"/>
      <c r="W31" s="49"/>
      <c r="X31" s="47"/>
      <c r="Y31" s="49"/>
      <c r="Z31" s="47"/>
      <c r="AA31" s="49"/>
      <c r="AB31" s="47"/>
      <c r="AC31" s="49"/>
      <c r="AD31" s="47"/>
      <c r="AE31" s="49"/>
      <c r="AF31" s="47"/>
      <c r="AG31" s="49"/>
    </row>
    <row r="32" spans="1:33" ht="9.75" customHeight="1">
      <c r="A32" s="77"/>
      <c r="B32" s="78"/>
      <c r="C32" s="78"/>
      <c r="D32" s="78"/>
      <c r="E32" s="78"/>
      <c r="F32" s="78"/>
      <c r="G32" s="78"/>
      <c r="H32" s="78"/>
      <c r="I32" s="79"/>
      <c r="J32" s="42"/>
      <c r="K32" s="43"/>
      <c r="L32" s="43"/>
      <c r="M32" s="43"/>
      <c r="N32" s="43"/>
      <c r="O32" s="43"/>
      <c r="P32" s="43"/>
      <c r="Q32" s="43"/>
      <c r="R32" s="43"/>
      <c r="S32" s="44"/>
      <c r="T32" s="47"/>
      <c r="U32" s="49"/>
      <c r="V32" s="47"/>
      <c r="W32" s="49"/>
      <c r="X32" s="47"/>
      <c r="Y32" s="49"/>
      <c r="Z32" s="47"/>
      <c r="AA32" s="49"/>
      <c r="AB32" s="47"/>
      <c r="AC32" s="49"/>
      <c r="AD32" s="47"/>
      <c r="AE32" s="49"/>
      <c r="AF32" s="47"/>
      <c r="AG32" s="49"/>
    </row>
    <row r="33" spans="1:33" ht="9.75" customHeight="1">
      <c r="A33" s="77"/>
      <c r="B33" s="78"/>
      <c r="C33" s="78"/>
      <c r="D33" s="78"/>
      <c r="E33" s="78"/>
      <c r="F33" s="78"/>
      <c r="G33" s="78"/>
      <c r="H33" s="78"/>
      <c r="I33" s="79"/>
      <c r="J33" s="42"/>
      <c r="K33" s="43"/>
      <c r="L33" s="43"/>
      <c r="M33" s="43"/>
      <c r="N33" s="43"/>
      <c r="O33" s="43"/>
      <c r="P33" s="43"/>
      <c r="Q33" s="43"/>
      <c r="R33" s="43"/>
      <c r="S33" s="44"/>
      <c r="T33" s="47"/>
      <c r="U33" s="49"/>
      <c r="V33" s="47"/>
      <c r="W33" s="49"/>
      <c r="X33" s="47"/>
      <c r="Y33" s="49"/>
      <c r="Z33" s="47"/>
      <c r="AA33" s="49"/>
      <c r="AB33" s="47"/>
      <c r="AC33" s="49"/>
      <c r="AD33" s="47"/>
      <c r="AE33" s="49"/>
      <c r="AF33" s="47"/>
      <c r="AG33" s="49"/>
    </row>
    <row r="34" spans="1:33" ht="9.75" customHeight="1">
      <c r="A34" s="77"/>
      <c r="B34" s="78"/>
      <c r="C34" s="78"/>
      <c r="D34" s="78"/>
      <c r="E34" s="78"/>
      <c r="F34" s="78"/>
      <c r="G34" s="78"/>
      <c r="H34" s="78"/>
      <c r="I34" s="79"/>
      <c r="J34" s="42"/>
      <c r="K34" s="43"/>
      <c r="L34" s="43"/>
      <c r="M34" s="52"/>
      <c r="N34" s="52"/>
      <c r="O34" s="52"/>
      <c r="P34" s="52"/>
      <c r="Q34" s="52"/>
      <c r="R34" s="43"/>
      <c r="S34" s="44"/>
      <c r="T34" s="47"/>
      <c r="U34" s="49"/>
      <c r="V34" s="47"/>
      <c r="W34" s="49"/>
      <c r="X34" s="47"/>
      <c r="Y34" s="49"/>
      <c r="Z34" s="47"/>
      <c r="AA34" s="49"/>
      <c r="AB34" s="47"/>
      <c r="AC34" s="49"/>
      <c r="AD34" s="47"/>
      <c r="AE34" s="49"/>
      <c r="AF34" s="47"/>
      <c r="AG34" s="49"/>
    </row>
    <row r="35" spans="1:33" ht="9.75" customHeight="1">
      <c r="A35" s="77"/>
      <c r="B35" s="78"/>
      <c r="C35" s="78"/>
      <c r="D35" s="78"/>
      <c r="E35" s="78"/>
      <c r="F35" s="78"/>
      <c r="G35" s="78"/>
      <c r="H35" s="78"/>
      <c r="I35" s="79"/>
      <c r="J35" s="42"/>
      <c r="K35" s="43"/>
      <c r="L35" s="43"/>
      <c r="M35" s="52"/>
      <c r="N35" s="52"/>
      <c r="O35" s="52"/>
      <c r="P35" s="52"/>
      <c r="Q35" s="52"/>
      <c r="R35" s="43"/>
      <c r="S35" s="44"/>
      <c r="T35" s="47"/>
      <c r="U35" s="49"/>
      <c r="V35" s="47"/>
      <c r="W35" s="49"/>
      <c r="X35" s="47"/>
      <c r="Y35" s="49"/>
      <c r="Z35" s="47"/>
      <c r="AA35" s="49"/>
      <c r="AB35" s="47"/>
      <c r="AC35" s="49"/>
      <c r="AD35" s="47"/>
      <c r="AE35" s="49"/>
      <c r="AF35" s="47"/>
      <c r="AG35" s="49"/>
    </row>
    <row r="36" spans="1:33" ht="9.75" customHeight="1">
      <c r="A36" s="77"/>
      <c r="B36" s="78"/>
      <c r="C36" s="78"/>
      <c r="D36" s="78"/>
      <c r="E36" s="78"/>
      <c r="F36" s="78"/>
      <c r="G36" s="78"/>
      <c r="H36" s="78"/>
      <c r="I36" s="79"/>
      <c r="J36" s="42"/>
      <c r="K36" s="43"/>
      <c r="L36" s="43"/>
      <c r="M36" s="52"/>
      <c r="N36" s="52"/>
      <c r="O36" s="52"/>
      <c r="P36" s="52"/>
      <c r="Q36" s="52"/>
      <c r="R36" s="43"/>
      <c r="S36" s="44"/>
      <c r="T36" s="47"/>
      <c r="U36" s="49"/>
      <c r="V36" s="47"/>
      <c r="W36" s="49"/>
      <c r="X36" s="47"/>
      <c r="Y36" s="49"/>
      <c r="Z36" s="47"/>
      <c r="AA36" s="49"/>
      <c r="AB36" s="47"/>
      <c r="AC36" s="49"/>
      <c r="AD36" s="47"/>
      <c r="AE36" s="49"/>
      <c r="AF36" s="47"/>
      <c r="AG36" s="49"/>
    </row>
    <row r="37" spans="1:33" ht="9.75" customHeight="1">
      <c r="A37" s="77"/>
      <c r="B37" s="78"/>
      <c r="C37" s="78"/>
      <c r="D37" s="78"/>
      <c r="E37" s="78"/>
      <c r="F37" s="78"/>
      <c r="G37" s="78"/>
      <c r="H37" s="78"/>
      <c r="I37" s="79"/>
      <c r="J37" s="42"/>
      <c r="K37" s="43"/>
      <c r="L37" s="43"/>
      <c r="M37" s="52"/>
      <c r="N37" s="52"/>
      <c r="O37" s="52"/>
      <c r="P37" s="52"/>
      <c r="Q37" s="52"/>
      <c r="R37" s="43"/>
      <c r="S37" s="44"/>
      <c r="T37" s="47"/>
      <c r="U37" s="49"/>
      <c r="V37" s="47"/>
      <c r="W37" s="49"/>
      <c r="X37" s="47"/>
      <c r="Y37" s="49"/>
      <c r="Z37" s="47"/>
      <c r="AA37" s="49"/>
      <c r="AB37" s="47"/>
      <c r="AC37" s="49"/>
      <c r="AD37" s="47"/>
      <c r="AE37" s="49"/>
      <c r="AF37" s="47"/>
      <c r="AG37" s="49"/>
    </row>
    <row r="38" spans="1:33" ht="9.75" customHeight="1">
      <c r="A38" s="77"/>
      <c r="B38" s="78"/>
      <c r="C38" s="78"/>
      <c r="D38" s="78"/>
      <c r="E38" s="78"/>
      <c r="F38" s="78"/>
      <c r="G38" s="78"/>
      <c r="H38" s="78"/>
      <c r="I38" s="79"/>
      <c r="J38" s="42"/>
      <c r="K38" s="43"/>
      <c r="L38" s="43"/>
      <c r="M38" s="52"/>
      <c r="N38" s="52"/>
      <c r="O38" s="52"/>
      <c r="P38" s="52"/>
      <c r="Q38" s="52"/>
      <c r="R38" s="43"/>
      <c r="S38" s="44"/>
      <c r="T38" s="47"/>
      <c r="U38" s="49"/>
      <c r="V38" s="47"/>
      <c r="W38" s="49"/>
      <c r="X38" s="47"/>
      <c r="Y38" s="49"/>
      <c r="Z38" s="47"/>
      <c r="AA38" s="49"/>
      <c r="AB38" s="47"/>
      <c r="AC38" s="49"/>
      <c r="AD38" s="47"/>
      <c r="AE38" s="49"/>
      <c r="AF38" s="47"/>
      <c r="AG38" s="49"/>
    </row>
    <row r="39" spans="1:33" ht="9.75" customHeight="1">
      <c r="A39" s="77"/>
      <c r="B39" s="78"/>
      <c r="C39" s="78"/>
      <c r="D39" s="78"/>
      <c r="E39" s="78"/>
      <c r="F39" s="78"/>
      <c r="G39" s="78"/>
      <c r="H39" s="78"/>
      <c r="I39" s="79"/>
      <c r="J39" s="42"/>
      <c r="K39" s="43"/>
      <c r="L39" s="43"/>
      <c r="M39" s="52"/>
      <c r="N39" s="52"/>
      <c r="O39" s="52"/>
      <c r="P39" s="52"/>
      <c r="Q39" s="52"/>
      <c r="R39" s="43"/>
      <c r="S39" s="44"/>
      <c r="T39" s="47"/>
      <c r="U39" s="49"/>
      <c r="V39" s="47"/>
      <c r="W39" s="49"/>
      <c r="X39" s="47"/>
      <c r="Y39" s="49"/>
      <c r="Z39" s="47"/>
      <c r="AA39" s="49"/>
      <c r="AB39" s="47"/>
      <c r="AC39" s="49"/>
      <c r="AD39" s="47"/>
      <c r="AE39" s="49"/>
      <c r="AF39" s="47"/>
      <c r="AG39" s="49"/>
    </row>
    <row r="40" spans="1:33" ht="9.75" customHeight="1">
      <c r="A40" s="77"/>
      <c r="B40" s="78"/>
      <c r="C40" s="78"/>
      <c r="D40" s="78"/>
      <c r="E40" s="78"/>
      <c r="F40" s="78"/>
      <c r="G40" s="78"/>
      <c r="H40" s="78"/>
      <c r="I40" s="79"/>
      <c r="J40" s="42"/>
      <c r="K40" s="43"/>
      <c r="L40" s="43"/>
      <c r="M40" s="52"/>
      <c r="N40" s="52"/>
      <c r="O40" s="52"/>
      <c r="P40" s="52"/>
      <c r="Q40" s="52"/>
      <c r="R40" s="43"/>
      <c r="S40" s="44"/>
      <c r="T40" s="47"/>
      <c r="U40" s="49"/>
      <c r="V40" s="47"/>
      <c r="W40" s="49"/>
      <c r="X40" s="47"/>
      <c r="Y40" s="49"/>
      <c r="Z40" s="47"/>
      <c r="AA40" s="49"/>
      <c r="AB40" s="47"/>
      <c r="AC40" s="49"/>
      <c r="AD40" s="47"/>
      <c r="AE40" s="49"/>
      <c r="AF40" s="47"/>
      <c r="AG40" s="49"/>
    </row>
    <row r="41" spans="1:33" ht="9.75" customHeight="1">
      <c r="A41" s="77"/>
      <c r="B41" s="78"/>
      <c r="C41" s="78"/>
      <c r="D41" s="78"/>
      <c r="E41" s="78"/>
      <c r="F41" s="78"/>
      <c r="G41" s="78"/>
      <c r="H41" s="78"/>
      <c r="I41" s="79"/>
      <c r="J41" s="56"/>
      <c r="K41" s="43"/>
      <c r="L41" s="43"/>
      <c r="M41" s="52"/>
      <c r="N41" s="52"/>
      <c r="O41" s="52"/>
      <c r="P41" s="52"/>
      <c r="Q41" s="52"/>
      <c r="R41" s="43"/>
      <c r="S41" s="44"/>
      <c r="T41" s="47"/>
      <c r="U41" s="49"/>
      <c r="V41" s="47"/>
      <c r="W41" s="49"/>
      <c r="X41" s="47"/>
      <c r="Y41" s="49"/>
      <c r="Z41" s="47"/>
      <c r="AA41" s="49"/>
      <c r="AB41" s="47"/>
      <c r="AC41" s="49"/>
      <c r="AD41" s="47"/>
      <c r="AE41" s="49"/>
      <c r="AF41" s="47"/>
      <c r="AG41" s="49"/>
    </row>
    <row r="42" spans="1:33" ht="9.75" customHeight="1">
      <c r="A42" s="77"/>
      <c r="B42" s="78"/>
      <c r="C42" s="78"/>
      <c r="D42" s="78"/>
      <c r="E42" s="78"/>
      <c r="F42" s="78"/>
      <c r="G42" s="78"/>
      <c r="H42" s="78"/>
      <c r="I42" s="79"/>
      <c r="J42" s="56"/>
      <c r="K42" s="43"/>
      <c r="L42" s="43"/>
      <c r="M42" s="52"/>
      <c r="N42" s="52"/>
      <c r="O42" s="52"/>
      <c r="P42" s="52"/>
      <c r="Q42" s="52"/>
      <c r="R42" s="43"/>
      <c r="S42" s="44"/>
      <c r="T42" s="47"/>
      <c r="U42" s="49"/>
      <c r="V42" s="47"/>
      <c r="W42" s="49"/>
      <c r="X42" s="47"/>
      <c r="Y42" s="49"/>
      <c r="Z42" s="47"/>
      <c r="AA42" s="49"/>
      <c r="AB42" s="47"/>
      <c r="AC42" s="49"/>
      <c r="AD42" s="47"/>
      <c r="AE42" s="49"/>
      <c r="AF42" s="47"/>
      <c r="AG42" s="49"/>
    </row>
    <row r="43" spans="1:33" ht="9.75" customHeight="1">
      <c r="A43" s="88"/>
      <c r="B43" s="89"/>
      <c r="C43" s="89"/>
      <c r="D43" s="89"/>
      <c r="E43" s="89"/>
      <c r="F43" s="89"/>
      <c r="G43" s="89"/>
      <c r="H43" s="89"/>
      <c r="I43" s="90"/>
      <c r="J43" s="56"/>
      <c r="K43" s="43"/>
      <c r="L43" s="43"/>
      <c r="M43" s="43"/>
      <c r="N43" s="43"/>
      <c r="O43" s="43"/>
      <c r="P43" s="43"/>
      <c r="Q43" s="43"/>
      <c r="R43" s="43"/>
      <c r="S43" s="44"/>
      <c r="T43" s="47"/>
      <c r="U43" s="49"/>
      <c r="V43" s="47"/>
      <c r="W43" s="49"/>
      <c r="X43" s="47"/>
      <c r="Y43" s="49"/>
      <c r="Z43" s="47"/>
      <c r="AA43" s="49"/>
      <c r="AB43" s="47"/>
      <c r="AC43" s="49"/>
      <c r="AD43" s="47"/>
      <c r="AE43" s="49"/>
      <c r="AF43" s="47"/>
      <c r="AG43" s="49"/>
    </row>
    <row r="44" spans="1:33" ht="9.75" customHeight="1">
      <c r="A44" s="88"/>
      <c r="B44" s="89"/>
      <c r="C44" s="89"/>
      <c r="D44" s="89"/>
      <c r="E44" s="89"/>
      <c r="F44" s="89"/>
      <c r="G44" s="89"/>
      <c r="H44" s="89"/>
      <c r="I44" s="90"/>
      <c r="J44" s="56"/>
      <c r="K44" s="43"/>
      <c r="L44" s="43"/>
      <c r="M44" s="43"/>
      <c r="N44" s="43"/>
      <c r="O44" s="43"/>
      <c r="P44" s="43"/>
      <c r="Q44" s="43"/>
      <c r="R44" s="43"/>
      <c r="S44" s="44"/>
      <c r="T44" s="47"/>
      <c r="U44" s="49"/>
      <c r="V44" s="47"/>
      <c r="W44" s="49"/>
      <c r="X44" s="47"/>
      <c r="Y44" s="49"/>
      <c r="Z44" s="47"/>
      <c r="AA44" s="49"/>
      <c r="AB44" s="47"/>
      <c r="AC44" s="49"/>
      <c r="AD44" s="47"/>
      <c r="AE44" s="49"/>
      <c r="AF44" s="47"/>
      <c r="AG44" s="49"/>
    </row>
    <row r="45" spans="1:33" ht="9.75" customHeight="1">
      <c r="A45" s="88"/>
      <c r="B45" s="89"/>
      <c r="C45" s="89"/>
      <c r="D45" s="89"/>
      <c r="E45" s="89"/>
      <c r="F45" s="89"/>
      <c r="G45" s="89"/>
      <c r="H45" s="89"/>
      <c r="I45" s="90"/>
      <c r="J45" s="56"/>
      <c r="K45" s="43"/>
      <c r="L45" s="43"/>
      <c r="M45" s="43"/>
      <c r="N45" s="43"/>
      <c r="O45" s="43"/>
      <c r="P45" s="43"/>
      <c r="Q45" s="43"/>
      <c r="R45" s="43"/>
      <c r="S45" s="44"/>
      <c r="T45" s="47"/>
      <c r="U45" s="49"/>
      <c r="V45" s="47"/>
      <c r="W45" s="49"/>
      <c r="X45" s="47"/>
      <c r="Y45" s="49"/>
      <c r="Z45" s="47"/>
      <c r="AA45" s="49"/>
      <c r="AB45" s="47"/>
      <c r="AC45" s="49"/>
      <c r="AD45" s="47"/>
      <c r="AE45" s="49"/>
      <c r="AF45" s="47"/>
      <c r="AG45" s="49"/>
    </row>
    <row r="46" spans="1:33" ht="9.75" customHeight="1">
      <c r="A46" s="88"/>
      <c r="B46" s="89"/>
      <c r="C46" s="89"/>
      <c r="D46" s="89"/>
      <c r="E46" s="89"/>
      <c r="F46" s="89"/>
      <c r="G46" s="89"/>
      <c r="H46" s="89"/>
      <c r="I46" s="90"/>
      <c r="J46" s="56"/>
      <c r="K46" s="43"/>
      <c r="L46" s="43"/>
      <c r="M46" s="43"/>
      <c r="N46" s="43"/>
      <c r="O46" s="43"/>
      <c r="P46" s="43"/>
      <c r="Q46" s="43"/>
      <c r="R46" s="43"/>
      <c r="S46" s="44"/>
      <c r="T46" s="47"/>
      <c r="U46" s="49"/>
      <c r="V46" s="47"/>
      <c r="W46" s="49"/>
      <c r="X46" s="47"/>
      <c r="Y46" s="49"/>
      <c r="Z46" s="47"/>
      <c r="AA46" s="49"/>
      <c r="AB46" s="47"/>
      <c r="AC46" s="49"/>
      <c r="AD46" s="47"/>
      <c r="AE46" s="49"/>
      <c r="AF46" s="47"/>
      <c r="AG46" s="49"/>
    </row>
    <row r="47" spans="1:33" ht="9.75" customHeight="1">
      <c r="A47" s="88"/>
      <c r="B47" s="89"/>
      <c r="C47" s="89"/>
      <c r="D47" s="89"/>
      <c r="E47" s="89"/>
      <c r="F47" s="89"/>
      <c r="G47" s="89"/>
      <c r="H47" s="89"/>
      <c r="I47" s="90"/>
      <c r="J47" s="56"/>
      <c r="K47" s="43"/>
      <c r="L47" s="43"/>
      <c r="M47" s="43"/>
      <c r="N47" s="43"/>
      <c r="O47" s="43"/>
      <c r="P47" s="43"/>
      <c r="Q47" s="43"/>
      <c r="R47" s="43"/>
      <c r="S47" s="44"/>
      <c r="T47" s="47"/>
      <c r="U47" s="49"/>
      <c r="V47" s="47"/>
      <c r="W47" s="49"/>
      <c r="X47" s="47"/>
      <c r="Y47" s="49"/>
      <c r="Z47" s="47"/>
      <c r="AA47" s="49"/>
      <c r="AB47" s="47"/>
      <c r="AC47" s="49"/>
      <c r="AD47" s="47"/>
      <c r="AE47" s="49"/>
      <c r="AF47" s="47"/>
      <c r="AG47" s="49"/>
    </row>
    <row r="48" spans="1:33" ht="9.75" customHeight="1">
      <c r="A48" s="88"/>
      <c r="B48" s="89"/>
      <c r="C48" s="89"/>
      <c r="D48" s="89"/>
      <c r="E48" s="89"/>
      <c r="F48" s="89"/>
      <c r="G48" s="89"/>
      <c r="H48" s="89"/>
      <c r="I48" s="90"/>
      <c r="J48" s="56"/>
      <c r="K48" s="43"/>
      <c r="L48" s="43"/>
      <c r="M48" s="43"/>
      <c r="N48" s="43"/>
      <c r="O48" s="43"/>
      <c r="P48" s="43"/>
      <c r="Q48" s="43"/>
      <c r="R48" s="43"/>
      <c r="S48" s="44"/>
      <c r="T48" s="47"/>
      <c r="U48" s="49"/>
      <c r="V48" s="47"/>
      <c r="W48" s="49"/>
      <c r="X48" s="47"/>
      <c r="Y48" s="49"/>
      <c r="Z48" s="47"/>
      <c r="AA48" s="49"/>
      <c r="AB48" s="47"/>
      <c r="AC48" s="49"/>
      <c r="AD48" s="47"/>
      <c r="AE48" s="49"/>
      <c r="AF48" s="47"/>
      <c r="AG48" s="49"/>
    </row>
    <row r="49" spans="1:33" ht="9.75" customHeight="1">
      <c r="A49" s="88"/>
      <c r="B49" s="89"/>
      <c r="C49" s="89"/>
      <c r="D49" s="89"/>
      <c r="E49" s="89"/>
      <c r="F49" s="89"/>
      <c r="G49" s="89"/>
      <c r="H49" s="89"/>
      <c r="I49" s="90"/>
      <c r="J49" s="56"/>
      <c r="K49" s="43"/>
      <c r="L49" s="43"/>
      <c r="M49" s="43"/>
      <c r="N49" s="43"/>
      <c r="O49" s="43"/>
      <c r="P49" s="43"/>
      <c r="Q49" s="43"/>
      <c r="R49" s="43"/>
      <c r="S49" s="44"/>
      <c r="T49" s="47"/>
      <c r="U49" s="49"/>
      <c r="V49" s="47"/>
      <c r="W49" s="49"/>
      <c r="X49" s="47"/>
      <c r="Y49" s="49"/>
      <c r="Z49" s="47"/>
      <c r="AA49" s="49"/>
      <c r="AB49" s="47"/>
      <c r="AC49" s="49"/>
      <c r="AD49" s="47"/>
      <c r="AE49" s="49"/>
      <c r="AF49" s="47"/>
      <c r="AG49" s="49"/>
    </row>
    <row r="50" spans="1:33" ht="9.75" customHeight="1">
      <c r="A50" s="88"/>
      <c r="B50" s="89"/>
      <c r="C50" s="89"/>
      <c r="D50" s="89"/>
      <c r="E50" s="89"/>
      <c r="F50" s="89"/>
      <c r="G50" s="89"/>
      <c r="H50" s="89"/>
      <c r="I50" s="90"/>
      <c r="J50" s="56"/>
      <c r="K50" s="43"/>
      <c r="L50" s="43"/>
      <c r="M50" s="43"/>
      <c r="N50" s="43"/>
      <c r="O50" s="43"/>
      <c r="P50" s="43"/>
      <c r="Q50" s="43"/>
      <c r="R50" s="43"/>
      <c r="S50" s="44"/>
      <c r="T50" s="47"/>
      <c r="U50" s="49"/>
      <c r="V50" s="47"/>
      <c r="W50" s="49"/>
      <c r="X50" s="47"/>
      <c r="Y50" s="49"/>
      <c r="Z50" s="47"/>
      <c r="AA50" s="49"/>
      <c r="AB50" s="47"/>
      <c r="AC50" s="49"/>
      <c r="AD50" s="47"/>
      <c r="AE50" s="49"/>
      <c r="AF50" s="47"/>
      <c r="AG50" s="49"/>
    </row>
    <row r="51" spans="1:33" ht="9.75" customHeight="1">
      <c r="A51" s="88"/>
      <c r="B51" s="89"/>
      <c r="C51" s="89"/>
      <c r="D51" s="89"/>
      <c r="E51" s="89"/>
      <c r="F51" s="89"/>
      <c r="G51" s="89"/>
      <c r="H51" s="89"/>
      <c r="I51" s="90"/>
      <c r="J51" s="56"/>
      <c r="K51" s="43"/>
      <c r="L51" s="43"/>
      <c r="M51" s="43"/>
      <c r="N51" s="43"/>
      <c r="O51" s="43"/>
      <c r="P51" s="43"/>
      <c r="Q51" s="43"/>
      <c r="R51" s="43"/>
      <c r="S51" s="44"/>
      <c r="T51" s="47"/>
      <c r="U51" s="49"/>
      <c r="V51" s="47"/>
      <c r="W51" s="49"/>
      <c r="X51" s="47"/>
      <c r="Y51" s="49"/>
      <c r="Z51" s="47"/>
      <c r="AA51" s="49"/>
      <c r="AB51" s="47"/>
      <c r="AC51" s="49"/>
      <c r="AD51" s="47"/>
      <c r="AE51" s="49"/>
      <c r="AF51" s="47"/>
      <c r="AG51" s="49"/>
    </row>
    <row r="52" spans="1:33" ht="9.75" customHeight="1">
      <c r="A52" s="77"/>
      <c r="B52" s="78"/>
      <c r="C52" s="78"/>
      <c r="D52" s="78"/>
      <c r="E52" s="78"/>
      <c r="F52" s="78"/>
      <c r="G52" s="78"/>
      <c r="H52" s="91"/>
      <c r="I52" s="92"/>
      <c r="J52" s="69"/>
      <c r="K52" s="93"/>
      <c r="L52" s="93"/>
      <c r="M52" s="93"/>
      <c r="N52" s="93"/>
      <c r="O52" s="93"/>
      <c r="P52" s="93"/>
      <c r="Q52" s="93"/>
      <c r="R52" s="93"/>
      <c r="S52" s="70"/>
      <c r="T52" s="34"/>
      <c r="U52" s="36"/>
      <c r="V52" s="34"/>
      <c r="W52" s="36"/>
      <c r="X52" s="34"/>
      <c r="Y52" s="36"/>
      <c r="Z52" s="34"/>
      <c r="AA52" s="36"/>
      <c r="AB52" s="34"/>
      <c r="AC52" s="36"/>
      <c r="AD52" s="34"/>
      <c r="AE52" s="36"/>
      <c r="AF52" s="34"/>
      <c r="AG52" s="36"/>
    </row>
    <row r="53" spans="1:33" ht="9.75" customHeight="1">
      <c r="A53" s="94"/>
      <c r="B53" s="94"/>
      <c r="C53" s="94"/>
      <c r="D53" s="94"/>
      <c r="E53" s="94"/>
      <c r="F53" s="94"/>
      <c r="G53" s="94"/>
      <c r="H53" s="94"/>
      <c r="I53" s="94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</row>
    <row r="54" spans="1:33" ht="9.75" customHeight="1">
      <c r="A54" s="153" t="s">
        <v>64</v>
      </c>
      <c r="B54" s="154"/>
      <c r="C54" s="154"/>
      <c r="D54" s="155"/>
      <c r="E54" s="26" t="s">
        <v>66</v>
      </c>
      <c r="F54" s="26" t="s">
        <v>67</v>
      </c>
      <c r="G54" s="28" t="s">
        <v>68</v>
      </c>
      <c r="H54" s="153" t="s">
        <v>69</v>
      </c>
      <c r="I54" s="154"/>
      <c r="J54" s="154"/>
      <c r="K54" s="155"/>
      <c r="L54" s="154" t="s">
        <v>70</v>
      </c>
      <c r="M54" s="155"/>
      <c r="N54" s="153" t="s">
        <v>71</v>
      </c>
      <c r="O54" s="155"/>
      <c r="T54" s="109">
        <v>30</v>
      </c>
      <c r="U54" s="13" t="s">
        <v>107</v>
      </c>
    </row>
    <row r="55" spans="1:33" ht="9.75" customHeight="1">
      <c r="A55" s="27" t="s">
        <v>65</v>
      </c>
      <c r="B55" s="29" t="s">
        <v>89</v>
      </c>
      <c r="C55" s="29" t="s">
        <v>90</v>
      </c>
      <c r="D55" s="29" t="s">
        <v>91</v>
      </c>
      <c r="E55" s="30" t="s">
        <v>92</v>
      </c>
      <c r="F55" s="30" t="s">
        <v>92</v>
      </c>
      <c r="G55" s="31" t="s">
        <v>93</v>
      </c>
      <c r="H55" s="32" t="s">
        <v>94</v>
      </c>
      <c r="I55" s="27" t="s">
        <v>95</v>
      </c>
      <c r="J55" s="27" t="s">
        <v>96</v>
      </c>
      <c r="K55" s="27" t="s">
        <v>97</v>
      </c>
      <c r="L55" s="33" t="s">
        <v>98</v>
      </c>
      <c r="M55" s="29" t="s">
        <v>55</v>
      </c>
      <c r="N55" s="29" t="s">
        <v>98</v>
      </c>
      <c r="O55" s="29" t="s">
        <v>55</v>
      </c>
      <c r="T55" s="110">
        <v>0</v>
      </c>
      <c r="U55" s="13" t="s">
        <v>108</v>
      </c>
    </row>
    <row r="56" spans="1:33" ht="9.75" customHeight="1">
      <c r="A56" s="81"/>
      <c r="B56" s="81"/>
      <c r="C56" s="80"/>
      <c r="D56" s="80"/>
      <c r="E56" s="41"/>
      <c r="F56" s="41"/>
      <c r="G56" s="41"/>
      <c r="H56" s="80"/>
      <c r="I56" s="80"/>
      <c r="J56" s="80"/>
      <c r="K56" s="80"/>
      <c r="L56" s="82"/>
      <c r="M56" s="80"/>
      <c r="N56" s="80"/>
      <c r="O56" s="80"/>
    </row>
    <row r="57" spans="1:33" ht="9.75" customHeight="1">
      <c r="A57" s="81"/>
      <c r="B57" s="81"/>
      <c r="C57" s="80"/>
      <c r="D57" s="80"/>
      <c r="E57" s="41"/>
      <c r="F57" s="41"/>
      <c r="G57" s="41"/>
      <c r="H57" s="83"/>
      <c r="I57" s="83"/>
      <c r="J57" s="83"/>
      <c r="K57" s="83"/>
      <c r="L57" s="82"/>
      <c r="M57" s="80"/>
      <c r="N57" s="80"/>
      <c r="O57" s="80"/>
      <c r="T57" s="39" t="s">
        <v>232</v>
      </c>
      <c r="U57" s="13" t="str">
        <f>"HRBの復元力特性："&amp;IF(T57="修正B-L","修正バイリニア",IF(T57="K-A","Kikuchi-Aikenモデル"))</f>
        <v>HRBの復元力特性：Kikuchi-Aikenモデル</v>
      </c>
    </row>
    <row r="58" spans="1:33" ht="9.75" customHeight="1">
      <c r="A58" s="81"/>
      <c r="B58" s="81"/>
      <c r="C58" s="80"/>
      <c r="D58" s="80"/>
      <c r="E58" s="41"/>
      <c r="F58" s="41"/>
      <c r="G58" s="41"/>
      <c r="H58" s="83"/>
      <c r="I58" s="83"/>
      <c r="J58" s="83"/>
      <c r="K58" s="83"/>
      <c r="L58" s="82"/>
      <c r="M58" s="80"/>
      <c r="N58" s="80"/>
      <c r="O58" s="80"/>
    </row>
    <row r="59" spans="1:33" ht="9.75" customHeight="1">
      <c r="A59" s="81"/>
      <c r="B59" s="81"/>
      <c r="C59" s="80"/>
      <c r="D59" s="80"/>
      <c r="E59" s="41"/>
      <c r="F59" s="41"/>
      <c r="G59" s="41"/>
      <c r="H59" s="83"/>
      <c r="I59" s="83"/>
      <c r="J59" s="83"/>
      <c r="K59" s="83"/>
      <c r="L59" s="82"/>
      <c r="M59" s="80"/>
      <c r="N59" s="80"/>
      <c r="O59" s="80"/>
    </row>
    <row r="60" spans="1:33" ht="9.75" customHeight="1">
      <c r="A60" s="85"/>
      <c r="B60" s="85"/>
      <c r="C60" s="84"/>
      <c r="D60" s="84"/>
      <c r="E60" s="45"/>
      <c r="F60" s="45"/>
      <c r="G60" s="45"/>
      <c r="H60" s="86"/>
      <c r="I60" s="86"/>
      <c r="J60" s="86"/>
      <c r="K60" s="86"/>
      <c r="L60" s="87"/>
      <c r="M60" s="84"/>
      <c r="N60" s="84"/>
      <c r="O60" s="84"/>
    </row>
    <row r="61" spans="1:33" ht="9.75" customHeight="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</row>
    <row r="62" spans="1:33" ht="9.75" customHeight="1">
      <c r="A62" s="153" t="s">
        <v>101</v>
      </c>
      <c r="B62" s="154"/>
      <c r="C62" s="154"/>
      <c r="D62" s="155"/>
      <c r="E62" s="26" t="s">
        <v>102</v>
      </c>
      <c r="F62" s="26" t="s">
        <v>103</v>
      </c>
      <c r="G62" s="26" t="s">
        <v>104</v>
      </c>
      <c r="H62" s="153" t="s">
        <v>70</v>
      </c>
      <c r="I62" s="155"/>
      <c r="J62" s="153" t="s">
        <v>71</v>
      </c>
      <c r="K62" s="155"/>
    </row>
    <row r="63" spans="1:33" ht="9.75" customHeight="1">
      <c r="A63" s="27" t="s">
        <v>65</v>
      </c>
      <c r="B63" s="29" t="s">
        <v>89</v>
      </c>
      <c r="C63" s="29" t="s">
        <v>90</v>
      </c>
      <c r="D63" s="29" t="s">
        <v>91</v>
      </c>
      <c r="E63" s="29" t="s">
        <v>105</v>
      </c>
      <c r="F63" s="29" t="s">
        <v>105</v>
      </c>
      <c r="G63" s="29" t="s">
        <v>106</v>
      </c>
      <c r="H63" s="27" t="s">
        <v>102</v>
      </c>
      <c r="I63" s="27" t="s">
        <v>104</v>
      </c>
      <c r="J63" s="27" t="s">
        <v>102</v>
      </c>
      <c r="K63" s="27" t="s">
        <v>104</v>
      </c>
    </row>
    <row r="64" spans="1:33" ht="9.75" customHeight="1">
      <c r="A64" s="81"/>
      <c r="B64" s="81"/>
      <c r="C64" s="81"/>
      <c r="D64" s="80"/>
      <c r="E64" s="41"/>
      <c r="F64" s="41"/>
      <c r="G64" s="41"/>
      <c r="H64" s="80"/>
      <c r="I64" s="80"/>
      <c r="J64" s="80"/>
      <c r="K64" s="80"/>
    </row>
    <row r="65" spans="1:11" ht="9.75" customHeight="1">
      <c r="A65" s="81"/>
      <c r="B65" s="81"/>
      <c r="C65" s="81"/>
      <c r="D65" s="80"/>
      <c r="E65" s="41"/>
      <c r="F65" s="41"/>
      <c r="G65" s="41"/>
      <c r="H65" s="80"/>
      <c r="I65" s="80"/>
      <c r="J65" s="80"/>
      <c r="K65" s="80"/>
    </row>
    <row r="66" spans="1:11" ht="9.75" customHeight="1">
      <c r="A66" s="81"/>
      <c r="B66" s="81"/>
      <c r="C66" s="81"/>
      <c r="D66" s="80"/>
      <c r="E66" s="41"/>
      <c r="F66" s="41"/>
      <c r="G66" s="41"/>
      <c r="H66" s="80"/>
      <c r="I66" s="80"/>
      <c r="J66" s="80"/>
      <c r="K66" s="80"/>
    </row>
    <row r="67" spans="1:11" ht="9.75" customHeight="1">
      <c r="A67" s="81"/>
      <c r="B67" s="81"/>
      <c r="C67" s="81"/>
      <c r="D67" s="80"/>
      <c r="E67" s="41"/>
      <c r="F67" s="41"/>
      <c r="G67" s="41"/>
      <c r="H67" s="80"/>
      <c r="I67" s="80"/>
      <c r="J67" s="80"/>
      <c r="K67" s="80"/>
    </row>
    <row r="68" spans="1:11" ht="9.75" customHeight="1">
      <c r="A68" s="85"/>
      <c r="B68" s="85"/>
      <c r="C68" s="85"/>
      <c r="D68" s="84"/>
      <c r="E68" s="45"/>
      <c r="F68" s="45"/>
      <c r="G68" s="45"/>
      <c r="H68" s="84"/>
      <c r="I68" s="84"/>
      <c r="J68" s="84"/>
      <c r="K68" s="84"/>
    </row>
    <row r="69" spans="1:11" ht="9.75" customHeight="1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</row>
  </sheetData>
  <mergeCells count="25">
    <mergeCell ref="A62:D62"/>
    <mergeCell ref="H62:I62"/>
    <mergeCell ref="J62:K62"/>
    <mergeCell ref="Z1:AA1"/>
    <mergeCell ref="AB1:AC1"/>
    <mergeCell ref="F1:F2"/>
    <mergeCell ref="G1:G2"/>
    <mergeCell ref="Q1:Q2"/>
    <mergeCell ref="P1:P2"/>
    <mergeCell ref="AD1:AE1"/>
    <mergeCell ref="AF1:AG1"/>
    <mergeCell ref="A54:D54"/>
    <mergeCell ref="H54:K54"/>
    <mergeCell ref="L54:M54"/>
    <mergeCell ref="N54:O54"/>
    <mergeCell ref="H1:H2"/>
    <mergeCell ref="I1:I2"/>
    <mergeCell ref="J1:J2"/>
    <mergeCell ref="T1:U1"/>
    <mergeCell ref="V1:W1"/>
    <mergeCell ref="X1:Y1"/>
    <mergeCell ref="A1:A2"/>
    <mergeCell ref="C1:C2"/>
    <mergeCell ref="D1:D2"/>
    <mergeCell ref="E1:E2"/>
  </mergeCells>
  <phoneticPr fontId="1"/>
  <conditionalFormatting sqref="G37">
    <cfRule type="containsText" dxfId="8" priority="1" operator="containsText" text="しない">
      <formula>NOT(ISERROR(SEARCH("しない",G37)))</formula>
    </cfRule>
  </conditionalFormatting>
  <dataValidations count="4">
    <dataValidation type="list" allowBlank="1" showInputMessage="1" showErrorMessage="1" sqref="T57" xr:uid="{3069E2F4-585E-4C9F-A1D1-4BBEAD9FA0E0}">
      <formula1>"修正B-L,K-A"</formula1>
    </dataValidation>
    <dataValidation type="list" allowBlank="1" showInputMessage="1" showErrorMessage="1" sqref="B64:B68" xr:uid="{BEC739E9-CA6C-4946-9DB4-152035E259D2}">
      <formula1>"NSE"</formula1>
    </dataValidation>
    <dataValidation type="list" allowBlank="1" showInputMessage="1" showErrorMessage="1" sqref="B56:B60" xr:uid="{A50B366A-2C4D-4AAC-A8EB-CE3481E979AF}">
      <formula1>"KCT"</formula1>
    </dataValidation>
    <dataValidation type="list" allowBlank="1" showInputMessage="1" showErrorMessage="1" sqref="C3:C52" xr:uid="{DF26FBF2-9193-4907-8B66-C7509003C3F8}">
      <formula1>"BS,OILES,NSE,ADC"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72F30-6266-43F0-881A-8DB8DEE4F629}">
  <sheetPr codeName="Sheet17"/>
  <dimension ref="A1"/>
  <sheetViews>
    <sheetView workbookViewId="0"/>
  </sheetViews>
  <sheetFormatPr defaultColWidth="8.7109375" defaultRowHeight="9.75" customHeight="1"/>
  <sheetData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08D57-6ABB-4BB0-85D7-271FCA2F0E3E}">
  <sheetPr codeName="Sheet16"/>
  <dimension ref="A1:AF52"/>
  <sheetViews>
    <sheetView workbookViewId="0">
      <pane ySplit="2" topLeftCell="A3" activePane="bottomLeft" state="frozen"/>
      <selection pane="bottomLeft" activeCell="A3" sqref="A3"/>
    </sheetView>
  </sheetViews>
  <sheetFormatPr defaultColWidth="8.7109375" defaultRowHeight="9.75" customHeight="1"/>
  <cols>
    <col min="1" max="3" width="8.7109375" style="13"/>
    <col min="4" max="20" width="8.7109375" style="13" customWidth="1"/>
    <col min="21" max="21" width="8.7109375" style="13"/>
    <col min="22" max="32" width="8.7109375" style="13" customWidth="1"/>
    <col min="33" max="16384" width="8.7109375" style="13"/>
  </cols>
  <sheetData>
    <row r="1" spans="1:32" ht="9.75" customHeight="1">
      <c r="D1" s="26" t="s">
        <v>169</v>
      </c>
      <c r="E1" s="26" t="s">
        <v>170</v>
      </c>
      <c r="F1" s="26" t="s">
        <v>171</v>
      </c>
      <c r="G1" s="26" t="s">
        <v>172</v>
      </c>
      <c r="H1" s="26" t="s">
        <v>173</v>
      </c>
      <c r="I1" s="26" t="s">
        <v>174</v>
      </c>
      <c r="J1" s="26" t="s">
        <v>175</v>
      </c>
      <c r="K1" s="26" t="s">
        <v>176</v>
      </c>
      <c r="L1" s="26" t="s">
        <v>177</v>
      </c>
      <c r="M1" s="26" t="s">
        <v>178</v>
      </c>
      <c r="N1" s="26" t="s">
        <v>179</v>
      </c>
      <c r="O1" s="26" t="s">
        <v>65</v>
      </c>
      <c r="P1" s="26" t="s">
        <v>180</v>
      </c>
      <c r="Q1" s="153" t="s">
        <v>181</v>
      </c>
      <c r="R1" s="155"/>
      <c r="S1" s="153" t="s">
        <v>182</v>
      </c>
      <c r="T1" s="155"/>
      <c r="V1" s="26" t="s">
        <v>174</v>
      </c>
      <c r="W1" s="26" t="s">
        <v>175</v>
      </c>
      <c r="X1" s="26" t="s">
        <v>183</v>
      </c>
      <c r="Y1" s="26" t="s">
        <v>178</v>
      </c>
      <c r="Z1" s="26" t="s">
        <v>184</v>
      </c>
      <c r="AA1" s="26" t="s">
        <v>65</v>
      </c>
      <c r="AB1" s="28" t="s">
        <v>180</v>
      </c>
      <c r="AC1" s="153" t="s">
        <v>181</v>
      </c>
      <c r="AD1" s="155"/>
      <c r="AE1" s="153" t="s">
        <v>182</v>
      </c>
      <c r="AF1" s="155"/>
    </row>
    <row r="2" spans="1:32" ht="9.75" customHeight="1">
      <c r="D2" s="29" t="s">
        <v>185</v>
      </c>
      <c r="E2" s="29"/>
      <c r="F2" s="29" t="s">
        <v>186</v>
      </c>
      <c r="G2" s="29" t="s">
        <v>186</v>
      </c>
      <c r="H2" s="29" t="s">
        <v>187</v>
      </c>
      <c r="I2" s="29" t="s">
        <v>92</v>
      </c>
      <c r="J2" s="29" t="s">
        <v>188</v>
      </c>
      <c r="K2" s="29" t="s">
        <v>189</v>
      </c>
      <c r="L2" s="29" t="s">
        <v>189</v>
      </c>
      <c r="M2" s="29" t="s">
        <v>190</v>
      </c>
      <c r="N2" s="29"/>
      <c r="O2" s="29"/>
      <c r="P2" s="29" t="s">
        <v>191</v>
      </c>
      <c r="Q2" s="25" t="s">
        <v>192</v>
      </c>
      <c r="R2" s="27" t="s">
        <v>178</v>
      </c>
      <c r="S2" s="27" t="s">
        <v>192</v>
      </c>
      <c r="T2" s="27" t="s">
        <v>178</v>
      </c>
      <c r="V2" s="29" t="s">
        <v>188</v>
      </c>
      <c r="W2" s="29" t="s">
        <v>188</v>
      </c>
      <c r="X2" s="29" t="s">
        <v>187</v>
      </c>
      <c r="Y2" s="29" t="s">
        <v>190</v>
      </c>
      <c r="Z2" s="29" t="s">
        <v>190</v>
      </c>
      <c r="AA2" s="29"/>
      <c r="AB2" s="29" t="s">
        <v>191</v>
      </c>
      <c r="AC2" s="27" t="s">
        <v>192</v>
      </c>
      <c r="AD2" s="27" t="s">
        <v>178</v>
      </c>
      <c r="AE2" s="27" t="s">
        <v>192</v>
      </c>
      <c r="AF2" s="27" t="s">
        <v>178</v>
      </c>
    </row>
    <row r="3" spans="1:32" ht="9.75" customHeight="1">
      <c r="A3" s="27" t="s">
        <v>193</v>
      </c>
      <c r="B3" s="13" t="s">
        <v>194</v>
      </c>
      <c r="D3" s="72"/>
      <c r="E3" s="72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</row>
    <row r="4" spans="1:32" ht="9.75" customHeight="1">
      <c r="D4" s="78"/>
      <c r="E4" s="7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</row>
    <row r="5" spans="1:32" ht="9.75" customHeight="1">
      <c r="A5" s="27" t="s">
        <v>193</v>
      </c>
      <c r="B5" s="13" t="s">
        <v>195</v>
      </c>
      <c r="D5" s="78"/>
      <c r="E5" s="7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</row>
    <row r="6" spans="1:32" ht="9.75" customHeight="1">
      <c r="D6" s="78"/>
      <c r="E6" s="7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</row>
    <row r="7" spans="1:32" ht="9.75" customHeight="1">
      <c r="D7" s="78"/>
      <c r="E7" s="7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</row>
    <row r="8" spans="1:32" ht="9.75" customHeight="1">
      <c r="D8" s="78"/>
      <c r="E8" s="7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</row>
    <row r="9" spans="1:32" ht="9.75" customHeight="1">
      <c r="D9" s="78"/>
      <c r="E9" s="7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</row>
    <row r="10" spans="1:32" ht="9.75" customHeight="1">
      <c r="D10" s="78"/>
      <c r="E10" s="7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</row>
    <row r="11" spans="1:32" ht="9.75" customHeight="1">
      <c r="D11" s="78"/>
      <c r="E11" s="7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</row>
    <row r="12" spans="1:32" ht="9.75" customHeight="1">
      <c r="D12" s="78"/>
      <c r="E12" s="7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</row>
    <row r="13" spans="1:32" ht="9.75" customHeight="1">
      <c r="D13" s="78"/>
      <c r="E13" s="7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</row>
    <row r="14" spans="1:32" ht="9.75" customHeight="1">
      <c r="D14" s="78"/>
      <c r="E14" s="7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</row>
    <row r="15" spans="1:32" ht="9.75" customHeight="1">
      <c r="D15" s="78"/>
      <c r="E15" s="7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</row>
    <row r="16" spans="1:32" ht="9.75" customHeight="1">
      <c r="D16" s="78"/>
      <c r="E16" s="7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</row>
    <row r="17" spans="4:32" ht="9.75" customHeight="1">
      <c r="D17" s="78"/>
      <c r="E17" s="7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</row>
    <row r="18" spans="4:32" ht="9.75" customHeight="1">
      <c r="D18" s="78"/>
      <c r="E18" s="7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</row>
    <row r="19" spans="4:32" ht="9.75" customHeight="1">
      <c r="D19" s="78"/>
      <c r="E19" s="7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</row>
    <row r="20" spans="4:32" ht="9.75" customHeight="1">
      <c r="D20" s="78"/>
      <c r="E20" s="7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</row>
    <row r="21" spans="4:32" ht="9.75" customHeight="1">
      <c r="D21" s="78"/>
      <c r="E21" s="7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</row>
    <row r="22" spans="4:32" ht="9.75" customHeight="1">
      <c r="D22" s="78"/>
      <c r="E22" s="7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</row>
    <row r="23" spans="4:32" ht="9.75" customHeight="1">
      <c r="D23" s="78"/>
      <c r="E23" s="7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</row>
    <row r="24" spans="4:32" ht="9.75" customHeight="1">
      <c r="D24" s="78"/>
      <c r="E24" s="7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</row>
    <row r="25" spans="4:32" ht="9.75" customHeight="1">
      <c r="D25" s="78"/>
      <c r="E25" s="7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</row>
    <row r="26" spans="4:32" ht="9.75" customHeight="1">
      <c r="D26" s="78"/>
      <c r="E26" s="7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</row>
    <row r="27" spans="4:32" ht="9.75" customHeight="1">
      <c r="D27" s="78"/>
      <c r="E27" s="7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</row>
    <row r="28" spans="4:32" ht="9.75" customHeight="1">
      <c r="D28" s="78"/>
      <c r="E28" s="7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</row>
    <row r="29" spans="4:32" ht="9.75" customHeight="1">
      <c r="D29" s="78"/>
      <c r="E29" s="7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</row>
    <row r="30" spans="4:32" ht="9.75" customHeight="1">
      <c r="D30" s="78"/>
      <c r="E30" s="7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</row>
    <row r="31" spans="4:32" ht="9.75" customHeight="1">
      <c r="D31" s="78"/>
      <c r="E31" s="7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</row>
    <row r="32" spans="4:32" ht="9.75" customHeight="1">
      <c r="D32" s="78"/>
      <c r="E32" s="7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</row>
    <row r="33" spans="4:32" ht="9.75" customHeight="1">
      <c r="D33" s="78"/>
      <c r="E33" s="7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</row>
    <row r="34" spans="4:32" ht="9.75" customHeight="1">
      <c r="D34" s="78"/>
      <c r="E34" s="7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4:32" ht="9.75" customHeight="1">
      <c r="D35" s="78"/>
      <c r="E35" s="7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4:32" ht="9.75" customHeight="1">
      <c r="D36" s="78"/>
      <c r="E36" s="7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</row>
    <row r="37" spans="4:32" ht="9.75" customHeight="1">
      <c r="D37" s="78"/>
      <c r="E37" s="7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</row>
    <row r="38" spans="4:32" ht="9.75" customHeight="1">
      <c r="D38" s="78"/>
      <c r="E38" s="7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</row>
    <row r="39" spans="4:32" ht="9.75" customHeight="1">
      <c r="D39" s="78"/>
      <c r="E39" s="7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</row>
    <row r="40" spans="4:32" ht="9.75" customHeight="1">
      <c r="D40" s="78"/>
      <c r="E40" s="7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</row>
    <row r="41" spans="4:32" ht="9.75" customHeight="1">
      <c r="D41" s="78"/>
      <c r="E41" s="7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</row>
    <row r="42" spans="4:32" ht="9.75" customHeight="1">
      <c r="D42" s="78"/>
      <c r="E42" s="7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</row>
    <row r="43" spans="4:32" ht="9.75" customHeight="1">
      <c r="D43" s="78"/>
      <c r="E43" s="7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</row>
    <row r="44" spans="4:32" ht="9.75" customHeight="1">
      <c r="D44" s="78"/>
      <c r="E44" s="7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</row>
    <row r="45" spans="4:32" ht="9.75" customHeight="1">
      <c r="D45" s="78"/>
      <c r="E45" s="7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</row>
    <row r="46" spans="4:32" ht="9.75" customHeight="1">
      <c r="D46" s="78"/>
      <c r="E46" s="7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</row>
    <row r="47" spans="4:32" ht="9.75" customHeight="1">
      <c r="D47" s="78"/>
      <c r="E47" s="7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</row>
    <row r="48" spans="4:32" ht="9.75" customHeight="1">
      <c r="D48" s="78"/>
      <c r="E48" s="7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</row>
    <row r="49" spans="4:32" ht="9.75" customHeight="1">
      <c r="D49" s="78"/>
      <c r="E49" s="7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</row>
    <row r="50" spans="4:32" ht="9.75" customHeight="1">
      <c r="D50" s="78"/>
      <c r="E50" s="7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</row>
    <row r="51" spans="4:32" ht="9.75" customHeight="1">
      <c r="D51" s="78"/>
      <c r="E51" s="7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</row>
    <row r="52" spans="4:32" ht="9.75" customHeight="1">
      <c r="D52" s="78"/>
      <c r="E52" s="7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</row>
  </sheetData>
  <mergeCells count="4">
    <mergeCell ref="Q1:R1"/>
    <mergeCell ref="S1:T1"/>
    <mergeCell ref="AC1:AD1"/>
    <mergeCell ref="AE1:AF1"/>
  </mergeCells>
  <phoneticPr fontId="1"/>
  <conditionalFormatting sqref="A3 A5">
    <cfRule type="expression" dxfId="7" priority="1">
      <formula>A3="使わない"</formula>
    </cfRule>
    <cfRule type="expression" dxfId="6" priority="2">
      <formula>A3="使う"</formula>
    </cfRule>
  </conditionalFormatting>
  <dataValidations count="1">
    <dataValidation type="list" allowBlank="1" showInputMessage="1" showErrorMessage="1" sqref="A3 A5" xr:uid="{D65C0B22-B2FC-42F1-98C7-9158803C95F8}">
      <formula1>"使わない,使う"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8E41F-A4D0-43EF-91D2-5F1B66ACA76C}">
  <sheetPr codeName="Sheet18"/>
  <dimension ref="A1:T3520"/>
  <sheetViews>
    <sheetView zoomScaleNormal="100" workbookViewId="0"/>
  </sheetViews>
  <sheetFormatPr defaultColWidth="8.7109375" defaultRowHeight="9.75" customHeight="1"/>
  <cols>
    <col min="1" max="1" width="100.7109375" style="13" customWidth="1"/>
    <col min="2" max="2" width="8.7109375" customWidth="1"/>
    <col min="3" max="3" width="8.7109375" style="13"/>
    <col min="4" max="4" width="8.7109375" style="13" customWidth="1"/>
    <col min="5" max="5" width="8.7109375" style="13"/>
    <col min="6" max="7" width="8.7109375" style="13" customWidth="1"/>
    <col min="8" max="8" width="35.7109375" style="13" customWidth="1"/>
    <col min="9" max="9" width="8.7109375" style="13" customWidth="1"/>
    <col min="10" max="16384" width="8.7109375" style="13"/>
  </cols>
  <sheetData>
    <row r="1" spans="1:20" ht="9.75" customHeight="1">
      <c r="A1" s="101"/>
      <c r="B1" s="12"/>
      <c r="R1" s="13" t="s">
        <v>137</v>
      </c>
      <c r="S1" s="13" t="s">
        <v>138</v>
      </c>
    </row>
    <row r="2" spans="1:20" ht="9.75" customHeight="1">
      <c r="A2" s="101"/>
      <c r="B2" s="27" t="s">
        <v>199</v>
      </c>
      <c r="C2" s="27" t="s">
        <v>139</v>
      </c>
      <c r="D2" s="27" t="s">
        <v>140</v>
      </c>
      <c r="E2" s="27" t="s">
        <v>141</v>
      </c>
      <c r="F2" s="27" t="s">
        <v>142</v>
      </c>
      <c r="G2" s="27" t="s">
        <v>143</v>
      </c>
      <c r="H2" s="27" t="s">
        <v>144</v>
      </c>
      <c r="I2" s="99" t="s">
        <v>145</v>
      </c>
      <c r="J2" s="99" t="s">
        <v>146</v>
      </c>
      <c r="K2" s="99" t="s">
        <v>147</v>
      </c>
      <c r="L2" s="13" t="s">
        <v>148</v>
      </c>
      <c r="R2" s="13" t="s">
        <v>149</v>
      </c>
      <c r="S2" s="13" t="s">
        <v>150</v>
      </c>
      <c r="T2" s="100" t="s">
        <v>137</v>
      </c>
    </row>
    <row r="3" spans="1:20" ht="9.75" customHeight="1">
      <c r="A3" s="101"/>
      <c r="B3" s="106">
        <v>1</v>
      </c>
      <c r="C3" s="119"/>
      <c r="D3" s="81"/>
      <c r="E3" s="81"/>
      <c r="F3" s="81"/>
      <c r="G3" s="81"/>
      <c r="H3" s="80"/>
      <c r="L3" s="13" t="str">
        <f t="shared" ref="L3:L22" si="0">IF(G3="L1&amp;L2",IF(ISTEXT(F3),"OK","NG"),"・")</f>
        <v>・</v>
      </c>
      <c r="M3" s="13">
        <v>0</v>
      </c>
      <c r="N3" t="s">
        <v>292</v>
      </c>
      <c r="R3">
        <v>508.6</v>
      </c>
      <c r="S3">
        <v>0</v>
      </c>
    </row>
    <row r="4" spans="1:20" ht="9.75" customHeight="1">
      <c r="A4" s="101"/>
      <c r="B4" s="107">
        <v>2</v>
      </c>
      <c r="C4" s="120"/>
      <c r="D4" s="81"/>
      <c r="E4" s="81"/>
      <c r="F4" s="81"/>
      <c r="G4" s="81"/>
      <c r="H4" s="80"/>
      <c r="L4" s="13" t="str">
        <f t="shared" si="0"/>
        <v>・</v>
      </c>
      <c r="M4" s="13">
        <f>COUNT(I3:I22)</f>
        <v>0</v>
      </c>
      <c r="R4">
        <v>502.8</v>
      </c>
      <c r="S4">
        <v>0</v>
      </c>
    </row>
    <row r="5" spans="1:20" ht="9.75" customHeight="1">
      <c r="A5" s="101"/>
      <c r="B5" s="107">
        <v>3</v>
      </c>
      <c r="C5" s="121"/>
      <c r="D5" s="81"/>
      <c r="E5" s="81"/>
      <c r="F5" s="81"/>
      <c r="G5" s="81"/>
      <c r="H5" s="80"/>
      <c r="L5" s="13" t="str">
        <f t="shared" si="0"/>
        <v>・</v>
      </c>
      <c r="R5">
        <v>350</v>
      </c>
      <c r="S5">
        <v>0</v>
      </c>
    </row>
    <row r="6" spans="1:20" ht="9.75" customHeight="1">
      <c r="A6" s="101"/>
      <c r="B6" s="107">
        <v>4</v>
      </c>
      <c r="C6" s="122"/>
      <c r="D6" s="81"/>
      <c r="E6" s="81"/>
      <c r="F6" s="81"/>
      <c r="G6" s="81"/>
      <c r="H6" s="80"/>
      <c r="L6" s="13" t="str">
        <f t="shared" si="0"/>
        <v>・</v>
      </c>
      <c r="R6"/>
      <c r="S6"/>
    </row>
    <row r="7" spans="1:20" ht="9.75" customHeight="1">
      <c r="A7" s="101"/>
      <c r="B7" s="107">
        <v>5</v>
      </c>
      <c r="C7" s="123"/>
      <c r="D7" s="81"/>
      <c r="E7" s="81"/>
      <c r="F7" s="81"/>
      <c r="G7" s="81"/>
      <c r="H7" s="80"/>
      <c r="L7" s="13" t="str">
        <f t="shared" si="0"/>
        <v>・</v>
      </c>
      <c r="R7"/>
      <c r="S7"/>
    </row>
    <row r="8" spans="1:20" ht="9.75" customHeight="1">
      <c r="A8" s="101"/>
      <c r="B8" s="107">
        <v>6</v>
      </c>
      <c r="C8" s="124"/>
      <c r="D8" s="81"/>
      <c r="E8" s="81"/>
      <c r="F8" s="81"/>
      <c r="G8" s="81"/>
      <c r="H8" s="80"/>
      <c r="L8" s="13" t="str">
        <f t="shared" si="0"/>
        <v>・</v>
      </c>
      <c r="R8"/>
      <c r="S8"/>
    </row>
    <row r="9" spans="1:20" ht="9.75" customHeight="1">
      <c r="A9" s="101"/>
      <c r="B9" s="107">
        <v>7</v>
      </c>
      <c r="C9" s="125"/>
      <c r="D9" s="81"/>
      <c r="E9" s="81"/>
      <c r="F9" s="81"/>
      <c r="G9" s="81"/>
      <c r="H9" s="80"/>
      <c r="L9" s="13" t="str">
        <f t="shared" si="0"/>
        <v>・</v>
      </c>
      <c r="R9"/>
      <c r="S9"/>
    </row>
    <row r="10" spans="1:20" ht="9.75" customHeight="1">
      <c r="A10" s="101"/>
      <c r="B10" s="107">
        <v>8</v>
      </c>
      <c r="C10" s="126"/>
      <c r="D10" s="81"/>
      <c r="E10" s="81"/>
      <c r="F10" s="81"/>
      <c r="G10" s="81"/>
      <c r="H10" s="80"/>
      <c r="L10" s="13" t="str">
        <f t="shared" si="0"/>
        <v>・</v>
      </c>
      <c r="R10"/>
      <c r="S10"/>
    </row>
    <row r="11" spans="1:20" ht="9.75" customHeight="1">
      <c r="A11" s="101"/>
      <c r="B11" s="107">
        <v>9</v>
      </c>
      <c r="C11" s="127"/>
      <c r="D11" s="81"/>
      <c r="E11" s="81"/>
      <c r="F11" s="81"/>
      <c r="G11" s="81"/>
      <c r="H11" s="80"/>
      <c r="L11" s="13" t="str">
        <f t="shared" si="0"/>
        <v>・</v>
      </c>
      <c r="R11"/>
      <c r="S11"/>
    </row>
    <row r="12" spans="1:20" ht="9.75" customHeight="1">
      <c r="A12" s="101"/>
      <c r="B12" s="107">
        <v>10</v>
      </c>
      <c r="C12" s="128"/>
      <c r="D12" s="81"/>
      <c r="E12" s="81"/>
      <c r="F12" s="81"/>
      <c r="G12" s="81"/>
      <c r="H12" s="80"/>
      <c r="L12" s="13" t="str">
        <f t="shared" si="0"/>
        <v>・</v>
      </c>
      <c r="R12"/>
      <c r="S12"/>
    </row>
    <row r="13" spans="1:20" ht="9.75" customHeight="1">
      <c r="A13" s="101"/>
      <c r="B13" s="107">
        <v>11</v>
      </c>
      <c r="C13" s="129"/>
      <c r="D13" s="81"/>
      <c r="E13" s="81"/>
      <c r="F13" s="81"/>
      <c r="G13" s="81"/>
      <c r="H13" s="80"/>
      <c r="L13" s="13" t="str">
        <f t="shared" si="0"/>
        <v>・</v>
      </c>
      <c r="R13"/>
      <c r="S13"/>
    </row>
    <row r="14" spans="1:20" ht="9.75" customHeight="1">
      <c r="A14" s="101"/>
      <c r="B14" s="107">
        <v>12</v>
      </c>
      <c r="C14" s="130"/>
      <c r="D14" s="81"/>
      <c r="E14" s="81"/>
      <c r="F14" s="81"/>
      <c r="G14" s="81"/>
      <c r="H14" s="80"/>
      <c r="L14" s="13" t="str">
        <f t="shared" si="0"/>
        <v>・</v>
      </c>
      <c r="R14"/>
      <c r="S14"/>
    </row>
    <row r="15" spans="1:20" ht="9.75" customHeight="1">
      <c r="A15" s="101"/>
      <c r="B15" s="107">
        <v>13</v>
      </c>
      <c r="C15" s="131"/>
      <c r="D15" s="81"/>
      <c r="E15" s="81"/>
      <c r="F15" s="81"/>
      <c r="G15" s="81"/>
      <c r="H15" s="80"/>
      <c r="L15" s="13" t="str">
        <f t="shared" si="0"/>
        <v>・</v>
      </c>
      <c r="R15"/>
      <c r="S15"/>
    </row>
    <row r="16" spans="1:20" ht="9.75" customHeight="1">
      <c r="A16" s="101"/>
      <c r="B16" s="107">
        <v>14</v>
      </c>
      <c r="C16" s="132"/>
      <c r="D16" s="81"/>
      <c r="E16" s="81"/>
      <c r="F16" s="81"/>
      <c r="G16" s="81"/>
      <c r="H16" s="80"/>
      <c r="L16" s="13" t="str">
        <f t="shared" si="0"/>
        <v>・</v>
      </c>
      <c r="R16"/>
      <c r="S16"/>
    </row>
    <row r="17" spans="1:19" ht="9.75" customHeight="1">
      <c r="A17" s="101"/>
      <c r="B17" s="107">
        <v>15</v>
      </c>
      <c r="C17" s="133"/>
      <c r="D17" s="81"/>
      <c r="E17" s="81"/>
      <c r="F17" s="81"/>
      <c r="G17" s="81"/>
      <c r="H17" s="80"/>
      <c r="L17" s="13" t="str">
        <f t="shared" si="0"/>
        <v>・</v>
      </c>
      <c r="R17"/>
      <c r="S17"/>
    </row>
    <row r="18" spans="1:19" ht="9.75" customHeight="1">
      <c r="A18" s="101"/>
      <c r="B18" s="107">
        <v>16</v>
      </c>
      <c r="C18" s="134"/>
      <c r="D18" s="81"/>
      <c r="E18" s="81"/>
      <c r="F18" s="81"/>
      <c r="G18" s="81"/>
      <c r="H18" s="80"/>
      <c r="L18" s="13" t="str">
        <f t="shared" si="0"/>
        <v>・</v>
      </c>
      <c r="R18"/>
      <c r="S18"/>
    </row>
    <row r="19" spans="1:19" ht="9.75" customHeight="1">
      <c r="A19" s="101"/>
      <c r="B19" s="107">
        <v>17</v>
      </c>
      <c r="C19" s="135"/>
      <c r="D19" s="81"/>
      <c r="E19" s="81"/>
      <c r="F19" s="81"/>
      <c r="G19" s="81"/>
      <c r="H19" s="80"/>
      <c r="L19" s="13" t="str">
        <f t="shared" si="0"/>
        <v>・</v>
      </c>
      <c r="R19"/>
      <c r="S19"/>
    </row>
    <row r="20" spans="1:19" ht="9.75" customHeight="1">
      <c r="A20" s="101"/>
      <c r="B20" s="107">
        <v>18</v>
      </c>
      <c r="C20" s="136"/>
      <c r="D20" s="81"/>
      <c r="E20" s="81"/>
      <c r="F20" s="81"/>
      <c r="G20" s="81"/>
      <c r="H20" s="80"/>
      <c r="L20" s="13" t="str">
        <f t="shared" si="0"/>
        <v>・</v>
      </c>
      <c r="R20"/>
      <c r="S20"/>
    </row>
    <row r="21" spans="1:19" ht="9.75" customHeight="1">
      <c r="A21" s="101"/>
      <c r="B21" s="107">
        <v>19</v>
      </c>
      <c r="C21" s="137"/>
      <c r="D21" s="81"/>
      <c r="E21" s="81"/>
      <c r="F21" s="81"/>
      <c r="G21" s="81"/>
      <c r="H21" s="80"/>
      <c r="L21" s="13" t="str">
        <f t="shared" si="0"/>
        <v>・</v>
      </c>
      <c r="R21"/>
      <c r="S21"/>
    </row>
    <row r="22" spans="1:19" ht="9.75" customHeight="1">
      <c r="A22" s="101"/>
      <c r="B22" s="108">
        <v>20</v>
      </c>
      <c r="C22" s="138"/>
      <c r="D22" s="81"/>
      <c r="E22" s="81"/>
      <c r="F22" s="81"/>
      <c r="G22" s="81"/>
      <c r="H22" s="80"/>
      <c r="L22" s="13" t="str">
        <f t="shared" si="0"/>
        <v>・</v>
      </c>
      <c r="R22"/>
      <c r="S22"/>
    </row>
    <row r="23" spans="1:19" ht="9.75" customHeight="1">
      <c r="A23" s="101"/>
      <c r="B23" s="13"/>
      <c r="C23" s="94"/>
      <c r="D23" s="46"/>
      <c r="E23" s="102"/>
      <c r="F23" s="102"/>
      <c r="G23" s="102"/>
      <c r="H23" s="102"/>
      <c r="I23" s="12"/>
    </row>
    <row r="24" spans="1:19" ht="9.75" customHeight="1">
      <c r="A24" s="101"/>
      <c r="B24" s="99" t="s">
        <v>198</v>
      </c>
      <c r="C24" s="27" t="str">
        <f>IF(ISTEXT(N3),N3,
IF(ISNUMBER(I3),IF(AND(
COUNT(I3:I22)=COUNT(D3:D22),
COUNT(I3:I22)=COUNT(E3:E22),
COUNT(I3:I22)=COUNTA(G3:G22),
COUNT(I3:I22)=COUNTA(H3:H22)),
IF(COUNTIF(G3:G22,"L1&amp;L2")&gt;0,IF(COUNTIF(L3:L22,"NG")=0,"読込済","･"),"読込済"),"･"),"･"))</f>
        <v>要読込</v>
      </c>
      <c r="E24" s="12"/>
      <c r="F24" s="12"/>
      <c r="G24" s="12"/>
      <c r="H24" s="12"/>
    </row>
    <row r="25" spans="1:19" ht="9.75" customHeight="1">
      <c r="A25" s="101"/>
      <c r="B25" s="99"/>
      <c r="C25" s="102"/>
      <c r="E25" s="12"/>
      <c r="F25" s="12"/>
      <c r="G25" s="12"/>
    </row>
    <row r="26" spans="1:19" ht="9.75" customHeight="1">
      <c r="A26" s="101"/>
      <c r="B26" s="101" t="s">
        <v>202</v>
      </c>
      <c r="E26" s="12"/>
      <c r="F26" s="12"/>
      <c r="G26" s="12"/>
    </row>
    <row r="27" spans="1:19" ht="9.75" customHeight="1">
      <c r="A27" s="101"/>
      <c r="B27" s="103" t="s">
        <v>196</v>
      </c>
      <c r="C27" s="109">
        <v>0.05</v>
      </c>
      <c r="E27" s="12"/>
      <c r="F27" s="12"/>
      <c r="G27" s="12"/>
      <c r="H27" s="12"/>
    </row>
    <row r="28" spans="1:19" ht="9.75" customHeight="1">
      <c r="A28" s="101"/>
      <c r="B28" s="103" t="s">
        <v>197</v>
      </c>
      <c r="C28" s="110">
        <v>1</v>
      </c>
      <c r="E28" s="12"/>
      <c r="F28" s="12"/>
      <c r="G28" s="12"/>
      <c r="H28" s="12"/>
    </row>
    <row r="29" spans="1:19" ht="9.75" customHeight="1">
      <c r="A29" s="101"/>
      <c r="E29" s="12"/>
      <c r="F29" s="12"/>
      <c r="G29" s="12"/>
      <c r="H29" s="12"/>
    </row>
    <row r="30" spans="1:19" ht="9.75" customHeight="1">
      <c r="A30" s="101"/>
      <c r="E30" s="12"/>
      <c r="F30" s="12"/>
      <c r="G30" s="12"/>
      <c r="H30" s="12"/>
    </row>
    <row r="31" spans="1:19" ht="9.75" customHeight="1">
      <c r="A31" s="101"/>
      <c r="E31" s="12"/>
      <c r="F31" s="12"/>
      <c r="G31" s="12"/>
      <c r="H31" s="12"/>
    </row>
    <row r="32" spans="1:19" ht="9.75" customHeight="1">
      <c r="A32" s="101"/>
      <c r="E32" s="12"/>
      <c r="F32" s="12"/>
      <c r="G32" s="12"/>
      <c r="H32" s="12"/>
    </row>
    <row r="33" spans="1:8" ht="9.75" customHeight="1">
      <c r="A33" s="101"/>
      <c r="E33" s="12"/>
      <c r="F33" s="12"/>
      <c r="G33" s="12"/>
      <c r="H33" s="12"/>
    </row>
    <row r="34" spans="1:8" ht="9.75" customHeight="1">
      <c r="A34" s="101"/>
      <c r="E34" s="12"/>
      <c r="F34" s="12"/>
      <c r="G34" s="12"/>
      <c r="H34" s="12"/>
    </row>
    <row r="35" spans="1:8" ht="9.75" customHeight="1">
      <c r="A35" s="101"/>
      <c r="E35" s="12"/>
      <c r="F35" s="12"/>
      <c r="G35" s="12"/>
      <c r="H35" s="12"/>
    </row>
    <row r="36" spans="1:8" ht="9.75" customHeight="1">
      <c r="A36" s="101"/>
      <c r="E36" s="12"/>
      <c r="F36" s="12"/>
      <c r="G36" s="12"/>
      <c r="H36" s="12"/>
    </row>
    <row r="37" spans="1:8" ht="9.75" customHeight="1">
      <c r="A37" s="101"/>
      <c r="E37" s="12"/>
      <c r="F37" s="12"/>
      <c r="G37" s="12"/>
      <c r="H37" s="12"/>
    </row>
    <row r="38" spans="1:8" ht="9.75" customHeight="1">
      <c r="A38" s="101"/>
      <c r="E38" s="12"/>
      <c r="F38" s="12"/>
      <c r="G38" s="12"/>
      <c r="H38" s="12"/>
    </row>
    <row r="39" spans="1:8" ht="9.75" customHeight="1">
      <c r="A39" s="101"/>
      <c r="E39" s="12"/>
      <c r="F39" s="12"/>
      <c r="G39" s="12"/>
      <c r="H39" s="12"/>
    </row>
    <row r="40" spans="1:8" ht="9.75" customHeight="1">
      <c r="A40" s="101"/>
      <c r="E40" s="12"/>
      <c r="F40" s="12"/>
      <c r="G40" s="12"/>
      <c r="H40" s="12"/>
    </row>
    <row r="41" spans="1:8" ht="9.75" customHeight="1">
      <c r="A41" s="101"/>
      <c r="E41" s="12"/>
      <c r="F41" s="12"/>
      <c r="G41" s="12"/>
      <c r="H41" s="12"/>
    </row>
    <row r="42" spans="1:8" ht="9.75" customHeight="1">
      <c r="A42" s="101"/>
      <c r="E42" s="12"/>
      <c r="F42" s="12"/>
      <c r="G42" s="12"/>
      <c r="H42" s="12"/>
    </row>
    <row r="43" spans="1:8" ht="9.75" customHeight="1">
      <c r="A43" s="101"/>
      <c r="E43" s="12"/>
      <c r="F43" s="12"/>
      <c r="G43" s="12"/>
      <c r="H43" s="12"/>
    </row>
    <row r="44" spans="1:8" ht="9.75" customHeight="1">
      <c r="A44" s="101"/>
      <c r="E44" s="12"/>
      <c r="F44" s="12"/>
      <c r="G44" s="12"/>
      <c r="H44" s="12"/>
    </row>
    <row r="45" spans="1:8" ht="9.75" customHeight="1">
      <c r="A45" s="101"/>
      <c r="E45" s="12"/>
      <c r="F45" s="12"/>
      <c r="G45" s="12"/>
      <c r="H45" s="12"/>
    </row>
    <row r="46" spans="1:8" ht="9.75" customHeight="1">
      <c r="A46" s="101"/>
      <c r="E46" s="12"/>
      <c r="F46" s="12"/>
      <c r="G46" s="12"/>
      <c r="H46" s="12"/>
    </row>
    <row r="47" spans="1:8" ht="9.75" customHeight="1">
      <c r="A47" s="101"/>
      <c r="E47" s="12"/>
      <c r="F47" s="12"/>
      <c r="G47" s="12"/>
      <c r="H47" s="12"/>
    </row>
    <row r="48" spans="1:8" ht="9.75" customHeight="1">
      <c r="A48" s="101"/>
      <c r="E48" s="12"/>
      <c r="F48" s="12"/>
      <c r="G48" s="12"/>
      <c r="H48" s="12"/>
    </row>
    <row r="49" spans="1:8" ht="9.75" customHeight="1">
      <c r="A49" s="101"/>
      <c r="E49" s="12"/>
      <c r="F49" s="12"/>
      <c r="G49" s="12"/>
      <c r="H49" s="12"/>
    </row>
    <row r="50" spans="1:8" ht="9.75" customHeight="1">
      <c r="A50" s="101"/>
      <c r="E50" s="12"/>
      <c r="F50" s="12"/>
      <c r="G50" s="12"/>
      <c r="H50" s="12"/>
    </row>
    <row r="51" spans="1:8" ht="9.75" customHeight="1">
      <c r="A51" s="101"/>
      <c r="E51" s="12"/>
      <c r="F51" s="12"/>
      <c r="G51" s="12"/>
      <c r="H51" s="12"/>
    </row>
    <row r="52" spans="1:8" ht="9.75" customHeight="1">
      <c r="A52" s="101"/>
      <c r="E52" s="12"/>
      <c r="F52" s="12"/>
      <c r="G52" s="12"/>
      <c r="H52" s="12"/>
    </row>
    <row r="53" spans="1:8" ht="9.75" customHeight="1">
      <c r="A53" s="101"/>
      <c r="E53" s="12"/>
      <c r="F53" s="12"/>
      <c r="G53" s="12"/>
      <c r="H53" s="12"/>
    </row>
    <row r="54" spans="1:8" ht="9.75" customHeight="1">
      <c r="A54" s="101"/>
      <c r="E54" s="12"/>
      <c r="F54" s="12"/>
      <c r="G54" s="12"/>
      <c r="H54" s="12"/>
    </row>
    <row r="55" spans="1:8" ht="9.75" customHeight="1">
      <c r="A55" s="101"/>
    </row>
    <row r="56" spans="1:8" ht="9.75" customHeight="1">
      <c r="A56" s="101"/>
    </row>
    <row r="57" spans="1:8" ht="9.75" customHeight="1">
      <c r="A57" s="101"/>
    </row>
    <row r="58" spans="1:8" ht="9.75" customHeight="1">
      <c r="A58" s="101"/>
    </row>
    <row r="59" spans="1:8" ht="9.75" customHeight="1">
      <c r="A59" s="101"/>
    </row>
    <row r="60" spans="1:8" ht="9.75" customHeight="1">
      <c r="A60" s="101"/>
    </row>
    <row r="61" spans="1:8" ht="9.75" customHeight="1">
      <c r="A61" s="101"/>
    </row>
    <row r="62" spans="1:8" ht="9.75" customHeight="1">
      <c r="A62" s="101"/>
    </row>
    <row r="63" spans="1:8" ht="9.75" customHeight="1">
      <c r="A63" s="101"/>
    </row>
    <row r="64" spans="1:8" ht="9.75" customHeight="1">
      <c r="A64" s="101"/>
    </row>
    <row r="65" spans="1:1" ht="9.75" customHeight="1">
      <c r="A65" s="101"/>
    </row>
    <row r="66" spans="1:1" ht="9.75" customHeight="1">
      <c r="A66" s="101"/>
    </row>
    <row r="67" spans="1:1" ht="9.75" customHeight="1">
      <c r="A67" s="101"/>
    </row>
    <row r="68" spans="1:1" ht="9.75" customHeight="1">
      <c r="A68" s="101"/>
    </row>
    <row r="69" spans="1:1" ht="9.75" customHeight="1">
      <c r="A69" s="101"/>
    </row>
    <row r="70" spans="1:1" ht="9.75" customHeight="1">
      <c r="A70" s="101"/>
    </row>
    <row r="71" spans="1:1" ht="9.75" customHeight="1">
      <c r="A71" s="101"/>
    </row>
    <row r="72" spans="1:1" ht="9.75" customHeight="1">
      <c r="A72" s="101"/>
    </row>
    <row r="73" spans="1:1" ht="9.75" customHeight="1">
      <c r="A73" s="101"/>
    </row>
    <row r="74" spans="1:1" ht="9.75" customHeight="1">
      <c r="A74" s="101"/>
    </row>
    <row r="75" spans="1:1" ht="9.75" customHeight="1">
      <c r="A75" s="101"/>
    </row>
    <row r="76" spans="1:1" ht="9.75" customHeight="1">
      <c r="A76" s="101"/>
    </row>
    <row r="77" spans="1:1" ht="9.75" customHeight="1">
      <c r="A77" s="101"/>
    </row>
    <row r="78" spans="1:1" ht="9.75" customHeight="1">
      <c r="A78" s="101"/>
    </row>
    <row r="79" spans="1:1" ht="9.75" customHeight="1">
      <c r="A79" s="101"/>
    </row>
    <row r="80" spans="1:1" ht="9.75" customHeight="1">
      <c r="A80" s="101"/>
    </row>
    <row r="81" spans="1:1" ht="9.75" customHeight="1">
      <c r="A81" s="101"/>
    </row>
    <row r="82" spans="1:1" ht="9.75" customHeight="1">
      <c r="A82" s="101"/>
    </row>
    <row r="83" spans="1:1" ht="9.75" customHeight="1">
      <c r="A83" s="101"/>
    </row>
    <row r="84" spans="1:1" ht="9.75" customHeight="1">
      <c r="A84" s="101"/>
    </row>
    <row r="85" spans="1:1" ht="9.75" customHeight="1">
      <c r="A85" s="101"/>
    </row>
    <row r="86" spans="1:1" ht="9.75" customHeight="1">
      <c r="A86" s="101"/>
    </row>
    <row r="87" spans="1:1" ht="9.75" customHeight="1">
      <c r="A87" s="101"/>
    </row>
    <row r="88" spans="1:1" ht="9.75" customHeight="1">
      <c r="A88" s="101"/>
    </row>
    <row r="89" spans="1:1" ht="9.75" customHeight="1">
      <c r="A89" s="101"/>
    </row>
    <row r="90" spans="1:1" ht="9.75" customHeight="1">
      <c r="A90" s="101"/>
    </row>
    <row r="91" spans="1:1" ht="9.75" customHeight="1">
      <c r="A91" s="101"/>
    </row>
    <row r="92" spans="1:1" ht="9.75" customHeight="1">
      <c r="A92" s="101"/>
    </row>
    <row r="93" spans="1:1" ht="9.75" customHeight="1">
      <c r="A93" s="101"/>
    </row>
    <row r="94" spans="1:1" ht="9.75" customHeight="1">
      <c r="A94" s="101"/>
    </row>
    <row r="95" spans="1:1" ht="9.75" customHeight="1">
      <c r="A95" s="101"/>
    </row>
    <row r="96" spans="1:1" ht="9.75" customHeight="1">
      <c r="A96" s="101"/>
    </row>
    <row r="97" spans="1:1" ht="9.75" customHeight="1">
      <c r="A97" s="101"/>
    </row>
    <row r="98" spans="1:1" ht="9.75" customHeight="1">
      <c r="A98" s="101"/>
    </row>
    <row r="99" spans="1:1" ht="9.75" customHeight="1">
      <c r="A99" s="101"/>
    </row>
    <row r="100" spans="1:1" ht="9.75" customHeight="1">
      <c r="A100" s="101"/>
    </row>
    <row r="101" spans="1:1" ht="9.75" customHeight="1">
      <c r="A101" s="101"/>
    </row>
    <row r="102" spans="1:1" ht="9.75" customHeight="1">
      <c r="A102" s="101"/>
    </row>
    <row r="103" spans="1:1" ht="9.75" customHeight="1">
      <c r="A103" s="101"/>
    </row>
    <row r="104" spans="1:1" ht="9.75" customHeight="1">
      <c r="A104" s="101"/>
    </row>
    <row r="105" spans="1:1" ht="9.75" customHeight="1">
      <c r="A105" s="101"/>
    </row>
    <row r="106" spans="1:1" ht="9.75" customHeight="1">
      <c r="A106" s="101"/>
    </row>
    <row r="107" spans="1:1" ht="9.75" customHeight="1">
      <c r="A107" s="101"/>
    </row>
    <row r="108" spans="1:1" ht="9.75" customHeight="1">
      <c r="A108" s="101"/>
    </row>
    <row r="109" spans="1:1" ht="9.75" customHeight="1">
      <c r="A109" s="101"/>
    </row>
    <row r="110" spans="1:1" ht="9.75" customHeight="1">
      <c r="A110" s="101"/>
    </row>
    <row r="111" spans="1:1" ht="9.75" customHeight="1">
      <c r="A111" s="101"/>
    </row>
    <row r="112" spans="1:1" ht="9.75" customHeight="1">
      <c r="A112" s="101"/>
    </row>
    <row r="113" spans="1:1" ht="9.75" customHeight="1">
      <c r="A113" s="101"/>
    </row>
    <row r="114" spans="1:1" ht="9.75" customHeight="1">
      <c r="A114" s="101"/>
    </row>
    <row r="115" spans="1:1" ht="9.75" customHeight="1">
      <c r="A115" s="101"/>
    </row>
    <row r="116" spans="1:1" ht="9.75" customHeight="1">
      <c r="A116" s="101"/>
    </row>
    <row r="117" spans="1:1" ht="9.75" customHeight="1">
      <c r="A117" s="101"/>
    </row>
    <row r="118" spans="1:1" ht="9.75" customHeight="1">
      <c r="A118" s="101"/>
    </row>
    <row r="119" spans="1:1" ht="9.75" customHeight="1">
      <c r="A119" s="101"/>
    </row>
    <row r="120" spans="1:1" ht="9.75" customHeight="1">
      <c r="A120" s="101"/>
    </row>
    <row r="121" spans="1:1" ht="9.75" customHeight="1">
      <c r="A121" s="101"/>
    </row>
    <row r="122" spans="1:1" ht="9.75" customHeight="1">
      <c r="A122" s="101"/>
    </row>
    <row r="123" spans="1:1" ht="9.75" customHeight="1">
      <c r="A123" s="101"/>
    </row>
    <row r="124" spans="1:1" ht="9.75" customHeight="1">
      <c r="A124" s="101"/>
    </row>
    <row r="125" spans="1:1" ht="9.75" customHeight="1">
      <c r="A125" s="101"/>
    </row>
    <row r="126" spans="1:1" ht="9.75" customHeight="1">
      <c r="A126" s="101"/>
    </row>
    <row r="127" spans="1:1" ht="9.75" customHeight="1">
      <c r="A127" s="101"/>
    </row>
    <row r="128" spans="1:1" ht="9.75" customHeight="1">
      <c r="A128" s="101"/>
    </row>
    <row r="129" spans="1:1" ht="9.75" customHeight="1">
      <c r="A129" s="101"/>
    </row>
    <row r="130" spans="1:1" ht="9.75" customHeight="1">
      <c r="A130" s="101"/>
    </row>
    <row r="131" spans="1:1" ht="9.75" customHeight="1">
      <c r="A131" s="101"/>
    </row>
    <row r="132" spans="1:1" ht="9.75" customHeight="1">
      <c r="A132" s="101"/>
    </row>
    <row r="133" spans="1:1" ht="9.75" customHeight="1">
      <c r="A133" s="101"/>
    </row>
    <row r="134" spans="1:1" ht="9.75" customHeight="1">
      <c r="A134" s="101"/>
    </row>
    <row r="135" spans="1:1" ht="9.75" customHeight="1">
      <c r="A135" s="101"/>
    </row>
    <row r="136" spans="1:1" ht="9.75" customHeight="1">
      <c r="A136" s="101"/>
    </row>
    <row r="137" spans="1:1" ht="9.75" customHeight="1">
      <c r="A137" s="101"/>
    </row>
    <row r="138" spans="1:1" ht="9.75" customHeight="1">
      <c r="A138" s="101"/>
    </row>
    <row r="139" spans="1:1" ht="9.75" customHeight="1">
      <c r="A139" s="101"/>
    </row>
    <row r="140" spans="1:1" ht="9.75" customHeight="1">
      <c r="A140" s="101"/>
    </row>
    <row r="141" spans="1:1" ht="9.75" customHeight="1">
      <c r="A141" s="101"/>
    </row>
    <row r="142" spans="1:1" ht="9.75" customHeight="1">
      <c r="A142" s="101"/>
    </row>
    <row r="143" spans="1:1" ht="9.75" customHeight="1">
      <c r="A143" s="101"/>
    </row>
    <row r="144" spans="1:1" ht="9.75" customHeight="1">
      <c r="A144" s="101"/>
    </row>
    <row r="145" spans="1:1" ht="9.75" customHeight="1">
      <c r="A145" s="101"/>
    </row>
    <row r="146" spans="1:1" ht="9.75" customHeight="1">
      <c r="A146" s="101"/>
    </row>
    <row r="147" spans="1:1" ht="9.75" customHeight="1">
      <c r="A147" s="101"/>
    </row>
    <row r="148" spans="1:1" ht="9.75" customHeight="1">
      <c r="A148" s="101"/>
    </row>
    <row r="149" spans="1:1" ht="9.75" customHeight="1">
      <c r="A149" s="101"/>
    </row>
    <row r="150" spans="1:1" ht="9.75" customHeight="1">
      <c r="A150" s="101"/>
    </row>
    <row r="151" spans="1:1" ht="9.75" customHeight="1">
      <c r="A151" s="101"/>
    </row>
    <row r="152" spans="1:1" ht="9.75" customHeight="1">
      <c r="A152" s="101"/>
    </row>
    <row r="153" spans="1:1" ht="9.75" customHeight="1">
      <c r="A153" s="101"/>
    </row>
    <row r="154" spans="1:1" ht="9.75" customHeight="1">
      <c r="A154" s="101"/>
    </row>
    <row r="155" spans="1:1" ht="9.75" customHeight="1">
      <c r="A155" s="101"/>
    </row>
    <row r="156" spans="1:1" ht="9.75" customHeight="1">
      <c r="A156" s="101"/>
    </row>
    <row r="157" spans="1:1" ht="9.75" customHeight="1">
      <c r="A157" s="101"/>
    </row>
    <row r="158" spans="1:1" ht="9.75" customHeight="1">
      <c r="A158" s="101"/>
    </row>
    <row r="159" spans="1:1" ht="9.75" customHeight="1">
      <c r="A159" s="101"/>
    </row>
    <row r="160" spans="1:1" ht="9.75" customHeight="1">
      <c r="A160" s="101"/>
    </row>
    <row r="161" spans="1:1" ht="9.75" customHeight="1">
      <c r="A161" s="101"/>
    </row>
    <row r="162" spans="1:1" ht="9.75" customHeight="1">
      <c r="A162" s="101"/>
    </row>
    <row r="163" spans="1:1" ht="9.75" customHeight="1">
      <c r="A163" s="101"/>
    </row>
    <row r="164" spans="1:1" ht="9.75" customHeight="1">
      <c r="A164" s="101"/>
    </row>
    <row r="165" spans="1:1" ht="9.75" customHeight="1">
      <c r="A165" s="101"/>
    </row>
    <row r="166" spans="1:1" ht="9.75" customHeight="1">
      <c r="A166" s="101"/>
    </row>
    <row r="167" spans="1:1" ht="9.75" customHeight="1">
      <c r="A167" s="101"/>
    </row>
    <row r="168" spans="1:1" ht="9.75" customHeight="1">
      <c r="A168" s="101"/>
    </row>
    <row r="169" spans="1:1" ht="9.75" customHeight="1">
      <c r="A169" s="101"/>
    </row>
    <row r="170" spans="1:1" ht="9.75" customHeight="1">
      <c r="A170" s="101"/>
    </row>
    <row r="171" spans="1:1" ht="9.75" customHeight="1">
      <c r="A171" s="101"/>
    </row>
    <row r="172" spans="1:1" ht="9.75" customHeight="1">
      <c r="A172" s="101"/>
    </row>
    <row r="173" spans="1:1" ht="9.75" customHeight="1">
      <c r="A173" s="101"/>
    </row>
    <row r="174" spans="1:1" ht="9.75" customHeight="1">
      <c r="A174" s="101"/>
    </row>
    <row r="175" spans="1:1" ht="9.75" customHeight="1">
      <c r="A175" s="101"/>
    </row>
    <row r="176" spans="1:1" ht="9.75" customHeight="1">
      <c r="A176" s="101"/>
    </row>
    <row r="177" spans="1:1" ht="9.75" customHeight="1">
      <c r="A177" s="101"/>
    </row>
    <row r="178" spans="1:1" ht="9.75" customHeight="1">
      <c r="A178" s="101"/>
    </row>
    <row r="179" spans="1:1" ht="9.75" customHeight="1">
      <c r="A179" s="101"/>
    </row>
    <row r="180" spans="1:1" ht="9.75" customHeight="1">
      <c r="A180" s="101"/>
    </row>
    <row r="181" spans="1:1" ht="9.75" customHeight="1">
      <c r="A181" s="101"/>
    </row>
    <row r="182" spans="1:1" ht="9.75" customHeight="1">
      <c r="A182" s="101"/>
    </row>
    <row r="183" spans="1:1" ht="9.75" customHeight="1">
      <c r="A183" s="101"/>
    </row>
    <row r="184" spans="1:1" ht="9.75" customHeight="1">
      <c r="A184" s="101"/>
    </row>
    <row r="185" spans="1:1" ht="9.75" customHeight="1">
      <c r="A185" s="101"/>
    </row>
    <row r="186" spans="1:1" ht="9.75" customHeight="1">
      <c r="A186" s="101"/>
    </row>
    <row r="187" spans="1:1" ht="9.75" customHeight="1">
      <c r="A187" s="101"/>
    </row>
    <row r="188" spans="1:1" ht="9.75" customHeight="1">
      <c r="A188" s="101"/>
    </row>
    <row r="189" spans="1:1" ht="9.75" customHeight="1">
      <c r="A189" s="101"/>
    </row>
    <row r="190" spans="1:1" ht="9.75" customHeight="1">
      <c r="A190" s="101"/>
    </row>
    <row r="191" spans="1:1" ht="9.75" customHeight="1">
      <c r="A191" s="101"/>
    </row>
    <row r="192" spans="1:1" ht="9.75" customHeight="1">
      <c r="A192" s="101"/>
    </row>
    <row r="193" spans="1:1" ht="9.75" customHeight="1">
      <c r="A193" s="101"/>
    </row>
    <row r="194" spans="1:1" ht="9.75" customHeight="1">
      <c r="A194" s="101"/>
    </row>
    <row r="195" spans="1:1" ht="9.75" customHeight="1">
      <c r="A195" s="101"/>
    </row>
    <row r="196" spans="1:1" ht="9.75" customHeight="1">
      <c r="A196" s="101"/>
    </row>
    <row r="197" spans="1:1" ht="9.75" customHeight="1">
      <c r="A197" s="101"/>
    </row>
    <row r="198" spans="1:1" ht="9.75" customHeight="1">
      <c r="A198" s="101"/>
    </row>
    <row r="199" spans="1:1" ht="9.75" customHeight="1">
      <c r="A199" s="101"/>
    </row>
    <row r="200" spans="1:1" ht="9.75" customHeight="1">
      <c r="A200" s="101"/>
    </row>
    <row r="201" spans="1:1" ht="9.75" customHeight="1">
      <c r="A201" s="101"/>
    </row>
    <row r="202" spans="1:1" ht="9.75" customHeight="1">
      <c r="A202" s="101"/>
    </row>
    <row r="203" spans="1:1" ht="9.75" customHeight="1">
      <c r="A203" s="101"/>
    </row>
    <row r="204" spans="1:1" ht="9.75" customHeight="1">
      <c r="A204" s="101"/>
    </row>
    <row r="205" spans="1:1" ht="9.75" customHeight="1">
      <c r="A205" s="101"/>
    </row>
    <row r="206" spans="1:1" ht="9.75" customHeight="1">
      <c r="A206" s="101"/>
    </row>
    <row r="207" spans="1:1" ht="9.75" customHeight="1">
      <c r="A207" s="101"/>
    </row>
    <row r="208" spans="1:1" ht="9.75" customHeight="1">
      <c r="A208" s="101"/>
    </row>
    <row r="209" spans="1:1" ht="9.75" customHeight="1">
      <c r="A209" s="101"/>
    </row>
    <row r="210" spans="1:1" ht="9.75" customHeight="1">
      <c r="A210" s="101"/>
    </row>
    <row r="211" spans="1:1" ht="9.75" customHeight="1">
      <c r="A211" s="101"/>
    </row>
    <row r="212" spans="1:1" ht="9.75" customHeight="1">
      <c r="A212" s="101"/>
    </row>
    <row r="213" spans="1:1" ht="9.75" customHeight="1">
      <c r="A213" s="101"/>
    </row>
    <row r="214" spans="1:1" ht="9.75" customHeight="1">
      <c r="A214" s="101"/>
    </row>
    <row r="215" spans="1:1" ht="9.75" customHeight="1">
      <c r="A215" s="101"/>
    </row>
    <row r="216" spans="1:1" ht="9.75" customHeight="1">
      <c r="A216" s="101"/>
    </row>
    <row r="217" spans="1:1" ht="9.75" customHeight="1">
      <c r="A217" s="101"/>
    </row>
    <row r="218" spans="1:1" ht="9.75" customHeight="1">
      <c r="A218" s="101"/>
    </row>
    <row r="219" spans="1:1" ht="9.75" customHeight="1">
      <c r="A219" s="101"/>
    </row>
    <row r="220" spans="1:1" ht="9.75" customHeight="1">
      <c r="A220" s="101"/>
    </row>
    <row r="221" spans="1:1" ht="9.75" customHeight="1">
      <c r="A221" s="101"/>
    </row>
    <row r="222" spans="1:1" ht="9.75" customHeight="1">
      <c r="A222" s="101"/>
    </row>
    <row r="223" spans="1:1" ht="9.75" customHeight="1">
      <c r="A223" s="101"/>
    </row>
    <row r="224" spans="1:1" ht="9.75" customHeight="1">
      <c r="A224" s="101"/>
    </row>
    <row r="225" spans="1:1" ht="9.75" customHeight="1">
      <c r="A225" s="101"/>
    </row>
    <row r="226" spans="1:1" ht="9.75" customHeight="1">
      <c r="A226" s="101"/>
    </row>
    <row r="227" spans="1:1" ht="9.75" customHeight="1">
      <c r="A227" s="101"/>
    </row>
    <row r="228" spans="1:1" ht="9.75" customHeight="1">
      <c r="A228" s="101"/>
    </row>
    <row r="229" spans="1:1" ht="9.75" customHeight="1">
      <c r="A229" s="101"/>
    </row>
    <row r="230" spans="1:1" ht="9.75" customHeight="1">
      <c r="A230" s="101"/>
    </row>
    <row r="231" spans="1:1" ht="9.75" customHeight="1">
      <c r="A231" s="101"/>
    </row>
    <row r="232" spans="1:1" ht="9.75" customHeight="1">
      <c r="A232" s="101"/>
    </row>
    <row r="233" spans="1:1" ht="9.75" customHeight="1">
      <c r="A233" s="101"/>
    </row>
    <row r="234" spans="1:1" ht="9.75" customHeight="1">
      <c r="A234" s="101"/>
    </row>
    <row r="235" spans="1:1" ht="9.75" customHeight="1">
      <c r="A235" s="101"/>
    </row>
    <row r="236" spans="1:1" ht="9.75" customHeight="1">
      <c r="A236" s="101"/>
    </row>
    <row r="237" spans="1:1" ht="9.75" customHeight="1">
      <c r="A237" s="101"/>
    </row>
    <row r="238" spans="1:1" ht="9.75" customHeight="1">
      <c r="A238" s="101"/>
    </row>
    <row r="239" spans="1:1" ht="9.75" customHeight="1">
      <c r="A239" s="101"/>
    </row>
    <row r="240" spans="1:1" ht="9.75" customHeight="1">
      <c r="A240" s="101"/>
    </row>
    <row r="241" spans="1:1" ht="9.75" customHeight="1">
      <c r="A241" s="101"/>
    </row>
    <row r="242" spans="1:1" ht="9.75" customHeight="1">
      <c r="A242" s="101"/>
    </row>
    <row r="243" spans="1:1" ht="9.75" customHeight="1">
      <c r="A243" s="101"/>
    </row>
    <row r="244" spans="1:1" ht="9.75" customHeight="1">
      <c r="A244" s="101"/>
    </row>
    <row r="245" spans="1:1" ht="9.75" customHeight="1">
      <c r="A245" s="101"/>
    </row>
    <row r="246" spans="1:1" ht="9.75" customHeight="1">
      <c r="A246" s="101"/>
    </row>
    <row r="247" spans="1:1" ht="9.75" customHeight="1">
      <c r="A247" s="101"/>
    </row>
    <row r="248" spans="1:1" ht="9.75" customHeight="1">
      <c r="A248" s="101"/>
    </row>
    <row r="249" spans="1:1" ht="9.75" customHeight="1">
      <c r="A249" s="101"/>
    </row>
    <row r="250" spans="1:1" ht="9.75" customHeight="1">
      <c r="A250" s="101"/>
    </row>
    <row r="251" spans="1:1" ht="9.75" customHeight="1">
      <c r="A251" s="101"/>
    </row>
    <row r="252" spans="1:1" ht="9.75" customHeight="1">
      <c r="A252" s="101"/>
    </row>
    <row r="253" spans="1:1" ht="9.75" customHeight="1">
      <c r="A253" s="101"/>
    </row>
    <row r="254" spans="1:1" ht="9.75" customHeight="1">
      <c r="A254" s="101"/>
    </row>
    <row r="255" spans="1:1" ht="9.75" customHeight="1">
      <c r="A255" s="101"/>
    </row>
    <row r="256" spans="1:1" ht="9.75" customHeight="1">
      <c r="A256" s="101"/>
    </row>
    <row r="257" spans="1:1" ht="9.75" customHeight="1">
      <c r="A257" s="101"/>
    </row>
    <row r="258" spans="1:1" ht="9.75" customHeight="1">
      <c r="A258" s="101"/>
    </row>
    <row r="259" spans="1:1" ht="9.75" customHeight="1">
      <c r="A259" s="101"/>
    </row>
    <row r="260" spans="1:1" ht="9.75" customHeight="1">
      <c r="A260" s="101"/>
    </row>
    <row r="261" spans="1:1" ht="9.75" customHeight="1">
      <c r="A261" s="101"/>
    </row>
    <row r="262" spans="1:1" ht="9.75" customHeight="1">
      <c r="A262" s="101"/>
    </row>
    <row r="263" spans="1:1" ht="9.75" customHeight="1">
      <c r="A263" s="101"/>
    </row>
    <row r="264" spans="1:1" ht="9.75" customHeight="1">
      <c r="A264" s="101"/>
    </row>
    <row r="265" spans="1:1" ht="9.75" customHeight="1">
      <c r="A265" s="101"/>
    </row>
    <row r="266" spans="1:1" ht="9.75" customHeight="1">
      <c r="A266" s="101"/>
    </row>
    <row r="267" spans="1:1" ht="9.75" customHeight="1">
      <c r="A267" s="101"/>
    </row>
    <row r="268" spans="1:1" ht="9.75" customHeight="1">
      <c r="A268" s="101"/>
    </row>
    <row r="269" spans="1:1" ht="9.75" customHeight="1">
      <c r="A269" s="101"/>
    </row>
    <row r="270" spans="1:1" ht="9.75" customHeight="1">
      <c r="A270" s="101"/>
    </row>
    <row r="271" spans="1:1" ht="9.75" customHeight="1">
      <c r="A271" s="101"/>
    </row>
    <row r="272" spans="1:1" ht="9.75" customHeight="1">
      <c r="A272" s="101"/>
    </row>
    <row r="273" spans="1:1" ht="9.75" customHeight="1">
      <c r="A273" s="101"/>
    </row>
    <row r="274" spans="1:1" ht="9.75" customHeight="1">
      <c r="A274" s="101"/>
    </row>
    <row r="275" spans="1:1" ht="9.75" customHeight="1">
      <c r="A275" s="101"/>
    </row>
    <row r="276" spans="1:1" ht="9.75" customHeight="1">
      <c r="A276" s="101"/>
    </row>
    <row r="277" spans="1:1" ht="9.75" customHeight="1">
      <c r="A277" s="101"/>
    </row>
    <row r="278" spans="1:1" ht="9.75" customHeight="1">
      <c r="A278" s="101"/>
    </row>
    <row r="279" spans="1:1" ht="9.75" customHeight="1">
      <c r="A279" s="101"/>
    </row>
    <row r="280" spans="1:1" ht="9.75" customHeight="1">
      <c r="A280" s="101"/>
    </row>
    <row r="281" spans="1:1" ht="9.75" customHeight="1">
      <c r="A281" s="101"/>
    </row>
    <row r="282" spans="1:1" ht="9.75" customHeight="1">
      <c r="A282" s="101"/>
    </row>
    <row r="283" spans="1:1" ht="9.75" customHeight="1">
      <c r="A283" s="101"/>
    </row>
    <row r="284" spans="1:1" ht="9.75" customHeight="1">
      <c r="A284" s="101"/>
    </row>
    <row r="285" spans="1:1" ht="9.75" customHeight="1">
      <c r="A285" s="101"/>
    </row>
    <row r="286" spans="1:1" ht="9.75" customHeight="1">
      <c r="A286" s="101"/>
    </row>
    <row r="287" spans="1:1" ht="9.75" customHeight="1">
      <c r="A287" s="101"/>
    </row>
    <row r="288" spans="1:1" ht="9.75" customHeight="1">
      <c r="A288" s="101"/>
    </row>
    <row r="289" spans="1:1" ht="9.75" customHeight="1">
      <c r="A289" s="101"/>
    </row>
    <row r="290" spans="1:1" ht="9.75" customHeight="1">
      <c r="A290" s="101"/>
    </row>
    <row r="291" spans="1:1" ht="9.75" customHeight="1">
      <c r="A291" s="101"/>
    </row>
    <row r="292" spans="1:1" ht="9.75" customHeight="1">
      <c r="A292" s="101"/>
    </row>
    <row r="293" spans="1:1" ht="9.75" customHeight="1">
      <c r="A293" s="101"/>
    </row>
    <row r="294" spans="1:1" ht="9.75" customHeight="1">
      <c r="A294" s="101"/>
    </row>
    <row r="295" spans="1:1" ht="9.75" customHeight="1">
      <c r="A295" s="101"/>
    </row>
    <row r="296" spans="1:1" ht="9.75" customHeight="1">
      <c r="A296" s="101"/>
    </row>
    <row r="297" spans="1:1" ht="9.75" customHeight="1">
      <c r="A297" s="101"/>
    </row>
    <row r="298" spans="1:1" ht="9.75" customHeight="1">
      <c r="A298" s="101"/>
    </row>
    <row r="299" spans="1:1" ht="9.75" customHeight="1">
      <c r="A299" s="101"/>
    </row>
    <row r="300" spans="1:1" ht="9.75" customHeight="1">
      <c r="A300" s="101"/>
    </row>
    <row r="301" spans="1:1" ht="9.75" customHeight="1">
      <c r="A301" s="101"/>
    </row>
    <row r="302" spans="1:1" ht="9.75" customHeight="1">
      <c r="A302" s="101"/>
    </row>
    <row r="303" spans="1:1" ht="9.75" customHeight="1">
      <c r="A303" s="101"/>
    </row>
    <row r="304" spans="1:1" ht="9.75" customHeight="1">
      <c r="A304" s="101"/>
    </row>
    <row r="305" spans="1:1" ht="9.75" customHeight="1">
      <c r="A305" s="101"/>
    </row>
    <row r="306" spans="1:1" ht="9.75" customHeight="1">
      <c r="A306" s="101"/>
    </row>
    <row r="307" spans="1:1" ht="9.75" customHeight="1">
      <c r="A307" s="101"/>
    </row>
    <row r="308" spans="1:1" ht="9.75" customHeight="1">
      <c r="A308" s="101"/>
    </row>
    <row r="309" spans="1:1" ht="9.75" customHeight="1">
      <c r="A309" s="101"/>
    </row>
    <row r="310" spans="1:1" ht="9.75" customHeight="1">
      <c r="A310" s="101"/>
    </row>
    <row r="311" spans="1:1" ht="9.75" customHeight="1">
      <c r="A311" s="101"/>
    </row>
    <row r="312" spans="1:1" ht="9.75" customHeight="1">
      <c r="A312" s="101"/>
    </row>
    <row r="313" spans="1:1" ht="9.75" customHeight="1">
      <c r="A313" s="101"/>
    </row>
    <row r="314" spans="1:1" ht="9.75" customHeight="1">
      <c r="A314" s="101"/>
    </row>
    <row r="315" spans="1:1" ht="9.75" customHeight="1">
      <c r="A315" s="101"/>
    </row>
    <row r="316" spans="1:1" ht="9.75" customHeight="1">
      <c r="A316" s="101"/>
    </row>
    <row r="317" spans="1:1" ht="9.75" customHeight="1">
      <c r="A317" s="101"/>
    </row>
    <row r="318" spans="1:1" ht="9.75" customHeight="1">
      <c r="A318" s="101"/>
    </row>
    <row r="319" spans="1:1" ht="9.75" customHeight="1">
      <c r="A319" s="101"/>
    </row>
    <row r="320" spans="1:1" ht="9.75" customHeight="1">
      <c r="A320" s="101"/>
    </row>
    <row r="321" spans="1:1" ht="9.75" customHeight="1">
      <c r="A321" s="101"/>
    </row>
    <row r="322" spans="1:1" ht="9.75" customHeight="1">
      <c r="A322" s="101"/>
    </row>
    <row r="323" spans="1:1" ht="9.75" customHeight="1">
      <c r="A323" s="101"/>
    </row>
    <row r="324" spans="1:1" ht="9.75" customHeight="1">
      <c r="A324" s="101"/>
    </row>
    <row r="325" spans="1:1" ht="9.75" customHeight="1">
      <c r="A325" s="101"/>
    </row>
    <row r="326" spans="1:1" ht="9.75" customHeight="1">
      <c r="A326" s="101"/>
    </row>
    <row r="327" spans="1:1" ht="9.75" customHeight="1">
      <c r="A327" s="101"/>
    </row>
    <row r="328" spans="1:1" ht="9.75" customHeight="1">
      <c r="A328" s="101"/>
    </row>
    <row r="329" spans="1:1" ht="9.75" customHeight="1">
      <c r="A329" s="101"/>
    </row>
    <row r="330" spans="1:1" ht="9.75" customHeight="1">
      <c r="A330" s="101"/>
    </row>
    <row r="331" spans="1:1" ht="9.75" customHeight="1">
      <c r="A331" s="101"/>
    </row>
    <row r="332" spans="1:1" ht="9.75" customHeight="1">
      <c r="A332" s="101"/>
    </row>
    <row r="333" spans="1:1" ht="9.75" customHeight="1">
      <c r="A333" s="101"/>
    </row>
    <row r="334" spans="1:1" ht="9.75" customHeight="1">
      <c r="A334" s="101"/>
    </row>
    <row r="335" spans="1:1" ht="9.75" customHeight="1">
      <c r="A335" s="101"/>
    </row>
    <row r="336" spans="1:1" ht="9.75" customHeight="1">
      <c r="A336" s="101"/>
    </row>
    <row r="337" spans="1:1" ht="9.75" customHeight="1">
      <c r="A337" s="101"/>
    </row>
    <row r="338" spans="1:1" ht="9.75" customHeight="1">
      <c r="A338" s="101"/>
    </row>
    <row r="339" spans="1:1" ht="9.75" customHeight="1">
      <c r="A339" s="101"/>
    </row>
    <row r="340" spans="1:1" ht="9.75" customHeight="1">
      <c r="A340" s="101"/>
    </row>
    <row r="341" spans="1:1" ht="9.75" customHeight="1">
      <c r="A341" s="101"/>
    </row>
    <row r="342" spans="1:1" ht="9.75" customHeight="1">
      <c r="A342" s="101"/>
    </row>
    <row r="343" spans="1:1" ht="9.75" customHeight="1">
      <c r="A343" s="101"/>
    </row>
    <row r="344" spans="1:1" ht="9.75" customHeight="1">
      <c r="A344" s="101"/>
    </row>
    <row r="345" spans="1:1" ht="9.75" customHeight="1">
      <c r="A345" s="101"/>
    </row>
    <row r="346" spans="1:1" ht="9.75" customHeight="1">
      <c r="A346" s="101"/>
    </row>
    <row r="347" spans="1:1" ht="9.75" customHeight="1">
      <c r="A347" s="101"/>
    </row>
    <row r="348" spans="1:1" ht="9.75" customHeight="1">
      <c r="A348" s="101"/>
    </row>
    <row r="349" spans="1:1" ht="9.75" customHeight="1">
      <c r="A349" s="101"/>
    </row>
    <row r="350" spans="1:1" ht="9.75" customHeight="1">
      <c r="A350" s="101"/>
    </row>
    <row r="351" spans="1:1" ht="9.75" customHeight="1">
      <c r="A351" s="101"/>
    </row>
    <row r="352" spans="1:1" ht="9.75" customHeight="1">
      <c r="A352" s="101"/>
    </row>
    <row r="353" spans="1:1" ht="9.75" customHeight="1">
      <c r="A353" s="101"/>
    </row>
    <row r="354" spans="1:1" ht="9.75" customHeight="1">
      <c r="A354" s="101"/>
    </row>
    <row r="355" spans="1:1" ht="9.75" customHeight="1">
      <c r="A355" s="101"/>
    </row>
    <row r="356" spans="1:1" ht="9.75" customHeight="1">
      <c r="A356" s="101"/>
    </row>
    <row r="357" spans="1:1" ht="9.75" customHeight="1">
      <c r="A357" s="101"/>
    </row>
    <row r="358" spans="1:1" ht="9.75" customHeight="1">
      <c r="A358" s="101"/>
    </row>
    <row r="359" spans="1:1" ht="9.75" customHeight="1">
      <c r="A359" s="101"/>
    </row>
    <row r="360" spans="1:1" ht="9.75" customHeight="1">
      <c r="A360" s="101"/>
    </row>
    <row r="361" spans="1:1" ht="9.75" customHeight="1">
      <c r="A361" s="101"/>
    </row>
    <row r="362" spans="1:1" ht="9.75" customHeight="1">
      <c r="A362" s="101"/>
    </row>
    <row r="363" spans="1:1" ht="9.75" customHeight="1">
      <c r="A363" s="101"/>
    </row>
    <row r="364" spans="1:1" ht="9.75" customHeight="1">
      <c r="A364" s="101"/>
    </row>
    <row r="365" spans="1:1" ht="9.75" customHeight="1">
      <c r="A365" s="101"/>
    </row>
    <row r="366" spans="1:1" ht="9.75" customHeight="1">
      <c r="A366" s="101"/>
    </row>
    <row r="367" spans="1:1" ht="9.75" customHeight="1">
      <c r="A367" s="101"/>
    </row>
    <row r="368" spans="1:1" ht="9.75" customHeight="1">
      <c r="A368" s="101"/>
    </row>
    <row r="369" spans="1:1" ht="9.75" customHeight="1">
      <c r="A369" s="101"/>
    </row>
    <row r="370" spans="1:1" ht="9.75" customHeight="1">
      <c r="A370" s="101"/>
    </row>
    <row r="371" spans="1:1" ht="9.75" customHeight="1">
      <c r="A371" s="101"/>
    </row>
    <row r="372" spans="1:1" ht="9.75" customHeight="1">
      <c r="A372" s="101"/>
    </row>
    <row r="373" spans="1:1" ht="9.75" customHeight="1">
      <c r="A373" s="101"/>
    </row>
    <row r="374" spans="1:1" ht="9.75" customHeight="1">
      <c r="A374" s="101"/>
    </row>
    <row r="375" spans="1:1" ht="9.75" customHeight="1">
      <c r="A375" s="101"/>
    </row>
    <row r="376" spans="1:1" ht="9.75" customHeight="1">
      <c r="A376" s="101"/>
    </row>
    <row r="377" spans="1:1" ht="9.75" customHeight="1">
      <c r="A377" s="101"/>
    </row>
    <row r="378" spans="1:1" ht="9.75" customHeight="1">
      <c r="A378" s="101"/>
    </row>
    <row r="379" spans="1:1" ht="9.75" customHeight="1">
      <c r="A379" s="101"/>
    </row>
    <row r="380" spans="1:1" ht="9.75" customHeight="1">
      <c r="A380" s="101"/>
    </row>
    <row r="381" spans="1:1" ht="9.75" customHeight="1">
      <c r="A381" s="101"/>
    </row>
    <row r="382" spans="1:1" ht="9.75" customHeight="1">
      <c r="A382" s="101"/>
    </row>
    <row r="383" spans="1:1" ht="9.75" customHeight="1">
      <c r="A383" s="101"/>
    </row>
    <row r="384" spans="1:1" ht="9.75" customHeight="1">
      <c r="A384" s="101"/>
    </row>
    <row r="385" spans="1:1" ht="9.75" customHeight="1">
      <c r="A385" s="101"/>
    </row>
    <row r="386" spans="1:1" ht="9.75" customHeight="1">
      <c r="A386" s="101"/>
    </row>
    <row r="387" spans="1:1" ht="9.75" customHeight="1">
      <c r="A387" s="101"/>
    </row>
    <row r="388" spans="1:1" ht="9.75" customHeight="1">
      <c r="A388" s="101"/>
    </row>
    <row r="389" spans="1:1" ht="9.75" customHeight="1">
      <c r="A389" s="101"/>
    </row>
    <row r="390" spans="1:1" ht="9.75" customHeight="1">
      <c r="A390" s="101"/>
    </row>
    <row r="391" spans="1:1" ht="9.75" customHeight="1">
      <c r="A391" s="101"/>
    </row>
    <row r="392" spans="1:1" ht="9.75" customHeight="1">
      <c r="A392" s="101"/>
    </row>
    <row r="393" spans="1:1" ht="9.75" customHeight="1">
      <c r="A393" s="101"/>
    </row>
    <row r="394" spans="1:1" ht="9.75" customHeight="1">
      <c r="A394" s="101"/>
    </row>
    <row r="395" spans="1:1" ht="9.75" customHeight="1">
      <c r="A395" s="101"/>
    </row>
    <row r="396" spans="1:1" ht="9.75" customHeight="1">
      <c r="A396" s="101"/>
    </row>
    <row r="397" spans="1:1" ht="9.75" customHeight="1">
      <c r="A397" s="101"/>
    </row>
    <row r="398" spans="1:1" ht="9.75" customHeight="1">
      <c r="A398" s="101"/>
    </row>
    <row r="399" spans="1:1" ht="9.75" customHeight="1">
      <c r="A399" s="101"/>
    </row>
    <row r="400" spans="1:1" ht="9.75" customHeight="1">
      <c r="A400" s="101"/>
    </row>
    <row r="401" spans="1:1" ht="9.75" customHeight="1">
      <c r="A401" s="101"/>
    </row>
    <row r="402" spans="1:1" ht="9.75" customHeight="1">
      <c r="A402" s="101"/>
    </row>
    <row r="403" spans="1:1" ht="9.75" customHeight="1">
      <c r="A403" s="101"/>
    </row>
    <row r="404" spans="1:1" ht="9.75" customHeight="1">
      <c r="A404" s="101"/>
    </row>
    <row r="405" spans="1:1" ht="9.75" customHeight="1">
      <c r="A405" s="101"/>
    </row>
    <row r="406" spans="1:1" ht="9.75" customHeight="1">
      <c r="A406" s="101"/>
    </row>
    <row r="407" spans="1:1" ht="9.75" customHeight="1">
      <c r="A407" s="101"/>
    </row>
    <row r="408" spans="1:1" ht="9.75" customHeight="1">
      <c r="A408" s="101"/>
    </row>
    <row r="409" spans="1:1" ht="9.75" customHeight="1">
      <c r="A409" s="101"/>
    </row>
    <row r="410" spans="1:1" ht="9.75" customHeight="1">
      <c r="A410" s="101"/>
    </row>
    <row r="411" spans="1:1" ht="9.75" customHeight="1">
      <c r="A411" s="101"/>
    </row>
    <row r="412" spans="1:1" ht="9.75" customHeight="1">
      <c r="A412" s="101"/>
    </row>
    <row r="413" spans="1:1" ht="9.75" customHeight="1">
      <c r="A413" s="101"/>
    </row>
    <row r="414" spans="1:1" ht="9.75" customHeight="1">
      <c r="A414" s="101"/>
    </row>
    <row r="415" spans="1:1" ht="9.75" customHeight="1">
      <c r="A415" s="101"/>
    </row>
    <row r="416" spans="1:1" ht="9.75" customHeight="1">
      <c r="A416" s="101"/>
    </row>
    <row r="417" spans="1:1" ht="9.75" customHeight="1">
      <c r="A417" s="101"/>
    </row>
    <row r="418" spans="1:1" ht="9.75" customHeight="1">
      <c r="A418" s="101"/>
    </row>
    <row r="419" spans="1:1" ht="9.75" customHeight="1">
      <c r="A419" s="101"/>
    </row>
    <row r="420" spans="1:1" ht="9.75" customHeight="1">
      <c r="A420" s="101"/>
    </row>
    <row r="421" spans="1:1" ht="9.75" customHeight="1">
      <c r="A421" s="101"/>
    </row>
    <row r="422" spans="1:1" ht="9.75" customHeight="1">
      <c r="A422" s="101"/>
    </row>
    <row r="423" spans="1:1" ht="9.75" customHeight="1">
      <c r="A423" s="101"/>
    </row>
    <row r="424" spans="1:1" ht="9.75" customHeight="1">
      <c r="A424" s="101"/>
    </row>
    <row r="425" spans="1:1" ht="9.75" customHeight="1">
      <c r="A425" s="101"/>
    </row>
    <row r="426" spans="1:1" ht="9.75" customHeight="1">
      <c r="A426" s="101"/>
    </row>
    <row r="427" spans="1:1" ht="9.75" customHeight="1">
      <c r="A427" s="101"/>
    </row>
    <row r="428" spans="1:1" ht="9.75" customHeight="1">
      <c r="A428" s="101"/>
    </row>
    <row r="429" spans="1:1" ht="9.75" customHeight="1">
      <c r="A429" s="101"/>
    </row>
    <row r="430" spans="1:1" ht="9.75" customHeight="1">
      <c r="A430" s="101"/>
    </row>
    <row r="431" spans="1:1" ht="9.75" customHeight="1">
      <c r="A431" s="101"/>
    </row>
    <row r="432" spans="1:1" ht="9.75" customHeight="1">
      <c r="A432" s="101"/>
    </row>
    <row r="433" spans="1:1" ht="9.75" customHeight="1">
      <c r="A433" s="101"/>
    </row>
    <row r="434" spans="1:1" ht="9.75" customHeight="1">
      <c r="A434" s="101"/>
    </row>
    <row r="435" spans="1:1" ht="9.75" customHeight="1">
      <c r="A435" s="101"/>
    </row>
    <row r="436" spans="1:1" ht="9.75" customHeight="1">
      <c r="A436" s="101"/>
    </row>
    <row r="437" spans="1:1" ht="9.75" customHeight="1">
      <c r="A437" s="101"/>
    </row>
    <row r="438" spans="1:1" ht="9.75" customHeight="1">
      <c r="A438" s="101"/>
    </row>
    <row r="439" spans="1:1" ht="9.75" customHeight="1">
      <c r="A439" s="101"/>
    </row>
    <row r="440" spans="1:1" ht="9.75" customHeight="1">
      <c r="A440" s="101"/>
    </row>
    <row r="441" spans="1:1" ht="9.75" customHeight="1">
      <c r="A441" s="101"/>
    </row>
    <row r="442" spans="1:1" ht="9.75" customHeight="1">
      <c r="A442" s="101"/>
    </row>
    <row r="443" spans="1:1" ht="9.75" customHeight="1">
      <c r="A443" s="101"/>
    </row>
    <row r="444" spans="1:1" ht="9.75" customHeight="1">
      <c r="A444" s="101"/>
    </row>
    <row r="445" spans="1:1" ht="9.75" customHeight="1">
      <c r="A445" s="101"/>
    </row>
    <row r="446" spans="1:1" ht="9.75" customHeight="1">
      <c r="A446" s="101"/>
    </row>
    <row r="447" spans="1:1" ht="9.75" customHeight="1">
      <c r="A447" s="101"/>
    </row>
    <row r="448" spans="1:1" ht="9.75" customHeight="1">
      <c r="A448" s="101"/>
    </row>
    <row r="449" spans="1:1" ht="9.75" customHeight="1">
      <c r="A449" s="101"/>
    </row>
    <row r="450" spans="1:1" ht="9.75" customHeight="1">
      <c r="A450" s="101"/>
    </row>
    <row r="451" spans="1:1" ht="9.75" customHeight="1">
      <c r="A451" s="101"/>
    </row>
    <row r="452" spans="1:1" ht="9.75" customHeight="1">
      <c r="A452" s="101"/>
    </row>
    <row r="453" spans="1:1" ht="9.75" customHeight="1">
      <c r="A453" s="101"/>
    </row>
    <row r="454" spans="1:1" ht="9.75" customHeight="1">
      <c r="A454" s="101"/>
    </row>
    <row r="455" spans="1:1" ht="9.75" customHeight="1">
      <c r="A455" s="101"/>
    </row>
    <row r="456" spans="1:1" ht="9.75" customHeight="1">
      <c r="A456" s="101"/>
    </row>
    <row r="457" spans="1:1" ht="9.75" customHeight="1">
      <c r="A457" s="101"/>
    </row>
    <row r="458" spans="1:1" ht="9.75" customHeight="1">
      <c r="A458" s="101"/>
    </row>
    <row r="459" spans="1:1" ht="9.75" customHeight="1">
      <c r="A459" s="101"/>
    </row>
    <row r="460" spans="1:1" ht="9.75" customHeight="1">
      <c r="A460" s="101"/>
    </row>
    <row r="461" spans="1:1" ht="9.75" customHeight="1">
      <c r="A461" s="101"/>
    </row>
    <row r="462" spans="1:1" ht="9.75" customHeight="1">
      <c r="A462" s="101"/>
    </row>
    <row r="463" spans="1:1" ht="9.75" customHeight="1">
      <c r="A463" s="101"/>
    </row>
    <row r="464" spans="1:1" ht="9.75" customHeight="1">
      <c r="A464" s="101"/>
    </row>
    <row r="465" spans="1:1" ht="9.75" customHeight="1">
      <c r="A465" s="101"/>
    </row>
    <row r="466" spans="1:1" ht="9.75" customHeight="1">
      <c r="A466" s="101"/>
    </row>
    <row r="467" spans="1:1" ht="9.75" customHeight="1">
      <c r="A467" s="101"/>
    </row>
    <row r="468" spans="1:1" ht="9.75" customHeight="1">
      <c r="A468" s="101"/>
    </row>
    <row r="469" spans="1:1" ht="9.75" customHeight="1">
      <c r="A469" s="101"/>
    </row>
    <row r="470" spans="1:1" ht="9.75" customHeight="1">
      <c r="A470" s="101"/>
    </row>
    <row r="471" spans="1:1" ht="9.75" customHeight="1">
      <c r="A471" s="101"/>
    </row>
    <row r="472" spans="1:1" ht="9.75" customHeight="1">
      <c r="A472" s="101"/>
    </row>
    <row r="473" spans="1:1" ht="9.75" customHeight="1">
      <c r="A473" s="101"/>
    </row>
    <row r="474" spans="1:1" ht="9.75" customHeight="1">
      <c r="A474" s="101"/>
    </row>
    <row r="475" spans="1:1" ht="9.75" customHeight="1">
      <c r="A475" s="101"/>
    </row>
    <row r="476" spans="1:1" ht="9.75" customHeight="1">
      <c r="A476" s="101"/>
    </row>
    <row r="477" spans="1:1" ht="9.75" customHeight="1">
      <c r="A477" s="101"/>
    </row>
    <row r="478" spans="1:1" ht="9.75" customHeight="1">
      <c r="A478" s="101"/>
    </row>
    <row r="479" spans="1:1" ht="9.75" customHeight="1">
      <c r="A479" s="101"/>
    </row>
    <row r="480" spans="1:1" ht="9.75" customHeight="1">
      <c r="A480" s="101"/>
    </row>
    <row r="481" spans="1:1" ht="9.75" customHeight="1">
      <c r="A481" s="101"/>
    </row>
    <row r="482" spans="1:1" ht="9.75" customHeight="1">
      <c r="A482" s="101"/>
    </row>
    <row r="483" spans="1:1" ht="9.75" customHeight="1">
      <c r="A483" s="101"/>
    </row>
    <row r="484" spans="1:1" ht="9.75" customHeight="1">
      <c r="A484" s="101"/>
    </row>
    <row r="485" spans="1:1" ht="9.75" customHeight="1">
      <c r="A485" s="101"/>
    </row>
    <row r="486" spans="1:1" ht="9.75" customHeight="1">
      <c r="A486" s="101"/>
    </row>
    <row r="487" spans="1:1" ht="9.75" customHeight="1">
      <c r="A487" s="101"/>
    </row>
    <row r="488" spans="1:1" ht="9.75" customHeight="1">
      <c r="A488" s="101"/>
    </row>
    <row r="489" spans="1:1" ht="9.75" customHeight="1">
      <c r="A489" s="101"/>
    </row>
    <row r="490" spans="1:1" ht="9.75" customHeight="1">
      <c r="A490" s="101"/>
    </row>
    <row r="491" spans="1:1" ht="9.75" customHeight="1">
      <c r="A491" s="101"/>
    </row>
    <row r="492" spans="1:1" ht="9.75" customHeight="1">
      <c r="A492" s="101"/>
    </row>
    <row r="493" spans="1:1" ht="9.75" customHeight="1">
      <c r="A493" s="101"/>
    </row>
    <row r="494" spans="1:1" ht="9.75" customHeight="1">
      <c r="A494" s="101"/>
    </row>
    <row r="495" spans="1:1" ht="9.75" customHeight="1">
      <c r="A495" s="101"/>
    </row>
    <row r="496" spans="1:1" ht="9.75" customHeight="1">
      <c r="A496" s="101"/>
    </row>
    <row r="497" spans="1:1" ht="9.75" customHeight="1">
      <c r="A497" s="101"/>
    </row>
    <row r="498" spans="1:1" ht="9.75" customHeight="1">
      <c r="A498" s="101"/>
    </row>
    <row r="499" spans="1:1" ht="9.75" customHeight="1">
      <c r="A499" s="101"/>
    </row>
    <row r="500" spans="1:1" ht="9.75" customHeight="1">
      <c r="A500" s="101"/>
    </row>
    <row r="501" spans="1:1" ht="9.75" customHeight="1">
      <c r="A501" s="101"/>
    </row>
    <row r="502" spans="1:1" ht="9.75" customHeight="1">
      <c r="A502" s="101"/>
    </row>
    <row r="503" spans="1:1" ht="9.75" customHeight="1">
      <c r="A503" s="101"/>
    </row>
    <row r="504" spans="1:1" ht="9.75" customHeight="1">
      <c r="A504" s="101"/>
    </row>
    <row r="505" spans="1:1" ht="9.75" customHeight="1">
      <c r="A505" s="101"/>
    </row>
    <row r="506" spans="1:1" ht="9.75" customHeight="1">
      <c r="A506" s="101"/>
    </row>
    <row r="507" spans="1:1" ht="9.75" customHeight="1">
      <c r="A507" s="101"/>
    </row>
    <row r="508" spans="1:1" ht="9.75" customHeight="1">
      <c r="A508" s="101"/>
    </row>
    <row r="509" spans="1:1" ht="9.75" customHeight="1">
      <c r="A509" s="101"/>
    </row>
    <row r="510" spans="1:1" ht="9.75" customHeight="1">
      <c r="A510" s="101"/>
    </row>
    <row r="511" spans="1:1" ht="9.75" customHeight="1">
      <c r="A511" s="101"/>
    </row>
    <row r="512" spans="1:1" ht="9.75" customHeight="1">
      <c r="A512" s="101"/>
    </row>
    <row r="513" spans="1:1" ht="9.75" customHeight="1">
      <c r="A513" s="101"/>
    </row>
    <row r="514" spans="1:1" ht="9.75" customHeight="1">
      <c r="A514" s="101"/>
    </row>
    <row r="515" spans="1:1" ht="9.75" customHeight="1">
      <c r="A515" s="101"/>
    </row>
    <row r="516" spans="1:1" ht="9.75" customHeight="1">
      <c r="A516" s="101"/>
    </row>
    <row r="517" spans="1:1" ht="9.75" customHeight="1">
      <c r="A517" s="101"/>
    </row>
    <row r="518" spans="1:1" ht="9.75" customHeight="1">
      <c r="A518" s="101"/>
    </row>
    <row r="519" spans="1:1" ht="9.75" customHeight="1">
      <c r="A519" s="101"/>
    </row>
    <row r="520" spans="1:1" ht="9.75" customHeight="1">
      <c r="A520" s="101"/>
    </row>
    <row r="521" spans="1:1" ht="9.75" customHeight="1">
      <c r="A521" s="101"/>
    </row>
    <row r="522" spans="1:1" ht="9.75" customHeight="1">
      <c r="A522" s="101"/>
    </row>
    <row r="523" spans="1:1" ht="9.75" customHeight="1">
      <c r="A523" s="101"/>
    </row>
    <row r="524" spans="1:1" ht="9.75" customHeight="1">
      <c r="A524" s="101"/>
    </row>
    <row r="525" spans="1:1" ht="9.75" customHeight="1">
      <c r="A525" s="101"/>
    </row>
    <row r="526" spans="1:1" ht="9.75" customHeight="1">
      <c r="A526" s="101"/>
    </row>
    <row r="527" spans="1:1" ht="9.75" customHeight="1">
      <c r="A527" s="101"/>
    </row>
    <row r="528" spans="1:1" ht="9.75" customHeight="1">
      <c r="A528" s="101"/>
    </row>
    <row r="529" spans="1:1" ht="9.75" customHeight="1">
      <c r="A529" s="101"/>
    </row>
    <row r="530" spans="1:1" ht="9.75" customHeight="1">
      <c r="A530" s="101"/>
    </row>
    <row r="531" spans="1:1" ht="9.75" customHeight="1">
      <c r="A531" s="101"/>
    </row>
    <row r="532" spans="1:1" ht="9.75" customHeight="1">
      <c r="A532" s="101"/>
    </row>
    <row r="533" spans="1:1" ht="9.75" customHeight="1">
      <c r="A533" s="101"/>
    </row>
    <row r="534" spans="1:1" ht="9.75" customHeight="1">
      <c r="A534" s="101"/>
    </row>
    <row r="535" spans="1:1" ht="9.75" customHeight="1">
      <c r="A535" s="101"/>
    </row>
    <row r="536" spans="1:1" ht="9.75" customHeight="1">
      <c r="A536" s="101"/>
    </row>
    <row r="537" spans="1:1" ht="9.75" customHeight="1">
      <c r="A537" s="101"/>
    </row>
    <row r="538" spans="1:1" ht="9.75" customHeight="1">
      <c r="A538" s="101"/>
    </row>
    <row r="539" spans="1:1" ht="9.75" customHeight="1">
      <c r="A539" s="101"/>
    </row>
    <row r="540" spans="1:1" ht="9.75" customHeight="1">
      <c r="A540" s="101"/>
    </row>
    <row r="541" spans="1:1" ht="9.75" customHeight="1">
      <c r="A541" s="101"/>
    </row>
    <row r="542" spans="1:1" ht="9.75" customHeight="1">
      <c r="A542" s="101"/>
    </row>
    <row r="543" spans="1:1" ht="9.75" customHeight="1">
      <c r="A543" s="101"/>
    </row>
    <row r="544" spans="1:1" ht="9.75" customHeight="1">
      <c r="A544" s="101"/>
    </row>
    <row r="545" spans="1:1" ht="9.75" customHeight="1">
      <c r="A545" s="101"/>
    </row>
    <row r="546" spans="1:1" ht="9.75" customHeight="1">
      <c r="A546" s="101"/>
    </row>
    <row r="547" spans="1:1" ht="9.75" customHeight="1">
      <c r="A547" s="101"/>
    </row>
    <row r="548" spans="1:1" ht="9.75" customHeight="1">
      <c r="A548" s="101"/>
    </row>
    <row r="549" spans="1:1" ht="9.75" customHeight="1">
      <c r="A549" s="101"/>
    </row>
    <row r="550" spans="1:1" ht="9.75" customHeight="1">
      <c r="A550" s="101"/>
    </row>
    <row r="551" spans="1:1" ht="9.75" customHeight="1">
      <c r="A551" s="101"/>
    </row>
    <row r="552" spans="1:1" ht="9.75" customHeight="1">
      <c r="A552" s="101"/>
    </row>
    <row r="553" spans="1:1" ht="9.75" customHeight="1">
      <c r="A553" s="101"/>
    </row>
    <row r="554" spans="1:1" ht="9.75" customHeight="1">
      <c r="A554" s="101"/>
    </row>
    <row r="555" spans="1:1" ht="9.75" customHeight="1">
      <c r="A555" s="101"/>
    </row>
    <row r="556" spans="1:1" ht="9.75" customHeight="1">
      <c r="A556" s="101"/>
    </row>
    <row r="557" spans="1:1" ht="9.75" customHeight="1">
      <c r="A557" s="101"/>
    </row>
    <row r="558" spans="1:1" ht="9.75" customHeight="1">
      <c r="A558" s="101"/>
    </row>
    <row r="559" spans="1:1" ht="9.75" customHeight="1">
      <c r="A559" s="101"/>
    </row>
    <row r="560" spans="1:1" ht="9.75" customHeight="1">
      <c r="A560" s="101"/>
    </row>
    <row r="561" spans="1:1" ht="9.75" customHeight="1">
      <c r="A561" s="101"/>
    </row>
    <row r="562" spans="1:1" ht="9.75" customHeight="1">
      <c r="A562" s="101"/>
    </row>
    <row r="563" spans="1:1" ht="9.75" customHeight="1">
      <c r="A563" s="101"/>
    </row>
    <row r="564" spans="1:1" ht="9.75" customHeight="1">
      <c r="A564" s="101"/>
    </row>
    <row r="565" spans="1:1" ht="9.75" customHeight="1">
      <c r="A565" s="101"/>
    </row>
    <row r="566" spans="1:1" ht="9.75" customHeight="1">
      <c r="A566" s="101"/>
    </row>
    <row r="567" spans="1:1" ht="9.75" customHeight="1">
      <c r="A567" s="101"/>
    </row>
    <row r="568" spans="1:1" ht="9.75" customHeight="1">
      <c r="A568" s="101"/>
    </row>
    <row r="569" spans="1:1" ht="9.75" customHeight="1">
      <c r="A569" s="101"/>
    </row>
    <row r="570" spans="1:1" ht="9.75" customHeight="1">
      <c r="A570" s="101"/>
    </row>
    <row r="571" spans="1:1" ht="9.75" customHeight="1">
      <c r="A571" s="101"/>
    </row>
    <row r="572" spans="1:1" ht="9.75" customHeight="1">
      <c r="A572" s="101"/>
    </row>
    <row r="573" spans="1:1" ht="9.75" customHeight="1">
      <c r="A573" s="101"/>
    </row>
    <row r="574" spans="1:1" ht="9.75" customHeight="1">
      <c r="A574" s="101"/>
    </row>
    <row r="575" spans="1:1" ht="9.75" customHeight="1">
      <c r="A575" s="101"/>
    </row>
    <row r="576" spans="1:1" ht="9.75" customHeight="1">
      <c r="A576" s="101"/>
    </row>
    <row r="577" spans="1:1" ht="9.75" customHeight="1">
      <c r="A577" s="101"/>
    </row>
    <row r="578" spans="1:1" ht="9.75" customHeight="1">
      <c r="A578" s="101"/>
    </row>
    <row r="579" spans="1:1" ht="9.75" customHeight="1">
      <c r="A579" s="101"/>
    </row>
    <row r="580" spans="1:1" ht="9.75" customHeight="1">
      <c r="A580" s="101"/>
    </row>
    <row r="581" spans="1:1" ht="9.75" customHeight="1">
      <c r="A581" s="101"/>
    </row>
    <row r="582" spans="1:1" ht="9.75" customHeight="1">
      <c r="A582" s="101"/>
    </row>
    <row r="583" spans="1:1" ht="9.75" customHeight="1">
      <c r="A583" s="101"/>
    </row>
    <row r="584" spans="1:1" ht="9.75" customHeight="1">
      <c r="A584" s="101"/>
    </row>
    <row r="585" spans="1:1" ht="9.75" customHeight="1">
      <c r="A585" s="101"/>
    </row>
    <row r="586" spans="1:1" ht="9.75" customHeight="1">
      <c r="A586" s="101"/>
    </row>
    <row r="587" spans="1:1" ht="9.75" customHeight="1">
      <c r="A587" s="101"/>
    </row>
    <row r="588" spans="1:1" ht="9.75" customHeight="1">
      <c r="A588" s="101"/>
    </row>
    <row r="589" spans="1:1" ht="9.75" customHeight="1">
      <c r="A589" s="101"/>
    </row>
    <row r="590" spans="1:1" ht="9.75" customHeight="1">
      <c r="A590" s="101"/>
    </row>
    <row r="591" spans="1:1" ht="9.75" customHeight="1">
      <c r="A591" s="101"/>
    </row>
    <row r="592" spans="1:1" ht="9.75" customHeight="1">
      <c r="A592" s="101"/>
    </row>
    <row r="593" spans="1:1" ht="9.75" customHeight="1">
      <c r="A593" s="101"/>
    </row>
    <row r="594" spans="1:1" ht="9.75" customHeight="1">
      <c r="A594" s="101"/>
    </row>
    <row r="595" spans="1:1" ht="9.75" customHeight="1">
      <c r="A595" s="101"/>
    </row>
    <row r="596" spans="1:1" ht="9.75" customHeight="1">
      <c r="A596" s="101"/>
    </row>
    <row r="597" spans="1:1" ht="9.75" customHeight="1">
      <c r="A597" s="101"/>
    </row>
    <row r="598" spans="1:1" ht="9.75" customHeight="1">
      <c r="A598" s="101"/>
    </row>
    <row r="599" spans="1:1" ht="9.75" customHeight="1">
      <c r="A599" s="101"/>
    </row>
    <row r="600" spans="1:1" ht="9.75" customHeight="1">
      <c r="A600" s="101"/>
    </row>
    <row r="601" spans="1:1" ht="9.75" customHeight="1">
      <c r="A601" s="101"/>
    </row>
    <row r="602" spans="1:1" ht="9.75" customHeight="1">
      <c r="A602" s="101"/>
    </row>
    <row r="603" spans="1:1" ht="9.75" customHeight="1">
      <c r="A603" s="101"/>
    </row>
    <row r="604" spans="1:1" ht="9.75" customHeight="1">
      <c r="A604" s="101"/>
    </row>
    <row r="605" spans="1:1" ht="9.75" customHeight="1">
      <c r="A605" s="101"/>
    </row>
    <row r="606" spans="1:1" ht="9.75" customHeight="1">
      <c r="A606" s="101"/>
    </row>
    <row r="607" spans="1:1" ht="9.75" customHeight="1">
      <c r="A607" s="101"/>
    </row>
    <row r="608" spans="1:1" ht="9.75" customHeight="1">
      <c r="A608" s="101"/>
    </row>
    <row r="609" spans="1:1" ht="9.75" customHeight="1">
      <c r="A609" s="101"/>
    </row>
    <row r="610" spans="1:1" ht="9.75" customHeight="1">
      <c r="A610" s="101"/>
    </row>
    <row r="611" spans="1:1" ht="9.75" customHeight="1">
      <c r="A611" s="101"/>
    </row>
    <row r="612" spans="1:1" ht="9.75" customHeight="1">
      <c r="A612" s="101"/>
    </row>
    <row r="613" spans="1:1" ht="9.75" customHeight="1">
      <c r="A613" s="101"/>
    </row>
    <row r="614" spans="1:1" ht="9.75" customHeight="1">
      <c r="A614" s="101"/>
    </row>
    <row r="615" spans="1:1" ht="9.75" customHeight="1">
      <c r="A615" s="101"/>
    </row>
    <row r="616" spans="1:1" ht="9.75" customHeight="1">
      <c r="A616" s="101"/>
    </row>
    <row r="617" spans="1:1" ht="9.75" customHeight="1">
      <c r="A617" s="101"/>
    </row>
    <row r="618" spans="1:1" ht="9.75" customHeight="1">
      <c r="A618" s="101"/>
    </row>
    <row r="619" spans="1:1" ht="9.75" customHeight="1">
      <c r="A619" s="101"/>
    </row>
    <row r="620" spans="1:1" ht="9.75" customHeight="1">
      <c r="A620" s="101"/>
    </row>
    <row r="621" spans="1:1" ht="9.75" customHeight="1">
      <c r="A621" s="101"/>
    </row>
    <row r="622" spans="1:1" ht="9.75" customHeight="1">
      <c r="A622" s="101"/>
    </row>
    <row r="623" spans="1:1" ht="9.75" customHeight="1">
      <c r="A623" s="101"/>
    </row>
    <row r="624" spans="1:1" ht="9.75" customHeight="1">
      <c r="A624" s="101"/>
    </row>
    <row r="625" spans="1:1" ht="9.75" customHeight="1">
      <c r="A625" s="101"/>
    </row>
    <row r="626" spans="1:1" ht="9.75" customHeight="1">
      <c r="A626" s="101"/>
    </row>
    <row r="627" spans="1:1" ht="9.75" customHeight="1">
      <c r="A627" s="101"/>
    </row>
    <row r="628" spans="1:1" ht="9.75" customHeight="1">
      <c r="A628" s="101"/>
    </row>
    <row r="629" spans="1:1" ht="9.75" customHeight="1">
      <c r="A629" s="101"/>
    </row>
    <row r="630" spans="1:1" ht="9.75" customHeight="1">
      <c r="A630" s="101"/>
    </row>
    <row r="631" spans="1:1" ht="9.75" customHeight="1">
      <c r="A631" s="101"/>
    </row>
    <row r="632" spans="1:1" ht="9.75" customHeight="1">
      <c r="A632" s="101"/>
    </row>
    <row r="633" spans="1:1" ht="9.75" customHeight="1">
      <c r="A633" s="101"/>
    </row>
    <row r="634" spans="1:1" ht="9.75" customHeight="1">
      <c r="A634" s="101"/>
    </row>
    <row r="635" spans="1:1" ht="9.75" customHeight="1">
      <c r="A635" s="101"/>
    </row>
    <row r="636" spans="1:1" ht="9.75" customHeight="1">
      <c r="A636" s="101"/>
    </row>
    <row r="637" spans="1:1" ht="9.75" customHeight="1">
      <c r="A637" s="101"/>
    </row>
    <row r="638" spans="1:1" ht="9.75" customHeight="1">
      <c r="A638" s="101"/>
    </row>
    <row r="639" spans="1:1" ht="9.75" customHeight="1">
      <c r="A639" s="101"/>
    </row>
    <row r="640" spans="1:1" ht="9.75" customHeight="1">
      <c r="A640" s="101"/>
    </row>
    <row r="641" spans="1:1" ht="9.75" customHeight="1">
      <c r="A641" s="101"/>
    </row>
    <row r="642" spans="1:1" ht="9.75" customHeight="1">
      <c r="A642" s="101"/>
    </row>
    <row r="643" spans="1:1" ht="9.75" customHeight="1">
      <c r="A643" s="101"/>
    </row>
    <row r="644" spans="1:1" ht="9.75" customHeight="1">
      <c r="A644" s="101"/>
    </row>
    <row r="645" spans="1:1" ht="9.75" customHeight="1">
      <c r="A645" s="101"/>
    </row>
    <row r="646" spans="1:1" ht="9.75" customHeight="1">
      <c r="A646" s="101"/>
    </row>
    <row r="647" spans="1:1" ht="9.75" customHeight="1">
      <c r="A647" s="101"/>
    </row>
    <row r="648" spans="1:1" ht="9.75" customHeight="1">
      <c r="A648" s="101"/>
    </row>
    <row r="649" spans="1:1" ht="9.75" customHeight="1">
      <c r="A649" s="101"/>
    </row>
    <row r="650" spans="1:1" ht="9.75" customHeight="1">
      <c r="A650" s="101"/>
    </row>
    <row r="651" spans="1:1" ht="9.75" customHeight="1">
      <c r="A651" s="101"/>
    </row>
    <row r="652" spans="1:1" ht="9.75" customHeight="1">
      <c r="A652" s="101"/>
    </row>
    <row r="653" spans="1:1" ht="9.75" customHeight="1">
      <c r="A653" s="101"/>
    </row>
    <row r="654" spans="1:1" ht="9.75" customHeight="1">
      <c r="A654" s="101"/>
    </row>
    <row r="655" spans="1:1" ht="9.75" customHeight="1">
      <c r="A655" s="101"/>
    </row>
    <row r="656" spans="1:1" ht="9.75" customHeight="1">
      <c r="A656" s="101"/>
    </row>
    <row r="657" spans="1:1" ht="9.75" customHeight="1">
      <c r="A657" s="101"/>
    </row>
    <row r="658" spans="1:1" ht="9.75" customHeight="1">
      <c r="A658" s="101"/>
    </row>
    <row r="659" spans="1:1" ht="9.75" customHeight="1">
      <c r="A659" s="101"/>
    </row>
    <row r="660" spans="1:1" ht="9.75" customHeight="1">
      <c r="A660" s="101"/>
    </row>
    <row r="661" spans="1:1" ht="9.75" customHeight="1">
      <c r="A661" s="101"/>
    </row>
    <row r="662" spans="1:1" ht="9.75" customHeight="1">
      <c r="A662" s="101"/>
    </row>
    <row r="663" spans="1:1" ht="9.75" customHeight="1">
      <c r="A663" s="101"/>
    </row>
    <row r="664" spans="1:1" ht="9.75" customHeight="1">
      <c r="A664" s="101"/>
    </row>
    <row r="665" spans="1:1" ht="9.75" customHeight="1">
      <c r="A665" s="101"/>
    </row>
    <row r="666" spans="1:1" ht="9.75" customHeight="1">
      <c r="A666" s="101"/>
    </row>
    <row r="667" spans="1:1" ht="9.75" customHeight="1">
      <c r="A667" s="101"/>
    </row>
    <row r="668" spans="1:1" ht="9.75" customHeight="1">
      <c r="A668" s="101"/>
    </row>
    <row r="669" spans="1:1" ht="9.75" customHeight="1">
      <c r="A669" s="101"/>
    </row>
    <row r="670" spans="1:1" ht="9.75" customHeight="1">
      <c r="A670" s="101"/>
    </row>
    <row r="671" spans="1:1" ht="9.75" customHeight="1">
      <c r="A671" s="101"/>
    </row>
    <row r="672" spans="1:1" ht="9.75" customHeight="1">
      <c r="A672" s="101"/>
    </row>
    <row r="673" spans="1:1" ht="9.75" customHeight="1">
      <c r="A673" s="101"/>
    </row>
    <row r="674" spans="1:1" ht="9.75" customHeight="1">
      <c r="A674" s="101"/>
    </row>
    <row r="675" spans="1:1" ht="9.75" customHeight="1">
      <c r="A675" s="101"/>
    </row>
    <row r="676" spans="1:1" ht="9.75" customHeight="1">
      <c r="A676" s="101"/>
    </row>
    <row r="677" spans="1:1" ht="9.75" customHeight="1">
      <c r="A677" s="101"/>
    </row>
    <row r="678" spans="1:1" ht="9.75" customHeight="1">
      <c r="A678" s="101"/>
    </row>
    <row r="679" spans="1:1" ht="9.75" customHeight="1">
      <c r="A679" s="101"/>
    </row>
    <row r="680" spans="1:1" ht="9.75" customHeight="1">
      <c r="A680" s="101"/>
    </row>
    <row r="681" spans="1:1" ht="9.75" customHeight="1">
      <c r="A681" s="101"/>
    </row>
    <row r="682" spans="1:1" ht="9.75" customHeight="1">
      <c r="A682" s="101"/>
    </row>
    <row r="683" spans="1:1" ht="9.75" customHeight="1">
      <c r="A683" s="101"/>
    </row>
    <row r="684" spans="1:1" ht="9.75" customHeight="1">
      <c r="A684" s="101"/>
    </row>
    <row r="685" spans="1:1" ht="9.75" customHeight="1">
      <c r="A685" s="101"/>
    </row>
    <row r="686" spans="1:1" ht="9.75" customHeight="1">
      <c r="A686" s="101"/>
    </row>
    <row r="687" spans="1:1" ht="9.75" customHeight="1">
      <c r="A687" s="101"/>
    </row>
    <row r="688" spans="1:1" ht="9.75" customHeight="1">
      <c r="A688" s="101"/>
    </row>
    <row r="689" spans="1:1" ht="9.75" customHeight="1">
      <c r="A689" s="101"/>
    </row>
    <row r="690" spans="1:1" ht="9.75" customHeight="1">
      <c r="A690" s="101"/>
    </row>
    <row r="691" spans="1:1" ht="9.75" customHeight="1">
      <c r="A691" s="101"/>
    </row>
    <row r="692" spans="1:1" ht="9.75" customHeight="1">
      <c r="A692" s="101"/>
    </row>
    <row r="693" spans="1:1" ht="9.75" customHeight="1">
      <c r="A693" s="101"/>
    </row>
    <row r="694" spans="1:1" ht="9.75" customHeight="1">
      <c r="A694" s="101"/>
    </row>
    <row r="695" spans="1:1" ht="9.75" customHeight="1">
      <c r="A695" s="101"/>
    </row>
    <row r="696" spans="1:1" ht="9.75" customHeight="1">
      <c r="A696" s="101"/>
    </row>
    <row r="697" spans="1:1" ht="9.75" customHeight="1">
      <c r="A697" s="101"/>
    </row>
    <row r="698" spans="1:1" ht="9.75" customHeight="1">
      <c r="A698" s="101"/>
    </row>
    <row r="699" spans="1:1" ht="9.75" customHeight="1">
      <c r="A699" s="101"/>
    </row>
    <row r="700" spans="1:1" ht="9.75" customHeight="1">
      <c r="A700" s="101"/>
    </row>
    <row r="701" spans="1:1" ht="9.75" customHeight="1">
      <c r="A701" s="101"/>
    </row>
    <row r="702" spans="1:1" ht="9.75" customHeight="1">
      <c r="A702" s="101"/>
    </row>
    <row r="703" spans="1:1" ht="9.75" customHeight="1">
      <c r="A703" s="101"/>
    </row>
    <row r="704" spans="1:1" ht="9.75" customHeight="1">
      <c r="A704" s="101"/>
    </row>
    <row r="705" spans="1:1" ht="9.75" customHeight="1">
      <c r="A705" s="101"/>
    </row>
    <row r="706" spans="1:1" ht="9.75" customHeight="1">
      <c r="A706" s="101"/>
    </row>
    <row r="707" spans="1:1" ht="9.75" customHeight="1">
      <c r="A707" s="101"/>
    </row>
    <row r="708" spans="1:1" ht="9.75" customHeight="1">
      <c r="A708" s="101"/>
    </row>
    <row r="709" spans="1:1" ht="9.75" customHeight="1">
      <c r="A709" s="101"/>
    </row>
    <row r="710" spans="1:1" ht="9.75" customHeight="1">
      <c r="A710" s="101"/>
    </row>
    <row r="711" spans="1:1" ht="9.75" customHeight="1">
      <c r="A711" s="101"/>
    </row>
    <row r="712" spans="1:1" ht="9.75" customHeight="1">
      <c r="A712" s="101"/>
    </row>
    <row r="713" spans="1:1" ht="9.75" customHeight="1">
      <c r="A713" s="101"/>
    </row>
    <row r="714" spans="1:1" ht="9.75" customHeight="1">
      <c r="A714" s="101"/>
    </row>
    <row r="715" spans="1:1" ht="9.75" customHeight="1">
      <c r="A715" s="101"/>
    </row>
    <row r="716" spans="1:1" ht="9.75" customHeight="1">
      <c r="A716" s="101"/>
    </row>
    <row r="717" spans="1:1" ht="9.75" customHeight="1">
      <c r="A717" s="101"/>
    </row>
    <row r="718" spans="1:1" ht="9.75" customHeight="1">
      <c r="A718" s="101"/>
    </row>
    <row r="719" spans="1:1" ht="9.75" customHeight="1">
      <c r="A719" s="101"/>
    </row>
    <row r="720" spans="1:1" ht="9.75" customHeight="1">
      <c r="A720" s="101"/>
    </row>
    <row r="721" spans="1:1" ht="9.75" customHeight="1">
      <c r="A721" s="101"/>
    </row>
    <row r="722" spans="1:1" ht="9.75" customHeight="1">
      <c r="A722" s="101"/>
    </row>
    <row r="723" spans="1:1" ht="9.75" customHeight="1">
      <c r="A723" s="101"/>
    </row>
    <row r="724" spans="1:1" ht="9.75" customHeight="1">
      <c r="A724" s="101"/>
    </row>
    <row r="725" spans="1:1" ht="9.75" customHeight="1">
      <c r="A725" s="101"/>
    </row>
    <row r="726" spans="1:1" ht="9.75" customHeight="1">
      <c r="A726" s="101"/>
    </row>
    <row r="727" spans="1:1" ht="9.75" customHeight="1">
      <c r="A727" s="101"/>
    </row>
    <row r="728" spans="1:1" ht="9.75" customHeight="1">
      <c r="A728" s="101"/>
    </row>
    <row r="729" spans="1:1" ht="9.75" customHeight="1">
      <c r="A729" s="101"/>
    </row>
    <row r="730" spans="1:1" ht="9.75" customHeight="1">
      <c r="A730" s="101"/>
    </row>
    <row r="731" spans="1:1" ht="9.75" customHeight="1">
      <c r="A731" s="101"/>
    </row>
    <row r="732" spans="1:1" ht="9.75" customHeight="1">
      <c r="A732" s="101"/>
    </row>
    <row r="733" spans="1:1" ht="9.75" customHeight="1">
      <c r="A733" s="101"/>
    </row>
    <row r="734" spans="1:1" ht="9.75" customHeight="1">
      <c r="A734" s="101"/>
    </row>
    <row r="735" spans="1:1" ht="9.75" customHeight="1">
      <c r="A735" s="101"/>
    </row>
    <row r="736" spans="1:1" ht="9.75" customHeight="1">
      <c r="A736" s="101"/>
    </row>
    <row r="737" spans="1:1" ht="9.75" customHeight="1">
      <c r="A737" s="101"/>
    </row>
    <row r="738" spans="1:1" ht="9.75" customHeight="1">
      <c r="A738" s="101"/>
    </row>
    <row r="739" spans="1:1" ht="9.75" customHeight="1">
      <c r="A739" s="101"/>
    </row>
    <row r="740" spans="1:1" ht="9.75" customHeight="1">
      <c r="A740" s="101"/>
    </row>
    <row r="741" spans="1:1" ht="9.75" customHeight="1">
      <c r="A741" s="101"/>
    </row>
    <row r="742" spans="1:1" ht="9.75" customHeight="1">
      <c r="A742" s="101"/>
    </row>
    <row r="743" spans="1:1" ht="9.75" customHeight="1">
      <c r="A743" s="101"/>
    </row>
    <row r="744" spans="1:1" ht="9.75" customHeight="1">
      <c r="A744" s="101"/>
    </row>
    <row r="745" spans="1:1" ht="9.75" customHeight="1">
      <c r="A745" s="101"/>
    </row>
    <row r="746" spans="1:1" ht="9.75" customHeight="1">
      <c r="A746" s="101"/>
    </row>
    <row r="747" spans="1:1" ht="9.75" customHeight="1">
      <c r="A747" s="101"/>
    </row>
    <row r="748" spans="1:1" ht="9.75" customHeight="1">
      <c r="A748" s="101"/>
    </row>
    <row r="749" spans="1:1" ht="9.75" customHeight="1">
      <c r="A749" s="101"/>
    </row>
    <row r="750" spans="1:1" ht="9.75" customHeight="1">
      <c r="A750" s="101"/>
    </row>
    <row r="751" spans="1:1" ht="9.75" customHeight="1">
      <c r="A751" s="101"/>
    </row>
    <row r="752" spans="1:1" ht="9.75" customHeight="1">
      <c r="A752" s="101"/>
    </row>
    <row r="753" spans="1:1" ht="9.75" customHeight="1">
      <c r="A753" s="101"/>
    </row>
    <row r="754" spans="1:1" ht="9.75" customHeight="1">
      <c r="A754" s="101"/>
    </row>
    <row r="755" spans="1:1" ht="9.75" customHeight="1">
      <c r="A755" s="101"/>
    </row>
    <row r="756" spans="1:1" ht="9.75" customHeight="1">
      <c r="A756" s="101"/>
    </row>
    <row r="757" spans="1:1" ht="9.75" customHeight="1">
      <c r="A757" s="101"/>
    </row>
    <row r="758" spans="1:1" ht="9.75" customHeight="1">
      <c r="A758" s="101"/>
    </row>
    <row r="759" spans="1:1" ht="9.75" customHeight="1">
      <c r="A759" s="101"/>
    </row>
    <row r="760" spans="1:1" ht="9.75" customHeight="1">
      <c r="A760" s="101"/>
    </row>
    <row r="761" spans="1:1" ht="9.75" customHeight="1">
      <c r="A761" s="101"/>
    </row>
    <row r="762" spans="1:1" ht="9.75" customHeight="1">
      <c r="A762" s="101"/>
    </row>
    <row r="763" spans="1:1" ht="9.75" customHeight="1">
      <c r="A763" s="101"/>
    </row>
    <row r="764" spans="1:1" ht="9.75" customHeight="1">
      <c r="A764" s="101"/>
    </row>
    <row r="765" spans="1:1" ht="9.75" customHeight="1">
      <c r="A765" s="101"/>
    </row>
    <row r="766" spans="1:1" ht="9.75" customHeight="1">
      <c r="A766" s="101"/>
    </row>
    <row r="767" spans="1:1" ht="9.75" customHeight="1">
      <c r="A767" s="101"/>
    </row>
    <row r="768" spans="1:1" ht="9.75" customHeight="1">
      <c r="A768" s="101"/>
    </row>
    <row r="769" spans="1:1" ht="9.75" customHeight="1">
      <c r="A769" s="101"/>
    </row>
    <row r="770" spans="1:1" ht="9.75" customHeight="1">
      <c r="A770" s="101"/>
    </row>
    <row r="771" spans="1:1" ht="9.75" customHeight="1">
      <c r="A771" s="101"/>
    </row>
    <row r="772" spans="1:1" ht="9.75" customHeight="1">
      <c r="A772" s="101"/>
    </row>
    <row r="773" spans="1:1" ht="9.75" customHeight="1">
      <c r="A773" s="101"/>
    </row>
    <row r="774" spans="1:1" ht="9.75" customHeight="1">
      <c r="A774" s="101"/>
    </row>
    <row r="775" spans="1:1" ht="9.75" customHeight="1">
      <c r="A775" s="101"/>
    </row>
    <row r="776" spans="1:1" ht="9.75" customHeight="1">
      <c r="A776" s="101"/>
    </row>
    <row r="777" spans="1:1" ht="9.75" customHeight="1">
      <c r="A777" s="101"/>
    </row>
    <row r="778" spans="1:1" ht="9.75" customHeight="1">
      <c r="A778" s="101"/>
    </row>
    <row r="779" spans="1:1" ht="9.75" customHeight="1">
      <c r="A779" s="101"/>
    </row>
    <row r="780" spans="1:1" ht="9.75" customHeight="1">
      <c r="A780" s="101"/>
    </row>
    <row r="781" spans="1:1" ht="9.75" customHeight="1">
      <c r="A781" s="101"/>
    </row>
    <row r="782" spans="1:1" ht="9.75" customHeight="1">
      <c r="A782" s="101"/>
    </row>
    <row r="783" spans="1:1" ht="9.75" customHeight="1">
      <c r="A783" s="101"/>
    </row>
    <row r="784" spans="1:1" ht="9.75" customHeight="1">
      <c r="A784" s="101"/>
    </row>
    <row r="785" spans="1:1" ht="9.75" customHeight="1">
      <c r="A785" s="101"/>
    </row>
    <row r="786" spans="1:1" ht="9.75" customHeight="1">
      <c r="A786" s="101"/>
    </row>
    <row r="787" spans="1:1" ht="9.75" customHeight="1">
      <c r="A787" s="101"/>
    </row>
    <row r="788" spans="1:1" ht="9.75" customHeight="1">
      <c r="A788" s="101"/>
    </row>
    <row r="789" spans="1:1" ht="9.75" customHeight="1">
      <c r="A789" s="101"/>
    </row>
    <row r="790" spans="1:1" ht="9.75" customHeight="1">
      <c r="A790" s="101"/>
    </row>
    <row r="791" spans="1:1" ht="9.75" customHeight="1">
      <c r="A791" s="101"/>
    </row>
    <row r="792" spans="1:1" ht="9.75" customHeight="1">
      <c r="A792" s="101"/>
    </row>
    <row r="793" spans="1:1" ht="9.75" customHeight="1">
      <c r="A793" s="101"/>
    </row>
    <row r="794" spans="1:1" ht="9.75" customHeight="1">
      <c r="A794" s="101"/>
    </row>
    <row r="795" spans="1:1" ht="9.75" customHeight="1">
      <c r="A795" s="101"/>
    </row>
    <row r="796" spans="1:1" ht="9.75" customHeight="1">
      <c r="A796" s="101"/>
    </row>
    <row r="797" spans="1:1" ht="9.75" customHeight="1">
      <c r="A797" s="101"/>
    </row>
    <row r="798" spans="1:1" ht="9.75" customHeight="1">
      <c r="A798" s="101"/>
    </row>
    <row r="799" spans="1:1" ht="9.75" customHeight="1">
      <c r="A799" s="101"/>
    </row>
    <row r="800" spans="1:1" ht="9.75" customHeight="1">
      <c r="A800" s="101"/>
    </row>
    <row r="801" spans="1:1" ht="9.75" customHeight="1">
      <c r="A801" s="101"/>
    </row>
    <row r="802" spans="1:1" ht="9.75" customHeight="1">
      <c r="A802" s="101"/>
    </row>
    <row r="803" spans="1:1" ht="9.75" customHeight="1">
      <c r="A803" s="101"/>
    </row>
    <row r="804" spans="1:1" ht="9.75" customHeight="1">
      <c r="A804" s="101"/>
    </row>
    <row r="805" spans="1:1" ht="9.75" customHeight="1">
      <c r="A805" s="101"/>
    </row>
    <row r="806" spans="1:1" ht="9.75" customHeight="1">
      <c r="A806" s="101"/>
    </row>
    <row r="807" spans="1:1" ht="9.75" customHeight="1">
      <c r="A807" s="101"/>
    </row>
    <row r="808" spans="1:1" ht="9.75" customHeight="1">
      <c r="A808" s="101"/>
    </row>
    <row r="809" spans="1:1" ht="9.75" customHeight="1">
      <c r="A809" s="101"/>
    </row>
    <row r="810" spans="1:1" ht="9.75" customHeight="1">
      <c r="A810" s="101"/>
    </row>
    <row r="811" spans="1:1" ht="9.75" customHeight="1">
      <c r="A811" s="101"/>
    </row>
    <row r="812" spans="1:1" ht="9.75" customHeight="1">
      <c r="A812" s="101"/>
    </row>
    <row r="813" spans="1:1" ht="9.75" customHeight="1">
      <c r="A813" s="101"/>
    </row>
    <row r="814" spans="1:1" ht="9.75" customHeight="1">
      <c r="A814" s="101"/>
    </row>
    <row r="815" spans="1:1" ht="9.75" customHeight="1">
      <c r="A815" s="101"/>
    </row>
    <row r="816" spans="1:1" ht="9.75" customHeight="1">
      <c r="A816" s="101"/>
    </row>
    <row r="817" spans="1:1" ht="9.75" customHeight="1">
      <c r="A817" s="101"/>
    </row>
    <row r="818" spans="1:1" ht="9.75" customHeight="1">
      <c r="A818" s="101"/>
    </row>
    <row r="819" spans="1:1" ht="9.75" customHeight="1">
      <c r="A819" s="101"/>
    </row>
    <row r="820" spans="1:1" ht="9.75" customHeight="1">
      <c r="A820" s="101"/>
    </row>
    <row r="821" spans="1:1" ht="9.75" customHeight="1">
      <c r="A821" s="101"/>
    </row>
    <row r="822" spans="1:1" ht="9.75" customHeight="1">
      <c r="A822" s="101"/>
    </row>
    <row r="823" spans="1:1" ht="9.75" customHeight="1">
      <c r="A823" s="101"/>
    </row>
    <row r="824" spans="1:1" ht="9.75" customHeight="1">
      <c r="A824" s="101"/>
    </row>
    <row r="825" spans="1:1" ht="9.75" customHeight="1">
      <c r="A825" s="101"/>
    </row>
    <row r="826" spans="1:1" ht="9.75" customHeight="1">
      <c r="A826" s="101"/>
    </row>
    <row r="827" spans="1:1" ht="9.75" customHeight="1">
      <c r="A827" s="101"/>
    </row>
    <row r="828" spans="1:1" ht="9.75" customHeight="1">
      <c r="A828" s="101"/>
    </row>
    <row r="829" spans="1:1" ht="9.75" customHeight="1">
      <c r="A829" s="101"/>
    </row>
    <row r="830" spans="1:1" ht="9.75" customHeight="1">
      <c r="A830" s="101"/>
    </row>
    <row r="831" spans="1:1" ht="9.75" customHeight="1">
      <c r="A831" s="101"/>
    </row>
    <row r="832" spans="1:1" ht="9.75" customHeight="1">
      <c r="A832" s="101"/>
    </row>
    <row r="833" spans="1:1" ht="9.75" customHeight="1">
      <c r="A833" s="101"/>
    </row>
    <row r="834" spans="1:1" ht="9.75" customHeight="1">
      <c r="A834" s="101"/>
    </row>
    <row r="835" spans="1:1" ht="9.75" customHeight="1">
      <c r="A835" s="101"/>
    </row>
    <row r="836" spans="1:1" ht="9.75" customHeight="1">
      <c r="A836" s="101"/>
    </row>
    <row r="837" spans="1:1" ht="9.75" customHeight="1">
      <c r="A837" s="101"/>
    </row>
    <row r="838" spans="1:1" ht="9.75" customHeight="1">
      <c r="A838" s="101"/>
    </row>
    <row r="839" spans="1:1" ht="9.75" customHeight="1">
      <c r="A839" s="101"/>
    </row>
    <row r="840" spans="1:1" ht="9.75" customHeight="1">
      <c r="A840" s="101"/>
    </row>
    <row r="841" spans="1:1" ht="9.75" customHeight="1">
      <c r="A841" s="101"/>
    </row>
    <row r="842" spans="1:1" ht="9.75" customHeight="1">
      <c r="A842" s="101"/>
    </row>
    <row r="843" spans="1:1" ht="9.75" customHeight="1">
      <c r="A843" s="101"/>
    </row>
    <row r="844" spans="1:1" ht="9.75" customHeight="1">
      <c r="A844" s="101"/>
    </row>
    <row r="845" spans="1:1" ht="9.75" customHeight="1">
      <c r="A845" s="101"/>
    </row>
    <row r="846" spans="1:1" ht="9.75" customHeight="1">
      <c r="A846" s="101"/>
    </row>
    <row r="847" spans="1:1" ht="9.75" customHeight="1">
      <c r="A847" s="101"/>
    </row>
    <row r="848" spans="1:1" ht="9.75" customHeight="1">
      <c r="A848" s="101"/>
    </row>
    <row r="849" spans="1:1" ht="9.75" customHeight="1">
      <c r="A849" s="101"/>
    </row>
    <row r="850" spans="1:1" ht="9.75" customHeight="1">
      <c r="A850" s="101"/>
    </row>
    <row r="851" spans="1:1" ht="9.75" customHeight="1">
      <c r="A851" s="101"/>
    </row>
    <row r="852" spans="1:1" ht="9.75" customHeight="1">
      <c r="A852" s="101"/>
    </row>
    <row r="853" spans="1:1" ht="9.75" customHeight="1">
      <c r="A853" s="101"/>
    </row>
    <row r="854" spans="1:1" ht="9.75" customHeight="1">
      <c r="A854" s="101"/>
    </row>
    <row r="855" spans="1:1" ht="9.75" customHeight="1">
      <c r="A855" s="101"/>
    </row>
    <row r="856" spans="1:1" ht="9.75" customHeight="1">
      <c r="A856" s="101"/>
    </row>
    <row r="857" spans="1:1" ht="9.75" customHeight="1">
      <c r="A857" s="101"/>
    </row>
    <row r="858" spans="1:1" ht="9.75" customHeight="1">
      <c r="A858" s="101"/>
    </row>
    <row r="859" spans="1:1" ht="9.75" customHeight="1">
      <c r="A859" s="101"/>
    </row>
    <row r="860" spans="1:1" ht="9.75" customHeight="1">
      <c r="A860" s="101"/>
    </row>
    <row r="861" spans="1:1" ht="9.75" customHeight="1">
      <c r="A861" s="101"/>
    </row>
    <row r="862" spans="1:1" ht="9.75" customHeight="1">
      <c r="A862" s="101"/>
    </row>
    <row r="863" spans="1:1" ht="9.75" customHeight="1">
      <c r="A863" s="101"/>
    </row>
    <row r="864" spans="1:1" ht="9.75" customHeight="1">
      <c r="A864" s="101"/>
    </row>
    <row r="865" spans="1:1" ht="9.75" customHeight="1">
      <c r="A865" s="101"/>
    </row>
    <row r="866" spans="1:1" ht="9.75" customHeight="1">
      <c r="A866" s="101"/>
    </row>
    <row r="867" spans="1:1" ht="9.75" customHeight="1">
      <c r="A867" s="101"/>
    </row>
    <row r="868" spans="1:1" ht="9.75" customHeight="1">
      <c r="A868" s="101"/>
    </row>
    <row r="869" spans="1:1" ht="9.75" customHeight="1">
      <c r="A869" s="101"/>
    </row>
    <row r="870" spans="1:1" ht="9.75" customHeight="1">
      <c r="A870" s="101"/>
    </row>
    <row r="871" spans="1:1" ht="9.75" customHeight="1">
      <c r="A871" s="101"/>
    </row>
    <row r="872" spans="1:1" ht="9.75" customHeight="1">
      <c r="A872" s="101"/>
    </row>
    <row r="873" spans="1:1" ht="9.75" customHeight="1">
      <c r="A873" s="101"/>
    </row>
    <row r="874" spans="1:1" ht="9.75" customHeight="1">
      <c r="A874" s="101"/>
    </row>
    <row r="875" spans="1:1" ht="9.75" customHeight="1">
      <c r="A875" s="101"/>
    </row>
    <row r="876" spans="1:1" ht="9.75" customHeight="1">
      <c r="A876" s="101"/>
    </row>
    <row r="877" spans="1:1" ht="9.75" customHeight="1">
      <c r="A877" s="101"/>
    </row>
    <row r="878" spans="1:1" ht="9.75" customHeight="1">
      <c r="A878" s="101"/>
    </row>
    <row r="879" spans="1:1" ht="9.75" customHeight="1">
      <c r="A879" s="101"/>
    </row>
    <row r="880" spans="1:1" ht="9.75" customHeight="1">
      <c r="A880" s="101"/>
    </row>
    <row r="881" spans="1:1" ht="9.75" customHeight="1">
      <c r="A881" s="101"/>
    </row>
    <row r="882" spans="1:1" ht="9.75" customHeight="1">
      <c r="A882" s="101"/>
    </row>
    <row r="883" spans="1:1" ht="9.75" customHeight="1">
      <c r="A883" s="101"/>
    </row>
    <row r="884" spans="1:1" ht="9.75" customHeight="1">
      <c r="A884" s="101"/>
    </row>
    <row r="885" spans="1:1" ht="9.75" customHeight="1">
      <c r="A885" s="101"/>
    </row>
    <row r="886" spans="1:1" ht="9.75" customHeight="1">
      <c r="A886" s="101"/>
    </row>
    <row r="887" spans="1:1" ht="9.75" customHeight="1">
      <c r="A887" s="101"/>
    </row>
    <row r="888" spans="1:1" ht="9.75" customHeight="1">
      <c r="A888" s="101"/>
    </row>
    <row r="889" spans="1:1" ht="9.75" customHeight="1">
      <c r="A889" s="101"/>
    </row>
    <row r="890" spans="1:1" ht="9.75" customHeight="1">
      <c r="A890" s="101"/>
    </row>
    <row r="891" spans="1:1" ht="9.75" customHeight="1">
      <c r="A891" s="101"/>
    </row>
    <row r="892" spans="1:1" ht="9.75" customHeight="1">
      <c r="A892" s="101"/>
    </row>
    <row r="893" spans="1:1" ht="9.75" customHeight="1">
      <c r="A893" s="101"/>
    </row>
    <row r="894" spans="1:1" ht="9.75" customHeight="1">
      <c r="A894" s="101"/>
    </row>
    <row r="895" spans="1:1" ht="9.75" customHeight="1">
      <c r="A895" s="101"/>
    </row>
    <row r="896" spans="1:1" ht="9.75" customHeight="1">
      <c r="A896" s="101"/>
    </row>
    <row r="897" spans="1:1" ht="9.75" customHeight="1">
      <c r="A897" s="101"/>
    </row>
    <row r="898" spans="1:1" ht="9.75" customHeight="1">
      <c r="A898" s="101"/>
    </row>
    <row r="899" spans="1:1" ht="9.75" customHeight="1">
      <c r="A899" s="101"/>
    </row>
    <row r="900" spans="1:1" ht="9.75" customHeight="1">
      <c r="A900" s="101"/>
    </row>
    <row r="901" spans="1:1" ht="9.75" customHeight="1">
      <c r="A901" s="101"/>
    </row>
    <row r="902" spans="1:1" ht="9.75" customHeight="1">
      <c r="A902" s="101"/>
    </row>
    <row r="903" spans="1:1" ht="9.75" customHeight="1">
      <c r="A903" s="101"/>
    </row>
    <row r="904" spans="1:1" ht="9.75" customHeight="1">
      <c r="A904" s="101"/>
    </row>
    <row r="905" spans="1:1" ht="9.75" customHeight="1">
      <c r="A905" s="101"/>
    </row>
    <row r="906" spans="1:1" ht="9.75" customHeight="1">
      <c r="A906" s="101"/>
    </row>
    <row r="907" spans="1:1" ht="9.75" customHeight="1">
      <c r="A907" s="101"/>
    </row>
    <row r="908" spans="1:1" ht="9.75" customHeight="1">
      <c r="A908" s="101"/>
    </row>
    <row r="909" spans="1:1" ht="9.75" customHeight="1">
      <c r="A909" s="101"/>
    </row>
    <row r="910" spans="1:1" ht="9.75" customHeight="1">
      <c r="A910" s="101"/>
    </row>
    <row r="911" spans="1:1" ht="9.75" customHeight="1">
      <c r="A911" s="101"/>
    </row>
    <row r="912" spans="1:1" ht="9.75" customHeight="1">
      <c r="A912" s="101"/>
    </row>
    <row r="913" spans="1:1" ht="9.75" customHeight="1">
      <c r="A913" s="101"/>
    </row>
    <row r="914" spans="1:1" ht="9.75" customHeight="1">
      <c r="A914" s="101"/>
    </row>
    <row r="915" spans="1:1" ht="9.75" customHeight="1">
      <c r="A915" s="101"/>
    </row>
    <row r="916" spans="1:1" ht="9.75" customHeight="1">
      <c r="A916" s="101"/>
    </row>
    <row r="917" spans="1:1" ht="9.75" customHeight="1">
      <c r="A917" s="101"/>
    </row>
    <row r="918" spans="1:1" ht="9.75" customHeight="1">
      <c r="A918" s="101"/>
    </row>
    <row r="919" spans="1:1" ht="9.75" customHeight="1">
      <c r="A919" s="101"/>
    </row>
    <row r="920" spans="1:1" ht="9.75" customHeight="1">
      <c r="A920" s="101"/>
    </row>
    <row r="921" spans="1:1" ht="9.75" customHeight="1">
      <c r="A921" s="101"/>
    </row>
    <row r="922" spans="1:1" ht="9.75" customHeight="1">
      <c r="A922" s="101"/>
    </row>
    <row r="923" spans="1:1" ht="9.75" customHeight="1">
      <c r="A923" s="101"/>
    </row>
    <row r="924" spans="1:1" ht="9.75" customHeight="1">
      <c r="A924" s="101"/>
    </row>
    <row r="925" spans="1:1" ht="9.75" customHeight="1">
      <c r="A925" s="101"/>
    </row>
    <row r="926" spans="1:1" ht="9.75" customHeight="1">
      <c r="A926" s="101"/>
    </row>
    <row r="927" spans="1:1" ht="9.75" customHeight="1">
      <c r="A927" s="101"/>
    </row>
    <row r="928" spans="1:1" ht="9.75" customHeight="1">
      <c r="A928" s="101"/>
    </row>
    <row r="929" spans="1:1" ht="9.75" customHeight="1">
      <c r="A929" s="101"/>
    </row>
    <row r="930" spans="1:1" ht="9.75" customHeight="1">
      <c r="A930" s="101"/>
    </row>
    <row r="931" spans="1:1" ht="9.75" customHeight="1">
      <c r="A931" s="101"/>
    </row>
    <row r="932" spans="1:1" ht="9.75" customHeight="1">
      <c r="A932" s="101"/>
    </row>
    <row r="933" spans="1:1" ht="9.75" customHeight="1">
      <c r="A933" s="101"/>
    </row>
    <row r="934" spans="1:1" ht="9.75" customHeight="1">
      <c r="A934" s="101"/>
    </row>
    <row r="935" spans="1:1" ht="9.75" customHeight="1">
      <c r="A935" s="101"/>
    </row>
    <row r="936" spans="1:1" ht="9.75" customHeight="1">
      <c r="A936" s="101"/>
    </row>
    <row r="937" spans="1:1" ht="9.75" customHeight="1">
      <c r="A937" s="101"/>
    </row>
    <row r="938" spans="1:1" ht="9.75" customHeight="1">
      <c r="A938" s="101"/>
    </row>
    <row r="939" spans="1:1" ht="9.75" customHeight="1">
      <c r="A939" s="101"/>
    </row>
    <row r="940" spans="1:1" ht="9.75" customHeight="1">
      <c r="A940" s="101"/>
    </row>
    <row r="941" spans="1:1" ht="9.75" customHeight="1">
      <c r="A941" s="101"/>
    </row>
    <row r="942" spans="1:1" ht="9.75" customHeight="1">
      <c r="A942" s="101"/>
    </row>
    <row r="943" spans="1:1" ht="9.75" customHeight="1">
      <c r="A943" s="101"/>
    </row>
    <row r="944" spans="1:1" ht="9.75" customHeight="1">
      <c r="A944" s="101"/>
    </row>
    <row r="945" spans="1:1" ht="9.75" customHeight="1">
      <c r="A945" s="101"/>
    </row>
    <row r="946" spans="1:1" ht="9.75" customHeight="1">
      <c r="A946" s="101"/>
    </row>
    <row r="947" spans="1:1" ht="9.75" customHeight="1">
      <c r="A947" s="101"/>
    </row>
    <row r="948" spans="1:1" ht="9.75" customHeight="1">
      <c r="A948" s="101"/>
    </row>
    <row r="949" spans="1:1" ht="9.75" customHeight="1">
      <c r="A949" s="101"/>
    </row>
    <row r="950" spans="1:1" ht="9.75" customHeight="1">
      <c r="A950" s="101"/>
    </row>
    <row r="951" spans="1:1" ht="9.75" customHeight="1">
      <c r="A951" s="101"/>
    </row>
    <row r="952" spans="1:1" ht="9.75" customHeight="1">
      <c r="A952" s="101"/>
    </row>
    <row r="953" spans="1:1" ht="9.75" customHeight="1">
      <c r="A953" s="101"/>
    </row>
    <row r="954" spans="1:1" ht="9.75" customHeight="1">
      <c r="A954" s="101"/>
    </row>
    <row r="955" spans="1:1" ht="9.75" customHeight="1">
      <c r="A955" s="101"/>
    </row>
    <row r="956" spans="1:1" ht="9.75" customHeight="1">
      <c r="A956" s="101"/>
    </row>
    <row r="957" spans="1:1" ht="9.75" customHeight="1">
      <c r="A957" s="101"/>
    </row>
    <row r="958" spans="1:1" ht="9.75" customHeight="1">
      <c r="A958" s="101"/>
    </row>
    <row r="959" spans="1:1" ht="9.75" customHeight="1">
      <c r="A959" s="101"/>
    </row>
    <row r="960" spans="1:1" ht="9.75" customHeight="1">
      <c r="A960" s="101"/>
    </row>
    <row r="961" spans="1:1" ht="9.75" customHeight="1">
      <c r="A961" s="101"/>
    </row>
    <row r="962" spans="1:1" ht="9.75" customHeight="1">
      <c r="A962" s="101"/>
    </row>
    <row r="963" spans="1:1" ht="9.75" customHeight="1">
      <c r="A963" s="101"/>
    </row>
    <row r="964" spans="1:1" ht="9.75" customHeight="1">
      <c r="A964" s="101"/>
    </row>
    <row r="965" spans="1:1" ht="9.75" customHeight="1">
      <c r="A965" s="101"/>
    </row>
    <row r="966" spans="1:1" ht="9.75" customHeight="1">
      <c r="A966" s="101"/>
    </row>
    <row r="967" spans="1:1" ht="9.75" customHeight="1">
      <c r="A967" s="101"/>
    </row>
    <row r="968" spans="1:1" ht="9.75" customHeight="1">
      <c r="A968" s="101"/>
    </row>
    <row r="969" spans="1:1" ht="9.75" customHeight="1">
      <c r="A969" s="101"/>
    </row>
    <row r="970" spans="1:1" ht="9.75" customHeight="1">
      <c r="A970" s="101"/>
    </row>
    <row r="971" spans="1:1" ht="9.75" customHeight="1">
      <c r="A971" s="101"/>
    </row>
    <row r="972" spans="1:1" ht="9.75" customHeight="1">
      <c r="A972" s="101"/>
    </row>
    <row r="973" spans="1:1" ht="9.75" customHeight="1">
      <c r="A973" s="101"/>
    </row>
    <row r="974" spans="1:1" ht="9.75" customHeight="1">
      <c r="A974" s="101"/>
    </row>
    <row r="975" spans="1:1" ht="9.75" customHeight="1">
      <c r="A975" s="101"/>
    </row>
    <row r="976" spans="1:1" ht="9.75" customHeight="1">
      <c r="A976" s="101"/>
    </row>
    <row r="977" spans="1:1" ht="9.75" customHeight="1">
      <c r="A977" s="101"/>
    </row>
    <row r="978" spans="1:1" ht="9.75" customHeight="1">
      <c r="A978" s="101"/>
    </row>
    <row r="979" spans="1:1" ht="9.75" customHeight="1">
      <c r="A979" s="101"/>
    </row>
    <row r="980" spans="1:1" ht="9.75" customHeight="1">
      <c r="A980" s="101"/>
    </row>
    <row r="981" spans="1:1" ht="9.75" customHeight="1">
      <c r="A981" s="101"/>
    </row>
    <row r="982" spans="1:1" ht="9.75" customHeight="1">
      <c r="A982" s="101"/>
    </row>
    <row r="983" spans="1:1" ht="9.75" customHeight="1">
      <c r="A983" s="101"/>
    </row>
    <row r="984" spans="1:1" ht="9.75" customHeight="1">
      <c r="A984" s="101"/>
    </row>
    <row r="985" spans="1:1" ht="9.75" customHeight="1">
      <c r="A985" s="101"/>
    </row>
    <row r="986" spans="1:1" ht="9.75" customHeight="1">
      <c r="A986" s="101"/>
    </row>
    <row r="987" spans="1:1" ht="9.75" customHeight="1">
      <c r="A987" s="101"/>
    </row>
    <row r="988" spans="1:1" ht="9.75" customHeight="1">
      <c r="A988" s="101"/>
    </row>
    <row r="989" spans="1:1" ht="9.75" customHeight="1">
      <c r="A989" s="101"/>
    </row>
    <row r="990" spans="1:1" ht="9.75" customHeight="1">
      <c r="A990" s="101"/>
    </row>
    <row r="991" spans="1:1" ht="9.75" customHeight="1">
      <c r="A991" s="101"/>
    </row>
    <row r="992" spans="1:1" ht="9.75" customHeight="1">
      <c r="A992" s="101"/>
    </row>
    <row r="993" spans="1:1" ht="9.75" customHeight="1">
      <c r="A993" s="101"/>
    </row>
    <row r="994" spans="1:1" ht="9.75" customHeight="1">
      <c r="A994" s="101"/>
    </row>
    <row r="995" spans="1:1" ht="9.75" customHeight="1">
      <c r="A995" s="101"/>
    </row>
    <row r="996" spans="1:1" ht="9.75" customHeight="1">
      <c r="A996" s="101"/>
    </row>
    <row r="997" spans="1:1" ht="9.75" customHeight="1">
      <c r="A997" s="101"/>
    </row>
    <row r="998" spans="1:1" ht="9.75" customHeight="1">
      <c r="A998" s="101"/>
    </row>
    <row r="999" spans="1:1" ht="9.75" customHeight="1">
      <c r="A999" s="101"/>
    </row>
    <row r="1000" spans="1:1" ht="9.75" customHeight="1">
      <c r="A1000" s="101"/>
    </row>
    <row r="1001" spans="1:1" ht="9.75" customHeight="1">
      <c r="A1001" s="101"/>
    </row>
    <row r="1002" spans="1:1" ht="9.75" customHeight="1">
      <c r="A1002" s="101"/>
    </row>
    <row r="1003" spans="1:1" ht="9.75" customHeight="1">
      <c r="A1003" s="101"/>
    </row>
    <row r="1004" spans="1:1" ht="9.75" customHeight="1">
      <c r="A1004" s="101"/>
    </row>
    <row r="1005" spans="1:1" ht="9.75" customHeight="1">
      <c r="A1005" s="101"/>
    </row>
    <row r="1006" spans="1:1" ht="9.75" customHeight="1">
      <c r="A1006" s="101"/>
    </row>
    <row r="1007" spans="1:1" ht="9.75" customHeight="1">
      <c r="A1007" s="101"/>
    </row>
    <row r="1008" spans="1:1" ht="9.75" customHeight="1">
      <c r="A1008" s="101"/>
    </row>
    <row r="1009" spans="1:1" ht="9.75" customHeight="1">
      <c r="A1009" s="101"/>
    </row>
    <row r="1010" spans="1:1" ht="9.75" customHeight="1">
      <c r="A1010" s="101"/>
    </row>
    <row r="1011" spans="1:1" ht="9.75" customHeight="1">
      <c r="A1011" s="101"/>
    </row>
    <row r="1012" spans="1:1" ht="9.75" customHeight="1">
      <c r="A1012" s="101"/>
    </row>
    <row r="1013" spans="1:1" ht="9.75" customHeight="1">
      <c r="A1013" s="101"/>
    </row>
    <row r="1014" spans="1:1" ht="9.75" customHeight="1">
      <c r="A1014" s="101"/>
    </row>
    <row r="1015" spans="1:1" ht="9.75" customHeight="1">
      <c r="A1015" s="101"/>
    </row>
    <row r="1016" spans="1:1" ht="9.75" customHeight="1">
      <c r="A1016" s="101"/>
    </row>
    <row r="1017" spans="1:1" ht="9.75" customHeight="1">
      <c r="A1017" s="101"/>
    </row>
    <row r="1018" spans="1:1" ht="9.75" customHeight="1">
      <c r="A1018" s="101"/>
    </row>
    <row r="1019" spans="1:1" ht="9.75" customHeight="1">
      <c r="A1019" s="101"/>
    </row>
    <row r="1020" spans="1:1" ht="9.75" customHeight="1">
      <c r="A1020" s="101"/>
    </row>
    <row r="1021" spans="1:1" ht="9.75" customHeight="1">
      <c r="A1021" s="101"/>
    </row>
    <row r="1022" spans="1:1" ht="9.75" customHeight="1">
      <c r="A1022" s="101"/>
    </row>
    <row r="1023" spans="1:1" ht="9.75" customHeight="1">
      <c r="A1023" s="101"/>
    </row>
    <row r="1024" spans="1:1" ht="9.75" customHeight="1">
      <c r="A1024" s="101"/>
    </row>
    <row r="1025" spans="1:1" ht="9.75" customHeight="1">
      <c r="A1025" s="101"/>
    </row>
    <row r="1026" spans="1:1" ht="9.75" customHeight="1">
      <c r="A1026" s="101"/>
    </row>
    <row r="1027" spans="1:1" ht="9.75" customHeight="1">
      <c r="A1027" s="101"/>
    </row>
    <row r="1028" spans="1:1" ht="9.75" customHeight="1">
      <c r="A1028" s="101"/>
    </row>
    <row r="1029" spans="1:1" ht="9.75" customHeight="1">
      <c r="A1029" s="101"/>
    </row>
    <row r="1030" spans="1:1" ht="9.75" customHeight="1">
      <c r="A1030" s="101"/>
    </row>
    <row r="1031" spans="1:1" ht="9.75" customHeight="1">
      <c r="A1031" s="101"/>
    </row>
    <row r="1032" spans="1:1" ht="9.75" customHeight="1">
      <c r="A1032" s="101"/>
    </row>
    <row r="1033" spans="1:1" ht="9.75" customHeight="1">
      <c r="A1033" s="101"/>
    </row>
    <row r="1034" spans="1:1" ht="9.75" customHeight="1">
      <c r="A1034" s="101"/>
    </row>
    <row r="1035" spans="1:1" ht="9.75" customHeight="1">
      <c r="A1035" s="101"/>
    </row>
    <row r="1036" spans="1:1" ht="9.75" customHeight="1">
      <c r="A1036" s="101"/>
    </row>
    <row r="1037" spans="1:1" ht="9.75" customHeight="1">
      <c r="A1037" s="101"/>
    </row>
    <row r="1038" spans="1:1" ht="9.75" customHeight="1">
      <c r="A1038" s="101"/>
    </row>
    <row r="1039" spans="1:1" ht="9.75" customHeight="1">
      <c r="A1039" s="101"/>
    </row>
    <row r="1040" spans="1:1" ht="9.75" customHeight="1">
      <c r="A1040" s="101"/>
    </row>
    <row r="1041" spans="1:1" ht="9.75" customHeight="1">
      <c r="A1041" s="101"/>
    </row>
    <row r="1042" spans="1:1" ht="9.75" customHeight="1">
      <c r="A1042" s="101"/>
    </row>
    <row r="1043" spans="1:1" ht="9.75" customHeight="1">
      <c r="A1043" s="101"/>
    </row>
    <row r="1044" spans="1:1" ht="9.75" customHeight="1">
      <c r="A1044" s="101"/>
    </row>
    <row r="1045" spans="1:1" ht="9.75" customHeight="1">
      <c r="A1045" s="101"/>
    </row>
    <row r="1046" spans="1:1" ht="9.75" customHeight="1">
      <c r="A1046" s="101"/>
    </row>
    <row r="1047" spans="1:1" ht="9.75" customHeight="1">
      <c r="A1047" s="101"/>
    </row>
    <row r="1048" spans="1:1" ht="9.75" customHeight="1">
      <c r="A1048" s="101"/>
    </row>
    <row r="1049" spans="1:1" ht="9.75" customHeight="1">
      <c r="A1049" s="101"/>
    </row>
    <row r="1050" spans="1:1" ht="9.75" customHeight="1">
      <c r="A1050" s="101"/>
    </row>
    <row r="1051" spans="1:1" ht="9.75" customHeight="1">
      <c r="A1051" s="101"/>
    </row>
    <row r="1052" spans="1:1" ht="9.75" customHeight="1">
      <c r="A1052" s="101"/>
    </row>
    <row r="1053" spans="1:1" ht="9.75" customHeight="1">
      <c r="A1053" s="101"/>
    </row>
    <row r="1054" spans="1:1" ht="9.75" customHeight="1">
      <c r="A1054" s="101"/>
    </row>
    <row r="1055" spans="1:1" ht="9.75" customHeight="1">
      <c r="A1055" s="101"/>
    </row>
    <row r="1056" spans="1:1" ht="9.75" customHeight="1">
      <c r="A1056" s="101"/>
    </row>
    <row r="1057" spans="1:1" ht="9.75" customHeight="1">
      <c r="A1057" s="101"/>
    </row>
    <row r="1058" spans="1:1" ht="9.75" customHeight="1">
      <c r="A1058" s="101"/>
    </row>
    <row r="1059" spans="1:1" ht="9.75" customHeight="1">
      <c r="A1059" s="101"/>
    </row>
    <row r="1060" spans="1:1" ht="9.75" customHeight="1">
      <c r="A1060" s="101"/>
    </row>
    <row r="1061" spans="1:1" ht="9.75" customHeight="1">
      <c r="A1061" s="101"/>
    </row>
    <row r="1062" spans="1:1" ht="9.75" customHeight="1">
      <c r="A1062" s="101"/>
    </row>
    <row r="1063" spans="1:1" ht="9.75" customHeight="1">
      <c r="A1063" s="101"/>
    </row>
    <row r="1064" spans="1:1" ht="9.75" customHeight="1">
      <c r="A1064" s="101"/>
    </row>
    <row r="1065" spans="1:1" ht="9.75" customHeight="1">
      <c r="A1065" s="101"/>
    </row>
    <row r="1066" spans="1:1" ht="9.75" customHeight="1">
      <c r="A1066" s="101"/>
    </row>
    <row r="1067" spans="1:1" ht="9.75" customHeight="1">
      <c r="A1067" s="101"/>
    </row>
    <row r="1068" spans="1:1" ht="9.75" customHeight="1">
      <c r="A1068" s="101"/>
    </row>
    <row r="1069" spans="1:1" ht="9.75" customHeight="1">
      <c r="A1069" s="101"/>
    </row>
    <row r="1070" spans="1:1" ht="9.75" customHeight="1">
      <c r="A1070" s="101"/>
    </row>
    <row r="1071" spans="1:1" ht="9.75" customHeight="1">
      <c r="A1071" s="101"/>
    </row>
    <row r="1072" spans="1:1" ht="9.75" customHeight="1">
      <c r="A1072" s="101"/>
    </row>
    <row r="1073" spans="1:1" ht="9.75" customHeight="1">
      <c r="A1073" s="101"/>
    </row>
    <row r="1074" spans="1:1" ht="9.75" customHeight="1">
      <c r="A1074" s="101"/>
    </row>
    <row r="1075" spans="1:1" ht="9.75" customHeight="1">
      <c r="A1075" s="101"/>
    </row>
    <row r="1076" spans="1:1" ht="9.75" customHeight="1">
      <c r="A1076" s="101"/>
    </row>
    <row r="1077" spans="1:1" ht="9.75" customHeight="1">
      <c r="A1077" s="101"/>
    </row>
    <row r="1078" spans="1:1" ht="9.75" customHeight="1">
      <c r="A1078" s="101"/>
    </row>
    <row r="1079" spans="1:1" ht="9.75" customHeight="1">
      <c r="A1079" s="101"/>
    </row>
    <row r="1080" spans="1:1" ht="9.75" customHeight="1">
      <c r="A1080" s="101"/>
    </row>
    <row r="1081" spans="1:1" ht="9.75" customHeight="1">
      <c r="A1081" s="101"/>
    </row>
    <row r="1082" spans="1:1" ht="9.75" customHeight="1">
      <c r="A1082" s="101"/>
    </row>
    <row r="1083" spans="1:1" ht="9.75" customHeight="1">
      <c r="A1083" s="101"/>
    </row>
    <row r="1084" spans="1:1" ht="9.75" customHeight="1">
      <c r="A1084" s="101"/>
    </row>
    <row r="1085" spans="1:1" ht="9.75" customHeight="1">
      <c r="A1085" s="101"/>
    </row>
    <row r="1086" spans="1:1" ht="9.75" customHeight="1">
      <c r="A1086" s="101"/>
    </row>
    <row r="1087" spans="1:1" ht="9.75" customHeight="1">
      <c r="A1087" s="101"/>
    </row>
    <row r="1088" spans="1:1" ht="9.75" customHeight="1">
      <c r="A1088" s="101"/>
    </row>
    <row r="1089" spans="1:1" ht="9.75" customHeight="1">
      <c r="A1089" s="101"/>
    </row>
    <row r="1090" spans="1:1" ht="9.75" customHeight="1">
      <c r="A1090" s="101"/>
    </row>
    <row r="1091" spans="1:1" ht="9.75" customHeight="1">
      <c r="A1091" s="101"/>
    </row>
    <row r="1092" spans="1:1" ht="9.75" customHeight="1">
      <c r="A1092" s="101"/>
    </row>
    <row r="1093" spans="1:1" ht="9.75" customHeight="1">
      <c r="A1093" s="101"/>
    </row>
    <row r="1094" spans="1:1" ht="9.75" customHeight="1">
      <c r="A1094" s="101"/>
    </row>
    <row r="1095" spans="1:1" ht="9.75" customHeight="1">
      <c r="A1095" s="101"/>
    </row>
    <row r="1096" spans="1:1" ht="9.75" customHeight="1">
      <c r="A1096" s="101"/>
    </row>
    <row r="1097" spans="1:1" ht="9.75" customHeight="1">
      <c r="A1097" s="101"/>
    </row>
    <row r="1098" spans="1:1" ht="9.75" customHeight="1">
      <c r="A1098" s="101"/>
    </row>
    <row r="1099" spans="1:1" ht="9.75" customHeight="1">
      <c r="A1099" s="101"/>
    </row>
    <row r="1100" spans="1:1" ht="9.75" customHeight="1">
      <c r="A1100" s="101"/>
    </row>
    <row r="1101" spans="1:1" ht="9.75" customHeight="1">
      <c r="A1101" s="101"/>
    </row>
    <row r="1102" spans="1:1" ht="9.75" customHeight="1">
      <c r="A1102" s="101"/>
    </row>
    <row r="1103" spans="1:1" ht="9.75" customHeight="1">
      <c r="A1103" s="101"/>
    </row>
    <row r="1104" spans="1:1" ht="9.75" customHeight="1">
      <c r="A1104" s="101"/>
    </row>
    <row r="1105" spans="1:1" ht="9.75" customHeight="1">
      <c r="A1105" s="101"/>
    </row>
    <row r="1106" spans="1:1" ht="9.75" customHeight="1">
      <c r="A1106" s="101"/>
    </row>
    <row r="1107" spans="1:1" ht="9.75" customHeight="1">
      <c r="A1107" s="101"/>
    </row>
    <row r="1108" spans="1:1" ht="9.75" customHeight="1">
      <c r="A1108" s="101"/>
    </row>
    <row r="1109" spans="1:1" ht="9.75" customHeight="1">
      <c r="A1109" s="101"/>
    </row>
    <row r="1110" spans="1:1" ht="9.75" customHeight="1">
      <c r="A1110" s="101"/>
    </row>
    <row r="1111" spans="1:1" ht="9.75" customHeight="1">
      <c r="A1111" s="101"/>
    </row>
    <row r="1112" spans="1:1" ht="9.75" customHeight="1">
      <c r="A1112" s="101"/>
    </row>
    <row r="1113" spans="1:1" ht="9.75" customHeight="1">
      <c r="A1113" s="101"/>
    </row>
    <row r="1114" spans="1:1" ht="9.75" customHeight="1">
      <c r="A1114" s="101"/>
    </row>
    <row r="1115" spans="1:1" ht="9.75" customHeight="1">
      <c r="A1115" s="101"/>
    </row>
    <row r="1116" spans="1:1" ht="9.75" customHeight="1">
      <c r="A1116" s="101"/>
    </row>
    <row r="1117" spans="1:1" ht="9.75" customHeight="1">
      <c r="A1117" s="101"/>
    </row>
    <row r="1118" spans="1:1" ht="9.75" customHeight="1">
      <c r="A1118" s="101"/>
    </row>
    <row r="1119" spans="1:1" ht="9.75" customHeight="1">
      <c r="A1119" s="101"/>
    </row>
    <row r="1120" spans="1:1" ht="9.75" customHeight="1">
      <c r="A1120" s="101"/>
    </row>
    <row r="1121" spans="1:1" ht="9.75" customHeight="1">
      <c r="A1121" s="101"/>
    </row>
    <row r="1122" spans="1:1" ht="9.75" customHeight="1">
      <c r="A1122" s="101"/>
    </row>
    <row r="1123" spans="1:1" ht="9.75" customHeight="1">
      <c r="A1123" s="101"/>
    </row>
    <row r="1124" spans="1:1" ht="9.75" customHeight="1">
      <c r="A1124" s="101"/>
    </row>
    <row r="1125" spans="1:1" ht="9.75" customHeight="1">
      <c r="A1125" s="101"/>
    </row>
    <row r="1126" spans="1:1" ht="9.75" customHeight="1">
      <c r="A1126" s="101"/>
    </row>
    <row r="1127" spans="1:1" ht="9.75" customHeight="1">
      <c r="A1127" s="101"/>
    </row>
    <row r="1128" spans="1:1" ht="9.75" customHeight="1">
      <c r="A1128" s="101"/>
    </row>
    <row r="1129" spans="1:1" ht="9.75" customHeight="1">
      <c r="A1129" s="101"/>
    </row>
    <row r="1130" spans="1:1" ht="9.75" customHeight="1">
      <c r="A1130" s="101"/>
    </row>
    <row r="1131" spans="1:1" ht="9.75" customHeight="1">
      <c r="A1131" s="101"/>
    </row>
    <row r="1132" spans="1:1" ht="9.75" customHeight="1">
      <c r="A1132" s="101"/>
    </row>
    <row r="1133" spans="1:1" ht="9.75" customHeight="1">
      <c r="A1133" s="101"/>
    </row>
    <row r="1134" spans="1:1" ht="9.75" customHeight="1">
      <c r="A1134" s="101"/>
    </row>
    <row r="1135" spans="1:1" ht="9.75" customHeight="1">
      <c r="A1135" s="101"/>
    </row>
    <row r="1136" spans="1:1" ht="9.75" customHeight="1">
      <c r="A1136" s="101"/>
    </row>
    <row r="1137" spans="1:1" ht="9.75" customHeight="1">
      <c r="A1137" s="101"/>
    </row>
    <row r="1138" spans="1:1" ht="9.75" customHeight="1">
      <c r="A1138" s="101"/>
    </row>
    <row r="1139" spans="1:1" ht="9.75" customHeight="1">
      <c r="A1139" s="101"/>
    </row>
    <row r="1140" spans="1:1" ht="9.75" customHeight="1">
      <c r="A1140" s="101"/>
    </row>
    <row r="1141" spans="1:1" ht="9.75" customHeight="1">
      <c r="A1141" s="101"/>
    </row>
    <row r="1142" spans="1:1" ht="9.75" customHeight="1">
      <c r="A1142" s="101"/>
    </row>
    <row r="1143" spans="1:1" ht="9.75" customHeight="1">
      <c r="A1143" s="101"/>
    </row>
    <row r="1144" spans="1:1" ht="9.75" customHeight="1">
      <c r="A1144" s="101"/>
    </row>
    <row r="1145" spans="1:1" ht="9.75" customHeight="1">
      <c r="A1145" s="101"/>
    </row>
    <row r="1146" spans="1:1" ht="9.75" customHeight="1">
      <c r="A1146" s="101"/>
    </row>
    <row r="1147" spans="1:1" ht="9.75" customHeight="1">
      <c r="A1147" s="101"/>
    </row>
    <row r="1148" spans="1:1" ht="9.75" customHeight="1">
      <c r="A1148" s="101"/>
    </row>
    <row r="1149" spans="1:1" ht="9.75" customHeight="1">
      <c r="A1149" s="101"/>
    </row>
    <row r="1150" spans="1:1" ht="9.75" customHeight="1">
      <c r="A1150" s="101"/>
    </row>
    <row r="1151" spans="1:1" ht="9.75" customHeight="1">
      <c r="A1151" s="101"/>
    </row>
    <row r="1152" spans="1:1" ht="9.75" customHeight="1">
      <c r="A1152" s="101"/>
    </row>
    <row r="1153" spans="1:1" ht="9.75" customHeight="1">
      <c r="A1153" s="101"/>
    </row>
    <row r="1154" spans="1:1" ht="9.75" customHeight="1">
      <c r="A1154" s="101"/>
    </row>
    <row r="1155" spans="1:1" ht="9.75" customHeight="1">
      <c r="A1155" s="101"/>
    </row>
    <row r="1156" spans="1:1" ht="9.75" customHeight="1">
      <c r="A1156" s="101"/>
    </row>
    <row r="1157" spans="1:1" ht="9.75" customHeight="1">
      <c r="A1157" s="101"/>
    </row>
    <row r="1158" spans="1:1" ht="9.75" customHeight="1">
      <c r="A1158" s="101"/>
    </row>
    <row r="1159" spans="1:1" ht="9.75" customHeight="1">
      <c r="A1159" s="101"/>
    </row>
    <row r="1160" spans="1:1" ht="9.75" customHeight="1">
      <c r="A1160" s="101"/>
    </row>
    <row r="1161" spans="1:1" ht="9.75" customHeight="1">
      <c r="A1161" s="101"/>
    </row>
    <row r="1162" spans="1:1" ht="9.75" customHeight="1">
      <c r="A1162" s="101"/>
    </row>
    <row r="1163" spans="1:1" ht="9.75" customHeight="1">
      <c r="A1163" s="101"/>
    </row>
    <row r="1164" spans="1:1" ht="9.75" customHeight="1">
      <c r="A1164" s="101"/>
    </row>
    <row r="1165" spans="1:1" ht="9.75" customHeight="1">
      <c r="A1165" s="101"/>
    </row>
    <row r="1166" spans="1:1" ht="9.75" customHeight="1">
      <c r="A1166" s="101"/>
    </row>
    <row r="1167" spans="1:1" ht="9.75" customHeight="1">
      <c r="A1167" s="101"/>
    </row>
    <row r="1168" spans="1:1" ht="9.75" customHeight="1">
      <c r="A1168" s="101"/>
    </row>
    <row r="1169" spans="1:1" ht="9.75" customHeight="1">
      <c r="A1169" s="101"/>
    </row>
    <row r="1170" spans="1:1" ht="9.75" customHeight="1">
      <c r="A1170" s="101"/>
    </row>
    <row r="1171" spans="1:1" ht="9.75" customHeight="1">
      <c r="A1171" s="101"/>
    </row>
    <row r="1172" spans="1:1" ht="9.75" customHeight="1">
      <c r="A1172" s="101"/>
    </row>
    <row r="1173" spans="1:1" ht="9.75" customHeight="1">
      <c r="A1173" s="101"/>
    </row>
    <row r="1174" spans="1:1" ht="9.75" customHeight="1">
      <c r="A1174" s="101"/>
    </row>
    <row r="1175" spans="1:1" ht="9.75" customHeight="1">
      <c r="A1175" s="101"/>
    </row>
    <row r="1176" spans="1:1" ht="9.75" customHeight="1">
      <c r="A1176" s="101"/>
    </row>
    <row r="1177" spans="1:1" ht="9.75" customHeight="1">
      <c r="A1177" s="101"/>
    </row>
    <row r="1178" spans="1:1" ht="9.75" customHeight="1">
      <c r="A1178" s="101"/>
    </row>
    <row r="1179" spans="1:1" ht="9.75" customHeight="1">
      <c r="A1179" s="101"/>
    </row>
    <row r="1180" spans="1:1" ht="9.75" customHeight="1">
      <c r="A1180" s="101"/>
    </row>
    <row r="1181" spans="1:1" ht="9.75" customHeight="1">
      <c r="A1181" s="101"/>
    </row>
    <row r="1182" spans="1:1" ht="9.75" customHeight="1">
      <c r="A1182" s="101"/>
    </row>
    <row r="1183" spans="1:1" ht="9.75" customHeight="1">
      <c r="A1183" s="101"/>
    </row>
    <row r="1184" spans="1:1" ht="9.75" customHeight="1">
      <c r="A1184" s="101"/>
    </row>
    <row r="1185" spans="1:1" ht="9.75" customHeight="1">
      <c r="A1185" s="101"/>
    </row>
    <row r="1186" spans="1:1" ht="9.75" customHeight="1">
      <c r="A1186" s="101"/>
    </row>
    <row r="1187" spans="1:1" ht="9.75" customHeight="1">
      <c r="A1187" s="101"/>
    </row>
    <row r="1188" spans="1:1" ht="9.75" customHeight="1">
      <c r="A1188" s="101"/>
    </row>
    <row r="1189" spans="1:1" ht="9.75" customHeight="1">
      <c r="A1189" s="101"/>
    </row>
    <row r="1190" spans="1:1" ht="9.75" customHeight="1">
      <c r="A1190" s="101"/>
    </row>
    <row r="1191" spans="1:1" ht="9.75" customHeight="1">
      <c r="A1191" s="101"/>
    </row>
    <row r="1192" spans="1:1" ht="9.75" customHeight="1">
      <c r="A1192" s="101"/>
    </row>
    <row r="1193" spans="1:1" ht="9.75" customHeight="1">
      <c r="A1193" s="101"/>
    </row>
    <row r="1194" spans="1:1" ht="9.75" customHeight="1">
      <c r="A1194" s="101"/>
    </row>
    <row r="1195" spans="1:1" ht="9.75" customHeight="1">
      <c r="A1195" s="101"/>
    </row>
    <row r="1196" spans="1:1" ht="9.75" customHeight="1">
      <c r="A1196" s="101"/>
    </row>
    <row r="1197" spans="1:1" ht="9.75" customHeight="1">
      <c r="A1197" s="101"/>
    </row>
    <row r="1198" spans="1:1" ht="9.75" customHeight="1">
      <c r="A1198" s="101"/>
    </row>
    <row r="1199" spans="1:1" ht="9.75" customHeight="1">
      <c r="A1199" s="101"/>
    </row>
    <row r="1200" spans="1:1" ht="9.75" customHeight="1">
      <c r="A1200" s="101"/>
    </row>
    <row r="1201" spans="1:1" ht="9.75" customHeight="1">
      <c r="A1201" s="101"/>
    </row>
    <row r="1202" spans="1:1" ht="9.75" customHeight="1">
      <c r="A1202" s="101"/>
    </row>
    <row r="1203" spans="1:1" ht="9.75" customHeight="1">
      <c r="A1203" s="101"/>
    </row>
    <row r="1204" spans="1:1" ht="9.75" customHeight="1">
      <c r="A1204" s="101"/>
    </row>
    <row r="1205" spans="1:1" ht="9.75" customHeight="1">
      <c r="A1205" s="101"/>
    </row>
    <row r="1206" spans="1:1" ht="9.75" customHeight="1">
      <c r="A1206" s="101"/>
    </row>
    <row r="1207" spans="1:1" ht="9.75" customHeight="1">
      <c r="A1207" s="101"/>
    </row>
    <row r="1208" spans="1:1" ht="9.75" customHeight="1">
      <c r="A1208" s="101"/>
    </row>
    <row r="1209" spans="1:1" ht="9.75" customHeight="1">
      <c r="A1209" s="101"/>
    </row>
    <row r="1210" spans="1:1" ht="9.75" customHeight="1">
      <c r="A1210" s="101"/>
    </row>
    <row r="1211" spans="1:1" ht="9.75" customHeight="1">
      <c r="A1211" s="101"/>
    </row>
    <row r="1212" spans="1:1" ht="9.75" customHeight="1">
      <c r="A1212" s="101"/>
    </row>
    <row r="1213" spans="1:1" ht="9.75" customHeight="1">
      <c r="A1213" s="101"/>
    </row>
    <row r="1214" spans="1:1" ht="9.75" customHeight="1">
      <c r="A1214" s="101"/>
    </row>
    <row r="1215" spans="1:1" ht="9.75" customHeight="1">
      <c r="A1215" s="101"/>
    </row>
    <row r="1216" spans="1:1" ht="9.75" customHeight="1">
      <c r="A1216" s="101"/>
    </row>
    <row r="1217" spans="1:1" ht="9.75" customHeight="1">
      <c r="A1217" s="101"/>
    </row>
    <row r="1218" spans="1:1" ht="9.75" customHeight="1">
      <c r="A1218" s="101"/>
    </row>
    <row r="1219" spans="1:1" ht="9.75" customHeight="1">
      <c r="A1219" s="101"/>
    </row>
    <row r="1220" spans="1:1" ht="9.75" customHeight="1">
      <c r="A1220" s="101"/>
    </row>
    <row r="1221" spans="1:1" ht="9.75" customHeight="1">
      <c r="A1221" s="101"/>
    </row>
    <row r="1222" spans="1:1" ht="9.75" customHeight="1">
      <c r="A1222" s="101"/>
    </row>
    <row r="1223" spans="1:1" ht="9.75" customHeight="1">
      <c r="A1223" s="101"/>
    </row>
    <row r="1224" spans="1:1" ht="9.75" customHeight="1">
      <c r="A1224" s="101"/>
    </row>
    <row r="1225" spans="1:1" ht="9.75" customHeight="1">
      <c r="A1225" s="101"/>
    </row>
    <row r="1226" spans="1:1" ht="9.75" customHeight="1">
      <c r="A1226" s="101"/>
    </row>
    <row r="1227" spans="1:1" ht="9.75" customHeight="1">
      <c r="A1227" s="101"/>
    </row>
    <row r="1228" spans="1:1" ht="9.75" customHeight="1">
      <c r="A1228" s="101"/>
    </row>
    <row r="1229" spans="1:1" ht="9.75" customHeight="1">
      <c r="A1229" s="101"/>
    </row>
    <row r="1230" spans="1:1" ht="9.75" customHeight="1">
      <c r="A1230" s="101"/>
    </row>
    <row r="1231" spans="1:1" ht="9.75" customHeight="1">
      <c r="A1231" s="101"/>
    </row>
    <row r="1232" spans="1:1" ht="9.75" customHeight="1">
      <c r="A1232" s="101"/>
    </row>
    <row r="1233" spans="1:1" ht="9.75" customHeight="1">
      <c r="A1233" s="101"/>
    </row>
    <row r="1234" spans="1:1" ht="9.75" customHeight="1">
      <c r="A1234" s="101"/>
    </row>
    <row r="1235" spans="1:1" ht="9.75" customHeight="1">
      <c r="A1235" s="101"/>
    </row>
    <row r="1236" spans="1:1" ht="9.75" customHeight="1">
      <c r="A1236" s="101"/>
    </row>
    <row r="1237" spans="1:1" ht="9.75" customHeight="1">
      <c r="A1237" s="101"/>
    </row>
    <row r="1238" spans="1:1" ht="9.75" customHeight="1">
      <c r="A1238" s="101"/>
    </row>
    <row r="1239" spans="1:1" ht="9.75" customHeight="1">
      <c r="A1239" s="101"/>
    </row>
    <row r="1240" spans="1:1" ht="9.75" customHeight="1">
      <c r="A1240" s="101"/>
    </row>
    <row r="1241" spans="1:1" ht="9.75" customHeight="1">
      <c r="A1241" s="101"/>
    </row>
    <row r="1242" spans="1:1" ht="9.75" customHeight="1">
      <c r="A1242" s="101"/>
    </row>
    <row r="1243" spans="1:1" ht="9.75" customHeight="1">
      <c r="A1243" s="101"/>
    </row>
    <row r="1244" spans="1:1" ht="9.75" customHeight="1">
      <c r="A1244" s="101"/>
    </row>
    <row r="1245" spans="1:1" ht="9.75" customHeight="1">
      <c r="A1245" s="101"/>
    </row>
    <row r="1246" spans="1:1" ht="9.75" customHeight="1">
      <c r="A1246" s="101"/>
    </row>
    <row r="1247" spans="1:1" ht="9.75" customHeight="1">
      <c r="A1247" s="101"/>
    </row>
    <row r="1248" spans="1:1" ht="9.75" customHeight="1">
      <c r="A1248" s="101"/>
    </row>
    <row r="1249" spans="1:1" ht="9.75" customHeight="1">
      <c r="A1249" s="101"/>
    </row>
    <row r="1250" spans="1:1" ht="9.75" customHeight="1">
      <c r="A1250" s="101"/>
    </row>
    <row r="1251" spans="1:1" ht="9.75" customHeight="1">
      <c r="A1251" s="101"/>
    </row>
    <row r="1252" spans="1:1" ht="9.75" customHeight="1">
      <c r="A1252" s="101"/>
    </row>
    <row r="1253" spans="1:1" ht="9.75" customHeight="1">
      <c r="A1253" s="101"/>
    </row>
    <row r="1254" spans="1:1" ht="9.75" customHeight="1">
      <c r="A1254" s="101"/>
    </row>
    <row r="1255" spans="1:1" ht="9.75" customHeight="1">
      <c r="A1255" s="101"/>
    </row>
    <row r="1256" spans="1:1" ht="9.75" customHeight="1">
      <c r="A1256" s="101"/>
    </row>
    <row r="1257" spans="1:1" ht="9.75" customHeight="1">
      <c r="A1257" s="101"/>
    </row>
    <row r="1258" spans="1:1" ht="9.75" customHeight="1">
      <c r="A1258" s="101"/>
    </row>
    <row r="1259" spans="1:1" ht="9.75" customHeight="1">
      <c r="A1259" s="101"/>
    </row>
    <row r="1260" spans="1:1" ht="9.75" customHeight="1">
      <c r="A1260" s="101"/>
    </row>
    <row r="1261" spans="1:1" ht="9.75" customHeight="1">
      <c r="A1261" s="101"/>
    </row>
    <row r="1262" spans="1:1" ht="9.75" customHeight="1">
      <c r="A1262" s="101"/>
    </row>
    <row r="1263" spans="1:1" ht="9.75" customHeight="1">
      <c r="A1263" s="101"/>
    </row>
    <row r="1264" spans="1:1" ht="9.75" customHeight="1">
      <c r="A1264" s="101"/>
    </row>
    <row r="1265" spans="1:1" ht="9.75" customHeight="1">
      <c r="A1265" s="101"/>
    </row>
    <row r="1266" spans="1:1" ht="9.75" customHeight="1">
      <c r="A1266" s="101"/>
    </row>
    <row r="1267" spans="1:1" ht="9.75" customHeight="1">
      <c r="A1267" s="101"/>
    </row>
    <row r="1268" spans="1:1" ht="9.75" customHeight="1">
      <c r="A1268" s="101"/>
    </row>
    <row r="1269" spans="1:1" ht="9.75" customHeight="1">
      <c r="A1269" s="101"/>
    </row>
    <row r="1270" spans="1:1" ht="9.75" customHeight="1">
      <c r="A1270" s="101"/>
    </row>
    <row r="1271" spans="1:1" ht="9.75" customHeight="1">
      <c r="A1271" s="101"/>
    </row>
    <row r="1272" spans="1:1" ht="9.75" customHeight="1">
      <c r="A1272" s="101"/>
    </row>
    <row r="1273" spans="1:1" ht="9.75" customHeight="1">
      <c r="A1273" s="101"/>
    </row>
    <row r="1274" spans="1:1" ht="9.75" customHeight="1">
      <c r="A1274" s="101"/>
    </row>
    <row r="1275" spans="1:1" ht="9.75" customHeight="1">
      <c r="A1275" s="101"/>
    </row>
    <row r="1276" spans="1:1" ht="9.75" customHeight="1">
      <c r="A1276" s="101"/>
    </row>
    <row r="1277" spans="1:1" ht="9.75" customHeight="1">
      <c r="A1277" s="101"/>
    </row>
    <row r="1278" spans="1:1" ht="9.75" customHeight="1">
      <c r="A1278" s="101"/>
    </row>
    <row r="1279" spans="1:1" ht="9.75" customHeight="1">
      <c r="A1279" s="101"/>
    </row>
    <row r="1280" spans="1:1" ht="9.75" customHeight="1">
      <c r="A1280" s="101"/>
    </row>
    <row r="1281" spans="1:1" ht="9.75" customHeight="1">
      <c r="A1281" s="101"/>
    </row>
    <row r="1282" spans="1:1" ht="9.75" customHeight="1">
      <c r="A1282" s="101"/>
    </row>
    <row r="1283" spans="1:1" ht="9.75" customHeight="1">
      <c r="A1283" s="101"/>
    </row>
    <row r="1284" spans="1:1" ht="9.75" customHeight="1">
      <c r="A1284" s="101"/>
    </row>
    <row r="1285" spans="1:1" ht="9.75" customHeight="1">
      <c r="A1285" s="101"/>
    </row>
    <row r="1286" spans="1:1" ht="9.75" customHeight="1">
      <c r="A1286" s="101"/>
    </row>
    <row r="1287" spans="1:1" ht="9.75" customHeight="1">
      <c r="A1287" s="101"/>
    </row>
    <row r="1288" spans="1:1" ht="9.75" customHeight="1">
      <c r="A1288" s="101"/>
    </row>
    <row r="1289" spans="1:1" ht="9.75" customHeight="1">
      <c r="A1289" s="101"/>
    </row>
    <row r="1290" spans="1:1" ht="9.75" customHeight="1">
      <c r="A1290" s="101"/>
    </row>
    <row r="1291" spans="1:1" ht="9.75" customHeight="1">
      <c r="A1291" s="101"/>
    </row>
    <row r="1292" spans="1:1" ht="9.75" customHeight="1">
      <c r="A1292" s="101"/>
    </row>
    <row r="1293" spans="1:1" ht="9.75" customHeight="1">
      <c r="A1293" s="101"/>
    </row>
    <row r="1294" spans="1:1" ht="9.75" customHeight="1">
      <c r="A1294" s="101"/>
    </row>
    <row r="1295" spans="1:1" ht="9.75" customHeight="1">
      <c r="A1295" s="101"/>
    </row>
    <row r="1296" spans="1:1" ht="9.75" customHeight="1">
      <c r="A1296" s="101"/>
    </row>
    <row r="1297" spans="1:1" ht="9.75" customHeight="1">
      <c r="A1297" s="101"/>
    </row>
    <row r="1298" spans="1:1" ht="9.75" customHeight="1">
      <c r="A1298" s="101"/>
    </row>
    <row r="1299" spans="1:1" ht="9.75" customHeight="1">
      <c r="A1299" s="101"/>
    </row>
    <row r="1300" spans="1:1" ht="9.75" customHeight="1">
      <c r="A1300" s="101"/>
    </row>
    <row r="1301" spans="1:1" ht="9.75" customHeight="1">
      <c r="A1301" s="101"/>
    </row>
    <row r="1302" spans="1:1" ht="9.75" customHeight="1">
      <c r="A1302" s="101"/>
    </row>
    <row r="1303" spans="1:1" ht="9.75" customHeight="1">
      <c r="A1303" s="101"/>
    </row>
    <row r="1304" spans="1:1" ht="9.75" customHeight="1">
      <c r="A1304" s="101"/>
    </row>
    <row r="1305" spans="1:1" ht="9.75" customHeight="1">
      <c r="A1305" s="101"/>
    </row>
    <row r="1306" spans="1:1" ht="9.75" customHeight="1">
      <c r="A1306" s="101"/>
    </row>
    <row r="1307" spans="1:1" ht="9.75" customHeight="1">
      <c r="A1307" s="101"/>
    </row>
    <row r="1308" spans="1:1" ht="9.75" customHeight="1">
      <c r="A1308" s="101"/>
    </row>
    <row r="1309" spans="1:1" ht="9.75" customHeight="1">
      <c r="A1309" s="101"/>
    </row>
    <row r="1310" spans="1:1" ht="9.75" customHeight="1">
      <c r="A1310" s="101"/>
    </row>
    <row r="1311" spans="1:1" ht="9.75" customHeight="1">
      <c r="A1311" s="101"/>
    </row>
    <row r="1312" spans="1:1" ht="9.75" customHeight="1">
      <c r="A1312" s="101"/>
    </row>
    <row r="1313" spans="1:1" ht="9.75" customHeight="1">
      <c r="A1313" s="101"/>
    </row>
    <row r="1314" spans="1:1" ht="9.75" customHeight="1">
      <c r="A1314" s="101"/>
    </row>
    <row r="1315" spans="1:1" ht="9.75" customHeight="1">
      <c r="A1315" s="101"/>
    </row>
    <row r="1316" spans="1:1" ht="9.75" customHeight="1">
      <c r="A1316" s="101"/>
    </row>
    <row r="1317" spans="1:1" ht="9.75" customHeight="1">
      <c r="A1317" s="101"/>
    </row>
    <row r="1318" spans="1:1" ht="9.75" customHeight="1">
      <c r="A1318" s="101"/>
    </row>
    <row r="1319" spans="1:1" ht="9.75" customHeight="1">
      <c r="A1319" s="101"/>
    </row>
    <row r="1320" spans="1:1" ht="9.75" customHeight="1">
      <c r="A1320" s="101"/>
    </row>
    <row r="1321" spans="1:1" ht="9.75" customHeight="1">
      <c r="A1321" s="101"/>
    </row>
    <row r="1322" spans="1:1" ht="9.75" customHeight="1">
      <c r="A1322" s="101"/>
    </row>
    <row r="1323" spans="1:1" ht="9.75" customHeight="1">
      <c r="A1323" s="101"/>
    </row>
    <row r="1324" spans="1:1" ht="9.75" customHeight="1">
      <c r="A1324" s="101"/>
    </row>
    <row r="1325" spans="1:1" ht="9.75" customHeight="1">
      <c r="A1325" s="101"/>
    </row>
    <row r="1326" spans="1:1" ht="9.75" customHeight="1">
      <c r="A1326" s="101"/>
    </row>
    <row r="1327" spans="1:1" ht="9.75" customHeight="1">
      <c r="A1327" s="101"/>
    </row>
    <row r="1328" spans="1:1" ht="9.75" customHeight="1">
      <c r="A1328" s="101"/>
    </row>
    <row r="1329" spans="1:1" ht="9.75" customHeight="1">
      <c r="A1329" s="101"/>
    </row>
    <row r="1330" spans="1:1" ht="9.75" customHeight="1">
      <c r="A1330" s="101"/>
    </row>
    <row r="1331" spans="1:1" ht="9.75" customHeight="1">
      <c r="A1331" s="101"/>
    </row>
    <row r="1332" spans="1:1" ht="9.75" customHeight="1">
      <c r="A1332" s="101"/>
    </row>
    <row r="1333" spans="1:1" ht="9.75" customHeight="1">
      <c r="A1333" s="101"/>
    </row>
    <row r="1334" spans="1:1" ht="9.75" customHeight="1">
      <c r="A1334" s="101"/>
    </row>
    <row r="1335" spans="1:1" ht="9.75" customHeight="1">
      <c r="A1335" s="101"/>
    </row>
    <row r="1336" spans="1:1" ht="9.75" customHeight="1">
      <c r="A1336" s="101"/>
    </row>
    <row r="1337" spans="1:1" ht="9.75" customHeight="1">
      <c r="A1337" s="101"/>
    </row>
    <row r="1338" spans="1:1" ht="9.75" customHeight="1">
      <c r="A1338" s="101"/>
    </row>
    <row r="1339" spans="1:1" ht="9.75" customHeight="1">
      <c r="A1339" s="101"/>
    </row>
    <row r="1340" spans="1:1" ht="9.75" customHeight="1">
      <c r="A1340" s="101"/>
    </row>
    <row r="1341" spans="1:1" ht="9.75" customHeight="1">
      <c r="A1341" s="101"/>
    </row>
    <row r="1342" spans="1:1" ht="9.75" customHeight="1">
      <c r="A1342" s="101"/>
    </row>
    <row r="1343" spans="1:1" ht="9.75" customHeight="1">
      <c r="A1343" s="101"/>
    </row>
    <row r="1344" spans="1:1" ht="9.75" customHeight="1">
      <c r="A1344" s="101"/>
    </row>
    <row r="1345" spans="1:1" ht="9.75" customHeight="1">
      <c r="A1345" s="101"/>
    </row>
    <row r="1346" spans="1:1" ht="9.75" customHeight="1">
      <c r="A1346" s="101"/>
    </row>
    <row r="1347" spans="1:1" ht="9.75" customHeight="1">
      <c r="A1347" s="101"/>
    </row>
    <row r="1348" spans="1:1" ht="9.75" customHeight="1">
      <c r="A1348" s="101"/>
    </row>
    <row r="1349" spans="1:1" ht="9.75" customHeight="1">
      <c r="A1349" s="101"/>
    </row>
    <row r="1350" spans="1:1" ht="9.75" customHeight="1">
      <c r="A1350" s="101"/>
    </row>
    <row r="1351" spans="1:1" ht="9.75" customHeight="1">
      <c r="A1351" s="101"/>
    </row>
    <row r="1352" spans="1:1" ht="9.75" customHeight="1">
      <c r="A1352" s="101"/>
    </row>
    <row r="1353" spans="1:1" ht="9.75" customHeight="1">
      <c r="A1353" s="101"/>
    </row>
    <row r="1354" spans="1:1" ht="9.75" customHeight="1">
      <c r="A1354" s="101"/>
    </row>
    <row r="1355" spans="1:1" ht="9.75" customHeight="1">
      <c r="A1355" s="101"/>
    </row>
    <row r="1356" spans="1:1" ht="9.75" customHeight="1">
      <c r="A1356" s="101"/>
    </row>
    <row r="1357" spans="1:1" ht="9.75" customHeight="1">
      <c r="A1357" s="101"/>
    </row>
    <row r="1358" spans="1:1" ht="9.75" customHeight="1">
      <c r="A1358" s="101"/>
    </row>
    <row r="1359" spans="1:1" ht="9.75" customHeight="1">
      <c r="A1359" s="101"/>
    </row>
    <row r="1360" spans="1:1" ht="9.75" customHeight="1">
      <c r="A1360" s="101"/>
    </row>
    <row r="1361" spans="1:1" ht="9.75" customHeight="1">
      <c r="A1361" s="101"/>
    </row>
    <row r="1362" spans="1:1" ht="9.75" customHeight="1">
      <c r="A1362" s="101"/>
    </row>
    <row r="1363" spans="1:1" ht="9.75" customHeight="1">
      <c r="A1363" s="101"/>
    </row>
    <row r="1364" spans="1:1" ht="9.75" customHeight="1">
      <c r="A1364" s="101"/>
    </row>
    <row r="1365" spans="1:1" ht="9.75" customHeight="1">
      <c r="A1365" s="101"/>
    </row>
    <row r="1366" spans="1:1" ht="9.75" customHeight="1">
      <c r="A1366" s="101"/>
    </row>
    <row r="1367" spans="1:1" ht="9.75" customHeight="1">
      <c r="A1367" s="101"/>
    </row>
    <row r="1368" spans="1:1" ht="9.75" customHeight="1">
      <c r="A1368" s="101"/>
    </row>
    <row r="1369" spans="1:1" ht="9.75" customHeight="1">
      <c r="A1369" s="101"/>
    </row>
    <row r="1370" spans="1:1" ht="9.75" customHeight="1">
      <c r="A1370" s="101"/>
    </row>
    <row r="1371" spans="1:1" ht="9.75" customHeight="1">
      <c r="A1371" s="101"/>
    </row>
    <row r="1372" spans="1:1" ht="9.75" customHeight="1">
      <c r="A1372" s="101"/>
    </row>
    <row r="1373" spans="1:1" ht="9.75" customHeight="1">
      <c r="A1373" s="101"/>
    </row>
    <row r="1374" spans="1:1" ht="9.75" customHeight="1">
      <c r="A1374" s="101"/>
    </row>
    <row r="1375" spans="1:1" ht="9.75" customHeight="1">
      <c r="A1375" s="101"/>
    </row>
    <row r="1376" spans="1:1" ht="9.75" customHeight="1">
      <c r="A1376" s="101"/>
    </row>
    <row r="1377" spans="1:1" ht="9.75" customHeight="1">
      <c r="A1377" s="101"/>
    </row>
    <row r="1378" spans="1:1" ht="9.75" customHeight="1">
      <c r="A1378" s="101"/>
    </row>
    <row r="1379" spans="1:1" ht="9.75" customHeight="1">
      <c r="A1379" s="101"/>
    </row>
    <row r="1380" spans="1:1" ht="9.75" customHeight="1">
      <c r="A1380" s="101"/>
    </row>
    <row r="1381" spans="1:1" ht="9.75" customHeight="1">
      <c r="A1381" s="101"/>
    </row>
    <row r="1382" spans="1:1" ht="9.75" customHeight="1">
      <c r="A1382" s="101"/>
    </row>
    <row r="1383" spans="1:1" ht="9.75" customHeight="1">
      <c r="A1383" s="101"/>
    </row>
    <row r="1384" spans="1:1" ht="9.75" customHeight="1">
      <c r="A1384" s="101"/>
    </row>
    <row r="1385" spans="1:1" ht="9.75" customHeight="1">
      <c r="A1385" s="101"/>
    </row>
    <row r="1386" spans="1:1" ht="9.75" customHeight="1">
      <c r="A1386" s="101"/>
    </row>
    <row r="1387" spans="1:1" ht="9.75" customHeight="1">
      <c r="A1387" s="101"/>
    </row>
    <row r="1388" spans="1:1" ht="9.75" customHeight="1">
      <c r="A1388" s="101"/>
    </row>
    <row r="1389" spans="1:1" ht="9.75" customHeight="1">
      <c r="A1389" s="101"/>
    </row>
    <row r="1390" spans="1:1" ht="9.75" customHeight="1">
      <c r="A1390" s="101"/>
    </row>
    <row r="1391" spans="1:1" ht="9.75" customHeight="1">
      <c r="A1391" s="101"/>
    </row>
    <row r="1392" spans="1:1" ht="9.75" customHeight="1">
      <c r="A1392" s="101"/>
    </row>
    <row r="1393" spans="1:1" ht="9.75" customHeight="1">
      <c r="A1393" s="101"/>
    </row>
    <row r="1394" spans="1:1" ht="9.75" customHeight="1">
      <c r="A1394" s="101"/>
    </row>
    <row r="1395" spans="1:1" ht="9.75" customHeight="1">
      <c r="A1395" s="101"/>
    </row>
    <row r="1396" spans="1:1" ht="9.75" customHeight="1">
      <c r="A1396" s="101"/>
    </row>
    <row r="1397" spans="1:1" ht="9.75" customHeight="1">
      <c r="A1397" s="101"/>
    </row>
    <row r="1398" spans="1:1" ht="9.75" customHeight="1">
      <c r="A1398" s="101"/>
    </row>
    <row r="1399" spans="1:1" ht="9.75" customHeight="1">
      <c r="A1399" s="101"/>
    </row>
    <row r="1400" spans="1:1" ht="9.75" customHeight="1">
      <c r="A1400" s="101"/>
    </row>
    <row r="1401" spans="1:1" ht="9.75" customHeight="1">
      <c r="A1401" s="101"/>
    </row>
    <row r="1402" spans="1:1" ht="9.75" customHeight="1">
      <c r="A1402" s="101"/>
    </row>
    <row r="1403" spans="1:1" ht="9.75" customHeight="1">
      <c r="A1403" s="101"/>
    </row>
    <row r="1404" spans="1:1" ht="9.75" customHeight="1">
      <c r="A1404" s="101"/>
    </row>
    <row r="1405" spans="1:1" ht="9.75" customHeight="1">
      <c r="A1405" s="101"/>
    </row>
    <row r="1406" spans="1:1" ht="9.75" customHeight="1">
      <c r="A1406" s="101"/>
    </row>
    <row r="1407" spans="1:1" ht="9.75" customHeight="1">
      <c r="A1407" s="101"/>
    </row>
    <row r="1408" spans="1:1" ht="9.75" customHeight="1">
      <c r="A1408" s="101"/>
    </row>
    <row r="1409" spans="1:1" ht="9.75" customHeight="1">
      <c r="A1409" s="101"/>
    </row>
    <row r="1410" spans="1:1" ht="9.75" customHeight="1">
      <c r="A1410" s="101"/>
    </row>
    <row r="1411" spans="1:1" ht="9.75" customHeight="1">
      <c r="A1411" s="101"/>
    </row>
    <row r="1412" spans="1:1" ht="9.75" customHeight="1">
      <c r="A1412" s="101"/>
    </row>
    <row r="1413" spans="1:1" ht="9.75" customHeight="1">
      <c r="A1413" s="101"/>
    </row>
    <row r="1414" spans="1:1" ht="9.75" customHeight="1">
      <c r="A1414" s="101"/>
    </row>
    <row r="1415" spans="1:1" ht="9.75" customHeight="1">
      <c r="A1415" s="101"/>
    </row>
    <row r="1416" spans="1:1" ht="9.75" customHeight="1">
      <c r="A1416" s="101"/>
    </row>
    <row r="1417" spans="1:1" ht="9.75" customHeight="1">
      <c r="A1417" s="101"/>
    </row>
    <row r="1418" spans="1:1" ht="9.75" customHeight="1">
      <c r="A1418" s="101"/>
    </row>
    <row r="1419" spans="1:1" ht="9.75" customHeight="1">
      <c r="A1419" s="101"/>
    </row>
    <row r="1420" spans="1:1" ht="9.75" customHeight="1">
      <c r="A1420" s="101"/>
    </row>
    <row r="1421" spans="1:1" ht="9.75" customHeight="1">
      <c r="A1421" s="101"/>
    </row>
    <row r="1422" spans="1:1" ht="9.75" customHeight="1">
      <c r="A1422" s="101"/>
    </row>
    <row r="1423" spans="1:1" ht="9.75" customHeight="1">
      <c r="A1423" s="101"/>
    </row>
    <row r="1424" spans="1:1" ht="9.75" customHeight="1">
      <c r="A1424" s="101"/>
    </row>
    <row r="1425" spans="1:1" ht="9.75" customHeight="1">
      <c r="A1425" s="101"/>
    </row>
    <row r="1426" spans="1:1" ht="9.75" customHeight="1">
      <c r="A1426" s="101"/>
    </row>
    <row r="1427" spans="1:1" ht="9.75" customHeight="1">
      <c r="A1427" s="101"/>
    </row>
    <row r="1428" spans="1:1" ht="9.75" customHeight="1">
      <c r="A1428" s="101"/>
    </row>
    <row r="1429" spans="1:1" ht="9.75" customHeight="1">
      <c r="A1429" s="101"/>
    </row>
    <row r="1430" spans="1:1" ht="9.75" customHeight="1">
      <c r="A1430" s="101"/>
    </row>
    <row r="1431" spans="1:1" ht="9.75" customHeight="1">
      <c r="A1431" s="101"/>
    </row>
    <row r="1432" spans="1:1" ht="9.75" customHeight="1">
      <c r="A1432" s="101"/>
    </row>
    <row r="1433" spans="1:1" ht="9.75" customHeight="1">
      <c r="A1433" s="101"/>
    </row>
    <row r="1434" spans="1:1" ht="9.75" customHeight="1">
      <c r="A1434" s="101"/>
    </row>
    <row r="1435" spans="1:1" ht="9.75" customHeight="1">
      <c r="A1435" s="101"/>
    </row>
    <row r="1436" spans="1:1" ht="9.75" customHeight="1">
      <c r="A1436" s="101"/>
    </row>
    <row r="1437" spans="1:1" ht="9.75" customHeight="1">
      <c r="A1437" s="101"/>
    </row>
    <row r="1438" spans="1:1" ht="9.75" customHeight="1">
      <c r="A1438" s="101"/>
    </row>
    <row r="1439" spans="1:1" ht="9.75" customHeight="1">
      <c r="A1439" s="101"/>
    </row>
    <row r="1440" spans="1:1" ht="9.75" customHeight="1">
      <c r="A1440" s="101"/>
    </row>
    <row r="1441" spans="1:1" ht="9.75" customHeight="1">
      <c r="A1441" s="101"/>
    </row>
    <row r="1442" spans="1:1" ht="9.75" customHeight="1">
      <c r="A1442" s="101"/>
    </row>
    <row r="1443" spans="1:1" ht="9.75" customHeight="1">
      <c r="A1443" s="101"/>
    </row>
    <row r="1444" spans="1:1" ht="9.75" customHeight="1">
      <c r="A1444" s="101"/>
    </row>
    <row r="1445" spans="1:1" ht="9.75" customHeight="1">
      <c r="A1445" s="101"/>
    </row>
    <row r="1446" spans="1:1" ht="9.75" customHeight="1">
      <c r="A1446" s="101"/>
    </row>
    <row r="1447" spans="1:1" ht="9.75" customHeight="1">
      <c r="A1447" s="101"/>
    </row>
    <row r="1448" spans="1:1" ht="9.75" customHeight="1">
      <c r="A1448" s="101"/>
    </row>
    <row r="1449" spans="1:1" ht="9.75" customHeight="1">
      <c r="A1449" s="101"/>
    </row>
    <row r="1450" spans="1:1" ht="9.75" customHeight="1">
      <c r="A1450" s="101"/>
    </row>
    <row r="1451" spans="1:1" ht="9.75" customHeight="1">
      <c r="A1451" s="101"/>
    </row>
    <row r="1452" spans="1:1" ht="9.75" customHeight="1">
      <c r="A1452" s="101"/>
    </row>
    <row r="1453" spans="1:1" ht="9.75" customHeight="1">
      <c r="A1453" s="101"/>
    </row>
    <row r="1454" spans="1:1" ht="9.75" customHeight="1">
      <c r="A1454" s="101"/>
    </row>
    <row r="1455" spans="1:1" ht="9.75" customHeight="1">
      <c r="A1455" s="101"/>
    </row>
    <row r="1456" spans="1:1" ht="9.75" customHeight="1">
      <c r="A1456" s="101"/>
    </row>
    <row r="1457" spans="1:1" ht="9.75" customHeight="1">
      <c r="A1457" s="101"/>
    </row>
    <row r="1458" spans="1:1" ht="9.75" customHeight="1">
      <c r="A1458" s="101"/>
    </row>
    <row r="1459" spans="1:1" ht="9.75" customHeight="1">
      <c r="A1459" s="101"/>
    </row>
    <row r="1460" spans="1:1" ht="9.75" customHeight="1">
      <c r="A1460" s="101"/>
    </row>
    <row r="1461" spans="1:1" ht="9.75" customHeight="1">
      <c r="A1461" s="101"/>
    </row>
    <row r="1462" spans="1:1" ht="9.75" customHeight="1">
      <c r="A1462" s="101"/>
    </row>
    <row r="1463" spans="1:1" ht="9.75" customHeight="1">
      <c r="A1463" s="101"/>
    </row>
    <row r="1464" spans="1:1" ht="9.75" customHeight="1">
      <c r="A1464" s="101"/>
    </row>
    <row r="1465" spans="1:1" ht="9.75" customHeight="1">
      <c r="A1465" s="101"/>
    </row>
    <row r="1466" spans="1:1" ht="9.75" customHeight="1">
      <c r="A1466" s="101"/>
    </row>
    <row r="1467" spans="1:1" ht="9.75" customHeight="1">
      <c r="A1467" s="101"/>
    </row>
    <row r="1468" spans="1:1" ht="9.75" customHeight="1">
      <c r="A1468" s="101"/>
    </row>
    <row r="1469" spans="1:1" ht="9.75" customHeight="1">
      <c r="A1469" s="101"/>
    </row>
    <row r="1470" spans="1:1" ht="9.75" customHeight="1">
      <c r="A1470" s="101"/>
    </row>
    <row r="1471" spans="1:1" ht="9.75" customHeight="1">
      <c r="A1471" s="101"/>
    </row>
    <row r="1472" spans="1:1" ht="9.75" customHeight="1">
      <c r="A1472" s="101"/>
    </row>
    <row r="1473" spans="1:1" ht="9.75" customHeight="1">
      <c r="A1473" s="101"/>
    </row>
    <row r="1474" spans="1:1" ht="9.75" customHeight="1">
      <c r="A1474" s="101"/>
    </row>
    <row r="1475" spans="1:1" ht="9.75" customHeight="1">
      <c r="A1475" s="101"/>
    </row>
    <row r="1476" spans="1:1" ht="9.75" customHeight="1">
      <c r="A1476" s="101"/>
    </row>
    <row r="1477" spans="1:1" ht="9.75" customHeight="1">
      <c r="A1477" s="101"/>
    </row>
    <row r="1478" spans="1:1" ht="9.75" customHeight="1">
      <c r="A1478" s="101"/>
    </row>
    <row r="1479" spans="1:1" ht="9.75" customHeight="1">
      <c r="A1479" s="101"/>
    </row>
    <row r="1480" spans="1:1" ht="9.75" customHeight="1">
      <c r="A1480" s="101"/>
    </row>
    <row r="1481" spans="1:1" ht="9.75" customHeight="1">
      <c r="A1481" s="101"/>
    </row>
    <row r="1482" spans="1:1" ht="9.75" customHeight="1">
      <c r="A1482" s="101"/>
    </row>
    <row r="1483" spans="1:1" ht="9.75" customHeight="1">
      <c r="A1483" s="101"/>
    </row>
    <row r="1484" spans="1:1" ht="9.75" customHeight="1">
      <c r="A1484" s="101"/>
    </row>
    <row r="1485" spans="1:1" ht="9.75" customHeight="1">
      <c r="A1485" s="101"/>
    </row>
    <row r="1486" spans="1:1" ht="9.75" customHeight="1">
      <c r="A1486" s="101"/>
    </row>
    <row r="1487" spans="1:1" ht="9.75" customHeight="1">
      <c r="A1487" s="101"/>
    </row>
    <row r="1488" spans="1:1" ht="9.75" customHeight="1">
      <c r="A1488" s="101"/>
    </row>
    <row r="1489" spans="1:1" ht="9.75" customHeight="1">
      <c r="A1489" s="101"/>
    </row>
    <row r="1490" spans="1:1" ht="9.75" customHeight="1">
      <c r="A1490" s="101"/>
    </row>
    <row r="1491" spans="1:1" ht="9.75" customHeight="1">
      <c r="A1491" s="101"/>
    </row>
    <row r="1492" spans="1:1" ht="9.75" customHeight="1">
      <c r="A1492" s="101"/>
    </row>
    <row r="1493" spans="1:1" ht="9.75" customHeight="1">
      <c r="A1493" s="101"/>
    </row>
    <row r="1494" spans="1:1" ht="9.75" customHeight="1">
      <c r="A1494" s="101"/>
    </row>
    <row r="1495" spans="1:1" ht="9.75" customHeight="1">
      <c r="A1495" s="101"/>
    </row>
    <row r="1496" spans="1:1" ht="9.75" customHeight="1">
      <c r="A1496" s="101"/>
    </row>
    <row r="1497" spans="1:1" ht="9.75" customHeight="1">
      <c r="A1497" s="101"/>
    </row>
    <row r="1498" spans="1:1" ht="9.75" customHeight="1">
      <c r="A1498" s="101"/>
    </row>
    <row r="1499" spans="1:1" ht="9.75" customHeight="1">
      <c r="A1499" s="101"/>
    </row>
    <row r="1500" spans="1:1" ht="9.75" customHeight="1">
      <c r="A1500" s="101"/>
    </row>
    <row r="1501" spans="1:1" ht="9.75" customHeight="1">
      <c r="A1501" s="101"/>
    </row>
    <row r="1502" spans="1:1" ht="9.75" customHeight="1">
      <c r="A1502" s="101"/>
    </row>
    <row r="1503" spans="1:1" ht="9.75" customHeight="1">
      <c r="A1503" s="101"/>
    </row>
    <row r="1504" spans="1:1" ht="9.75" customHeight="1">
      <c r="A1504" s="101"/>
    </row>
    <row r="1505" spans="1:1" ht="9.75" customHeight="1">
      <c r="A1505" s="101"/>
    </row>
    <row r="1506" spans="1:1" ht="9.75" customHeight="1">
      <c r="A1506" s="101"/>
    </row>
    <row r="1507" spans="1:1" ht="9.75" customHeight="1">
      <c r="A1507" s="101"/>
    </row>
    <row r="1508" spans="1:1" ht="9.75" customHeight="1">
      <c r="A1508" s="101"/>
    </row>
    <row r="1509" spans="1:1" ht="9.75" customHeight="1">
      <c r="A1509" s="101"/>
    </row>
    <row r="1510" spans="1:1" ht="9.75" customHeight="1">
      <c r="A1510" s="101"/>
    </row>
    <row r="1511" spans="1:1" ht="9.75" customHeight="1">
      <c r="A1511" s="101"/>
    </row>
    <row r="1512" spans="1:1" ht="9.75" customHeight="1">
      <c r="A1512" s="101"/>
    </row>
    <row r="1513" spans="1:1" ht="9.75" customHeight="1">
      <c r="A1513" s="101"/>
    </row>
    <row r="1514" spans="1:1" ht="9.75" customHeight="1">
      <c r="A1514" s="101"/>
    </row>
    <row r="1515" spans="1:1" ht="9.75" customHeight="1">
      <c r="A1515" s="101"/>
    </row>
    <row r="1516" spans="1:1" ht="9.75" customHeight="1">
      <c r="A1516" s="101"/>
    </row>
    <row r="1517" spans="1:1" ht="9.75" customHeight="1">
      <c r="A1517" s="101"/>
    </row>
    <row r="1518" spans="1:1" ht="9.75" customHeight="1">
      <c r="A1518" s="101"/>
    </row>
    <row r="1519" spans="1:1" ht="9.75" customHeight="1">
      <c r="A1519" s="101"/>
    </row>
    <row r="1520" spans="1:1" ht="9.75" customHeight="1">
      <c r="A1520" s="101"/>
    </row>
    <row r="1521" spans="1:1" ht="9.75" customHeight="1">
      <c r="A1521" s="101"/>
    </row>
    <row r="1522" spans="1:1" ht="9.75" customHeight="1">
      <c r="A1522" s="101"/>
    </row>
    <row r="1523" spans="1:1" ht="9.75" customHeight="1">
      <c r="A1523" s="101"/>
    </row>
    <row r="1524" spans="1:1" ht="9.75" customHeight="1">
      <c r="A1524" s="101"/>
    </row>
    <row r="1525" spans="1:1" ht="9.75" customHeight="1">
      <c r="A1525" s="101"/>
    </row>
    <row r="1526" spans="1:1" ht="9.75" customHeight="1">
      <c r="A1526" s="101"/>
    </row>
    <row r="1527" spans="1:1" ht="9.75" customHeight="1">
      <c r="A1527" s="101"/>
    </row>
    <row r="1528" spans="1:1" ht="9.75" customHeight="1">
      <c r="A1528" s="101"/>
    </row>
    <row r="1529" spans="1:1" ht="9.75" customHeight="1">
      <c r="A1529" s="101"/>
    </row>
    <row r="1530" spans="1:1" ht="9.75" customHeight="1">
      <c r="A1530" s="101"/>
    </row>
    <row r="1531" spans="1:1" ht="9.75" customHeight="1">
      <c r="A1531" s="101"/>
    </row>
    <row r="1532" spans="1:1" ht="9.75" customHeight="1">
      <c r="A1532" s="101"/>
    </row>
    <row r="1533" spans="1:1" ht="9.75" customHeight="1">
      <c r="A1533" s="101"/>
    </row>
    <row r="1534" spans="1:1" ht="9.75" customHeight="1">
      <c r="A1534" s="101"/>
    </row>
    <row r="1535" spans="1:1" ht="9.75" customHeight="1">
      <c r="A1535" s="101"/>
    </row>
    <row r="1536" spans="1:1" ht="9.75" customHeight="1">
      <c r="A1536" s="101"/>
    </row>
    <row r="1537" spans="1:1" ht="9.75" customHeight="1">
      <c r="A1537" s="101"/>
    </row>
    <row r="1538" spans="1:1" ht="9.75" customHeight="1">
      <c r="A1538" s="101"/>
    </row>
    <row r="1539" spans="1:1" ht="9.75" customHeight="1">
      <c r="A1539" s="101"/>
    </row>
    <row r="1540" spans="1:1" ht="9.75" customHeight="1">
      <c r="A1540" s="101"/>
    </row>
    <row r="1541" spans="1:1" ht="9.75" customHeight="1">
      <c r="A1541" s="101"/>
    </row>
    <row r="1542" spans="1:1" ht="9.75" customHeight="1">
      <c r="A1542" s="101"/>
    </row>
    <row r="1543" spans="1:1" ht="9.75" customHeight="1">
      <c r="A1543" s="101"/>
    </row>
    <row r="1544" spans="1:1" ht="9.75" customHeight="1">
      <c r="A1544" s="101"/>
    </row>
    <row r="1545" spans="1:1" ht="9.75" customHeight="1">
      <c r="A1545" s="101"/>
    </row>
    <row r="1546" spans="1:1" ht="9.75" customHeight="1">
      <c r="A1546" s="101"/>
    </row>
    <row r="1547" spans="1:1" ht="9.75" customHeight="1">
      <c r="A1547" s="101"/>
    </row>
    <row r="1548" spans="1:1" ht="9.75" customHeight="1">
      <c r="A1548" s="101"/>
    </row>
    <row r="1549" spans="1:1" ht="9.75" customHeight="1">
      <c r="A1549" s="101"/>
    </row>
    <row r="1550" spans="1:1" ht="9.75" customHeight="1">
      <c r="A1550" s="101"/>
    </row>
    <row r="1551" spans="1:1" ht="9.75" customHeight="1">
      <c r="A1551" s="101"/>
    </row>
    <row r="1552" spans="1:1" ht="9.75" customHeight="1">
      <c r="A1552" s="101"/>
    </row>
    <row r="1553" spans="1:1" ht="9.75" customHeight="1">
      <c r="A1553" s="101"/>
    </row>
    <row r="1554" spans="1:1" ht="9.75" customHeight="1">
      <c r="A1554" s="101"/>
    </row>
    <row r="1555" spans="1:1" ht="9.75" customHeight="1">
      <c r="A1555" s="101"/>
    </row>
    <row r="1556" spans="1:1" ht="9.75" customHeight="1">
      <c r="A1556" s="101"/>
    </row>
    <row r="1557" spans="1:1" ht="9.75" customHeight="1">
      <c r="A1557" s="101"/>
    </row>
    <row r="1558" spans="1:1" ht="9.75" customHeight="1">
      <c r="A1558" s="101"/>
    </row>
    <row r="1559" spans="1:1" ht="9.75" customHeight="1">
      <c r="A1559" s="101"/>
    </row>
    <row r="1560" spans="1:1" ht="9.75" customHeight="1">
      <c r="A1560" s="101"/>
    </row>
    <row r="1561" spans="1:1" ht="9.75" customHeight="1">
      <c r="A1561" s="101"/>
    </row>
    <row r="1562" spans="1:1" ht="9.75" customHeight="1">
      <c r="A1562" s="101"/>
    </row>
    <row r="1563" spans="1:1" ht="9.75" customHeight="1">
      <c r="A1563" s="101"/>
    </row>
    <row r="1564" spans="1:1" ht="9.75" customHeight="1">
      <c r="A1564" s="101"/>
    </row>
    <row r="1565" spans="1:1" ht="9.75" customHeight="1">
      <c r="A1565" s="101"/>
    </row>
    <row r="1566" spans="1:1" ht="9.75" customHeight="1">
      <c r="A1566" s="101"/>
    </row>
    <row r="1567" spans="1:1" ht="9.75" customHeight="1">
      <c r="A1567" s="101"/>
    </row>
    <row r="1568" spans="1:1" ht="9.75" customHeight="1">
      <c r="A1568" s="101"/>
    </row>
    <row r="1569" spans="1:1" ht="9.75" customHeight="1">
      <c r="A1569" s="101"/>
    </row>
    <row r="1570" spans="1:1" ht="9.75" customHeight="1">
      <c r="A1570" s="101"/>
    </row>
    <row r="1571" spans="1:1" ht="9.75" customHeight="1">
      <c r="A1571" s="101"/>
    </row>
    <row r="1572" spans="1:1" ht="9.75" customHeight="1">
      <c r="A1572" s="101"/>
    </row>
    <row r="1573" spans="1:1" ht="9.75" customHeight="1">
      <c r="A1573" s="101"/>
    </row>
    <row r="1574" spans="1:1" ht="9.75" customHeight="1">
      <c r="A1574" s="101"/>
    </row>
    <row r="1575" spans="1:1" ht="9.75" customHeight="1">
      <c r="A1575" s="101"/>
    </row>
    <row r="1576" spans="1:1" ht="9.75" customHeight="1">
      <c r="A1576" s="101"/>
    </row>
    <row r="1577" spans="1:1" ht="9.75" customHeight="1">
      <c r="A1577" s="101"/>
    </row>
    <row r="1578" spans="1:1" ht="9.75" customHeight="1">
      <c r="A1578" s="101"/>
    </row>
    <row r="1579" spans="1:1" ht="9.75" customHeight="1">
      <c r="A1579" s="101"/>
    </row>
    <row r="1580" spans="1:1" ht="9.75" customHeight="1">
      <c r="A1580" s="101"/>
    </row>
    <row r="1581" spans="1:1" ht="9.75" customHeight="1">
      <c r="A1581" s="101"/>
    </row>
    <row r="1582" spans="1:1" ht="9.75" customHeight="1">
      <c r="A1582" s="101"/>
    </row>
    <row r="1583" spans="1:1" ht="9.75" customHeight="1">
      <c r="A1583" s="101"/>
    </row>
    <row r="1584" spans="1:1" ht="9.75" customHeight="1">
      <c r="A1584" s="101"/>
    </row>
    <row r="1585" spans="1:1" ht="9.75" customHeight="1">
      <c r="A1585" s="101"/>
    </row>
    <row r="1586" spans="1:1" ht="9.75" customHeight="1">
      <c r="A1586" s="101"/>
    </row>
    <row r="1587" spans="1:1" ht="9.75" customHeight="1">
      <c r="A1587" s="101"/>
    </row>
    <row r="1588" spans="1:1" ht="9.75" customHeight="1">
      <c r="A1588" s="101"/>
    </row>
    <row r="1589" spans="1:1" ht="9.75" customHeight="1">
      <c r="A1589" s="101"/>
    </row>
    <row r="1590" spans="1:1" ht="9.75" customHeight="1">
      <c r="A1590" s="101"/>
    </row>
    <row r="1591" spans="1:1" ht="9.75" customHeight="1">
      <c r="A1591" s="101"/>
    </row>
    <row r="1592" spans="1:1" ht="9.75" customHeight="1">
      <c r="A1592" s="101"/>
    </row>
    <row r="1593" spans="1:1" ht="9.75" customHeight="1">
      <c r="A1593" s="101"/>
    </row>
    <row r="1594" spans="1:1" ht="9.75" customHeight="1">
      <c r="A1594" s="101"/>
    </row>
    <row r="1595" spans="1:1" ht="9.75" customHeight="1">
      <c r="A1595" s="101"/>
    </row>
    <row r="1596" spans="1:1" ht="9.75" customHeight="1">
      <c r="A1596" s="101"/>
    </row>
    <row r="1597" spans="1:1" ht="9.75" customHeight="1">
      <c r="A1597" s="101"/>
    </row>
    <row r="1598" spans="1:1" ht="9.75" customHeight="1">
      <c r="A1598" s="101"/>
    </row>
    <row r="1599" spans="1:1" ht="9.75" customHeight="1">
      <c r="A1599" s="101"/>
    </row>
    <row r="1600" spans="1:1" ht="9.75" customHeight="1">
      <c r="A1600" s="101"/>
    </row>
    <row r="1601" spans="1:1" ht="9.75" customHeight="1">
      <c r="A1601" s="101"/>
    </row>
    <row r="1602" spans="1:1" ht="9.75" customHeight="1">
      <c r="A1602" s="101"/>
    </row>
    <row r="1603" spans="1:1" ht="9.75" customHeight="1">
      <c r="A1603" s="101"/>
    </row>
    <row r="1604" spans="1:1" ht="9.75" customHeight="1">
      <c r="A1604" s="101"/>
    </row>
    <row r="1605" spans="1:1" ht="9.75" customHeight="1">
      <c r="A1605" s="101"/>
    </row>
    <row r="1606" spans="1:1" ht="9.75" customHeight="1">
      <c r="A1606" s="101"/>
    </row>
    <row r="1607" spans="1:1" ht="9.75" customHeight="1">
      <c r="A1607" s="101"/>
    </row>
    <row r="1608" spans="1:1" ht="9.75" customHeight="1">
      <c r="A1608" s="101"/>
    </row>
    <row r="1609" spans="1:1" ht="9.75" customHeight="1">
      <c r="A1609" s="101"/>
    </row>
    <row r="1610" spans="1:1" ht="9.75" customHeight="1">
      <c r="A1610" s="101"/>
    </row>
    <row r="1611" spans="1:1" ht="9.75" customHeight="1">
      <c r="A1611" s="101"/>
    </row>
    <row r="1612" spans="1:1" ht="9.75" customHeight="1">
      <c r="A1612" s="101"/>
    </row>
    <row r="1613" spans="1:1" ht="9.75" customHeight="1">
      <c r="A1613" s="101"/>
    </row>
    <row r="1614" spans="1:1" ht="9.75" customHeight="1">
      <c r="A1614" s="101"/>
    </row>
    <row r="1615" spans="1:1" ht="9.75" customHeight="1">
      <c r="A1615" s="101"/>
    </row>
    <row r="1616" spans="1:1" ht="9.75" customHeight="1">
      <c r="A1616" s="101"/>
    </row>
    <row r="1617" spans="1:1" ht="9.75" customHeight="1">
      <c r="A1617" s="101"/>
    </row>
    <row r="1618" spans="1:1" ht="9.75" customHeight="1">
      <c r="A1618" s="101"/>
    </row>
    <row r="1619" spans="1:1" ht="9.75" customHeight="1">
      <c r="A1619" s="101"/>
    </row>
    <row r="1620" spans="1:1" ht="9.75" customHeight="1">
      <c r="A1620" s="101"/>
    </row>
    <row r="1621" spans="1:1" ht="9.75" customHeight="1">
      <c r="A1621" s="101"/>
    </row>
    <row r="1622" spans="1:1" ht="9.75" customHeight="1">
      <c r="A1622" s="101"/>
    </row>
    <row r="1623" spans="1:1" ht="9.75" customHeight="1">
      <c r="A1623" s="101"/>
    </row>
    <row r="1624" spans="1:1" ht="9.75" customHeight="1">
      <c r="A1624" s="101"/>
    </row>
    <row r="1625" spans="1:1" ht="9.75" customHeight="1">
      <c r="A1625" s="101"/>
    </row>
    <row r="1626" spans="1:1" ht="9.75" customHeight="1">
      <c r="A1626" s="101"/>
    </row>
    <row r="1627" spans="1:1" ht="9.75" customHeight="1">
      <c r="A1627" s="101"/>
    </row>
    <row r="1628" spans="1:1" ht="9.75" customHeight="1">
      <c r="A1628" s="101"/>
    </row>
    <row r="1629" spans="1:1" ht="9.75" customHeight="1">
      <c r="A1629" s="101"/>
    </row>
    <row r="1630" spans="1:1" ht="9.75" customHeight="1">
      <c r="A1630" s="101"/>
    </row>
    <row r="1631" spans="1:1" ht="9.75" customHeight="1">
      <c r="A1631" s="101"/>
    </row>
    <row r="1632" spans="1:1" ht="9.75" customHeight="1">
      <c r="A1632" s="101"/>
    </row>
    <row r="1633" spans="1:1" ht="9.75" customHeight="1">
      <c r="A1633" s="101"/>
    </row>
    <row r="1634" spans="1:1" ht="9.75" customHeight="1">
      <c r="A1634" s="101"/>
    </row>
    <row r="1635" spans="1:1" ht="9.75" customHeight="1">
      <c r="A1635" s="101"/>
    </row>
    <row r="1636" spans="1:1" ht="9.75" customHeight="1">
      <c r="A1636" s="101"/>
    </row>
    <row r="1637" spans="1:1" ht="9.75" customHeight="1">
      <c r="A1637" s="101"/>
    </row>
    <row r="1638" spans="1:1" ht="9.75" customHeight="1">
      <c r="A1638" s="101"/>
    </row>
    <row r="1639" spans="1:1" ht="9.75" customHeight="1">
      <c r="A1639" s="101"/>
    </row>
    <row r="1640" spans="1:1" ht="9.75" customHeight="1">
      <c r="A1640" s="101"/>
    </row>
    <row r="1641" spans="1:1" ht="9.75" customHeight="1">
      <c r="A1641" s="101"/>
    </row>
    <row r="1642" spans="1:1" ht="9.75" customHeight="1">
      <c r="A1642" s="101"/>
    </row>
    <row r="1643" spans="1:1" ht="9.75" customHeight="1">
      <c r="A1643" s="101"/>
    </row>
    <row r="1644" spans="1:1" ht="9.75" customHeight="1">
      <c r="A1644" s="101"/>
    </row>
    <row r="1645" spans="1:1" ht="9.75" customHeight="1">
      <c r="A1645" s="101"/>
    </row>
    <row r="1646" spans="1:1" ht="9.75" customHeight="1">
      <c r="A1646" s="101"/>
    </row>
    <row r="1647" spans="1:1" ht="9.75" customHeight="1">
      <c r="A1647" s="101"/>
    </row>
    <row r="1648" spans="1:1" ht="9.75" customHeight="1">
      <c r="A1648" s="101"/>
    </row>
    <row r="1649" spans="1:1" ht="9.75" customHeight="1">
      <c r="A1649" s="101"/>
    </row>
    <row r="1650" spans="1:1" ht="9.75" customHeight="1">
      <c r="A1650" s="101"/>
    </row>
    <row r="1651" spans="1:1" ht="9.75" customHeight="1">
      <c r="A1651" s="101"/>
    </row>
    <row r="1652" spans="1:1" ht="9.75" customHeight="1">
      <c r="A1652" s="101"/>
    </row>
    <row r="1653" spans="1:1" ht="9.75" customHeight="1">
      <c r="A1653" s="101"/>
    </row>
    <row r="1654" spans="1:1" ht="9.75" customHeight="1">
      <c r="A1654" s="101"/>
    </row>
    <row r="1655" spans="1:1" ht="9.75" customHeight="1">
      <c r="A1655" s="101"/>
    </row>
    <row r="1656" spans="1:1" ht="9.75" customHeight="1">
      <c r="A1656" s="101"/>
    </row>
    <row r="1657" spans="1:1" ht="9.75" customHeight="1">
      <c r="A1657" s="101"/>
    </row>
    <row r="1658" spans="1:1" ht="9.75" customHeight="1">
      <c r="A1658" s="101"/>
    </row>
    <row r="1659" spans="1:1" ht="9.75" customHeight="1">
      <c r="A1659" s="101"/>
    </row>
    <row r="1660" spans="1:1" ht="9.75" customHeight="1">
      <c r="A1660" s="101"/>
    </row>
    <row r="1661" spans="1:1" ht="9.75" customHeight="1">
      <c r="A1661" s="101"/>
    </row>
    <row r="1662" spans="1:1" ht="9.75" customHeight="1">
      <c r="A1662" s="101"/>
    </row>
    <row r="1663" spans="1:1" ht="9.75" customHeight="1">
      <c r="A1663" s="101"/>
    </row>
    <row r="1664" spans="1:1" ht="9.75" customHeight="1">
      <c r="A1664" s="101"/>
    </row>
    <row r="1665" spans="1:1" ht="9.75" customHeight="1">
      <c r="A1665" s="101"/>
    </row>
    <row r="1666" spans="1:1" ht="9.75" customHeight="1">
      <c r="A1666" s="101"/>
    </row>
    <row r="1667" spans="1:1" ht="9.75" customHeight="1">
      <c r="A1667" s="101"/>
    </row>
    <row r="1668" spans="1:1" ht="9.75" customHeight="1">
      <c r="A1668" s="101"/>
    </row>
    <row r="1669" spans="1:1" ht="9.75" customHeight="1">
      <c r="A1669" s="101"/>
    </row>
    <row r="1670" spans="1:1" ht="9.75" customHeight="1">
      <c r="A1670" s="101"/>
    </row>
    <row r="1671" spans="1:1" ht="9.75" customHeight="1">
      <c r="A1671" s="101"/>
    </row>
    <row r="1672" spans="1:1" ht="9.75" customHeight="1">
      <c r="A1672" s="101"/>
    </row>
    <row r="1673" spans="1:1" ht="9.75" customHeight="1">
      <c r="A1673" s="101"/>
    </row>
    <row r="1674" spans="1:1" ht="9.75" customHeight="1">
      <c r="A1674" s="101"/>
    </row>
    <row r="1675" spans="1:1" ht="9.75" customHeight="1">
      <c r="A1675" s="101"/>
    </row>
    <row r="1676" spans="1:1" ht="9.75" customHeight="1">
      <c r="A1676" s="101"/>
    </row>
    <row r="1677" spans="1:1" ht="9.75" customHeight="1">
      <c r="A1677" s="101"/>
    </row>
    <row r="1678" spans="1:1" ht="9.75" customHeight="1">
      <c r="A1678" s="101"/>
    </row>
    <row r="1679" spans="1:1" ht="9.75" customHeight="1">
      <c r="A1679" s="101"/>
    </row>
    <row r="1680" spans="1:1" ht="9.75" customHeight="1">
      <c r="A1680" s="101"/>
    </row>
    <row r="1681" spans="1:1" ht="9.75" customHeight="1">
      <c r="A1681" s="101"/>
    </row>
    <row r="1682" spans="1:1" ht="9.75" customHeight="1">
      <c r="A1682" s="101"/>
    </row>
    <row r="1683" spans="1:1" ht="9.75" customHeight="1">
      <c r="A1683" s="101"/>
    </row>
    <row r="1684" spans="1:1" ht="9.75" customHeight="1">
      <c r="A1684" s="101"/>
    </row>
    <row r="1685" spans="1:1" ht="9.75" customHeight="1">
      <c r="A1685" s="101"/>
    </row>
    <row r="1686" spans="1:1" ht="9.75" customHeight="1">
      <c r="A1686" s="101"/>
    </row>
    <row r="1687" spans="1:1" ht="9.75" customHeight="1">
      <c r="A1687" s="101"/>
    </row>
    <row r="1688" spans="1:1" ht="9.75" customHeight="1">
      <c r="A1688" s="101"/>
    </row>
    <row r="1689" spans="1:1" ht="9.75" customHeight="1">
      <c r="A1689" s="101"/>
    </row>
    <row r="1690" spans="1:1" ht="9.75" customHeight="1">
      <c r="A1690" s="101"/>
    </row>
    <row r="1691" spans="1:1" ht="9.75" customHeight="1">
      <c r="A1691" s="101"/>
    </row>
    <row r="1692" spans="1:1" ht="9.75" customHeight="1">
      <c r="A1692" s="101"/>
    </row>
    <row r="1693" spans="1:1" ht="9.75" customHeight="1">
      <c r="A1693" s="101"/>
    </row>
    <row r="1694" spans="1:1" ht="9.75" customHeight="1">
      <c r="A1694" s="101"/>
    </row>
    <row r="1695" spans="1:1" ht="9.75" customHeight="1">
      <c r="A1695" s="101"/>
    </row>
    <row r="1696" spans="1:1" ht="9.75" customHeight="1">
      <c r="A1696" s="101"/>
    </row>
    <row r="1697" spans="1:1" ht="9.75" customHeight="1">
      <c r="A1697" s="101"/>
    </row>
    <row r="1698" spans="1:1" ht="9.75" customHeight="1">
      <c r="A1698" s="101"/>
    </row>
    <row r="1699" spans="1:1" ht="9.75" customHeight="1">
      <c r="A1699" s="101"/>
    </row>
    <row r="1700" spans="1:1" ht="9.75" customHeight="1">
      <c r="A1700" s="101"/>
    </row>
    <row r="1701" spans="1:1" ht="9.75" customHeight="1">
      <c r="A1701" s="101"/>
    </row>
    <row r="1702" spans="1:1" ht="9.75" customHeight="1">
      <c r="A1702" s="101"/>
    </row>
    <row r="1703" spans="1:1" ht="9.75" customHeight="1">
      <c r="A1703" s="101"/>
    </row>
    <row r="1704" spans="1:1" ht="9.75" customHeight="1">
      <c r="A1704" s="101"/>
    </row>
    <row r="1705" spans="1:1" ht="9.75" customHeight="1">
      <c r="A1705" s="101"/>
    </row>
    <row r="1706" spans="1:1" ht="9.75" customHeight="1">
      <c r="A1706" s="101"/>
    </row>
    <row r="1707" spans="1:1" ht="9.75" customHeight="1">
      <c r="A1707" s="101"/>
    </row>
    <row r="1708" spans="1:1" ht="9.75" customHeight="1">
      <c r="A1708" s="101"/>
    </row>
    <row r="1709" spans="1:1" ht="9.75" customHeight="1">
      <c r="A1709" s="101"/>
    </row>
    <row r="1710" spans="1:1" ht="9.75" customHeight="1">
      <c r="A1710" s="101"/>
    </row>
    <row r="1711" spans="1:1" ht="9.75" customHeight="1">
      <c r="A1711" s="101"/>
    </row>
    <row r="1712" spans="1:1" ht="9.75" customHeight="1">
      <c r="A1712" s="101"/>
    </row>
    <row r="1713" spans="1:1" ht="9.75" customHeight="1">
      <c r="A1713" s="101"/>
    </row>
    <row r="1714" spans="1:1" ht="9.75" customHeight="1">
      <c r="A1714" s="101"/>
    </row>
    <row r="1715" spans="1:1" ht="9.75" customHeight="1">
      <c r="A1715" s="101"/>
    </row>
    <row r="1716" spans="1:1" ht="9.75" customHeight="1">
      <c r="A1716" s="101"/>
    </row>
    <row r="1717" spans="1:1" ht="9.75" customHeight="1">
      <c r="A1717" s="101"/>
    </row>
    <row r="1718" spans="1:1" ht="9.75" customHeight="1">
      <c r="A1718" s="101"/>
    </row>
    <row r="1719" spans="1:1" ht="9.75" customHeight="1">
      <c r="A1719" s="101"/>
    </row>
    <row r="1720" spans="1:1" ht="9.75" customHeight="1">
      <c r="A1720" s="101"/>
    </row>
    <row r="1721" spans="1:1" ht="9.75" customHeight="1">
      <c r="A1721" s="101"/>
    </row>
    <row r="1722" spans="1:1" ht="9.75" customHeight="1">
      <c r="A1722" s="101"/>
    </row>
    <row r="1723" spans="1:1" ht="9.75" customHeight="1">
      <c r="A1723" s="101"/>
    </row>
    <row r="1724" spans="1:1" ht="9.75" customHeight="1">
      <c r="A1724" s="101"/>
    </row>
    <row r="1725" spans="1:1" ht="9.75" customHeight="1">
      <c r="A1725" s="101"/>
    </row>
    <row r="1726" spans="1:1" ht="9.75" customHeight="1">
      <c r="A1726" s="101"/>
    </row>
    <row r="1727" spans="1:1" ht="9.75" customHeight="1">
      <c r="A1727" s="101"/>
    </row>
    <row r="1728" spans="1:1" ht="9.75" customHeight="1">
      <c r="A1728" s="101"/>
    </row>
    <row r="1729" spans="1:1" ht="9.75" customHeight="1">
      <c r="A1729" s="101"/>
    </row>
    <row r="1730" spans="1:1" ht="9.75" customHeight="1">
      <c r="A1730" s="101"/>
    </row>
    <row r="1731" spans="1:1" ht="9.75" customHeight="1">
      <c r="A1731" s="101"/>
    </row>
    <row r="1732" spans="1:1" ht="9.75" customHeight="1">
      <c r="A1732" s="101"/>
    </row>
    <row r="1733" spans="1:1" ht="9.75" customHeight="1">
      <c r="A1733" s="101"/>
    </row>
    <row r="1734" spans="1:1" ht="9.75" customHeight="1">
      <c r="A1734" s="101"/>
    </row>
    <row r="1735" spans="1:1" ht="9.75" customHeight="1">
      <c r="A1735" s="101"/>
    </row>
    <row r="1736" spans="1:1" ht="9.75" customHeight="1">
      <c r="A1736" s="101"/>
    </row>
    <row r="1737" spans="1:1" ht="9.75" customHeight="1">
      <c r="A1737" s="101"/>
    </row>
    <row r="1738" spans="1:1" ht="9.75" customHeight="1">
      <c r="A1738" s="101"/>
    </row>
    <row r="1739" spans="1:1" ht="9.75" customHeight="1">
      <c r="A1739" s="101"/>
    </row>
    <row r="1740" spans="1:1" ht="9.75" customHeight="1">
      <c r="A1740" s="101"/>
    </row>
    <row r="1741" spans="1:1" ht="9.75" customHeight="1">
      <c r="A1741" s="101"/>
    </row>
    <row r="1742" spans="1:1" ht="9.75" customHeight="1">
      <c r="A1742" s="101"/>
    </row>
    <row r="1743" spans="1:1" ht="9.75" customHeight="1">
      <c r="A1743" s="101"/>
    </row>
    <row r="1744" spans="1:1" ht="9.75" customHeight="1">
      <c r="A1744" s="101"/>
    </row>
    <row r="1745" spans="1:1" ht="9.75" customHeight="1">
      <c r="A1745" s="101"/>
    </row>
    <row r="1746" spans="1:1" ht="9.75" customHeight="1">
      <c r="A1746" s="101"/>
    </row>
    <row r="1747" spans="1:1" ht="9.75" customHeight="1">
      <c r="A1747" s="101"/>
    </row>
    <row r="1748" spans="1:1" ht="9.75" customHeight="1">
      <c r="A1748" s="101"/>
    </row>
    <row r="1749" spans="1:1" ht="9.75" customHeight="1">
      <c r="A1749" s="101"/>
    </row>
    <row r="1750" spans="1:1" ht="9.75" customHeight="1">
      <c r="A1750" s="101"/>
    </row>
    <row r="1751" spans="1:1" ht="9.75" customHeight="1">
      <c r="A1751" s="101"/>
    </row>
    <row r="1752" spans="1:1" ht="9.75" customHeight="1">
      <c r="A1752" s="101"/>
    </row>
    <row r="1753" spans="1:1" ht="9.75" customHeight="1">
      <c r="A1753" s="101"/>
    </row>
    <row r="1754" spans="1:1" ht="9.75" customHeight="1">
      <c r="A1754" s="101"/>
    </row>
    <row r="1755" spans="1:1" ht="9.75" customHeight="1">
      <c r="A1755" s="101"/>
    </row>
    <row r="1756" spans="1:1" ht="9.75" customHeight="1">
      <c r="A1756" s="101"/>
    </row>
    <row r="1757" spans="1:1" ht="9.75" customHeight="1">
      <c r="A1757" s="101"/>
    </row>
    <row r="1758" spans="1:1" ht="9.75" customHeight="1">
      <c r="A1758" s="101"/>
    </row>
    <row r="1759" spans="1:1" ht="9.75" customHeight="1">
      <c r="A1759" s="101"/>
    </row>
    <row r="1760" spans="1:1" ht="9.75" customHeight="1">
      <c r="A1760" s="101"/>
    </row>
    <row r="1761" spans="1:1" ht="9.75" customHeight="1">
      <c r="A1761" s="101"/>
    </row>
    <row r="1762" spans="1:1" ht="9.75" customHeight="1">
      <c r="A1762" s="101"/>
    </row>
    <row r="1763" spans="1:1" ht="9.75" customHeight="1">
      <c r="A1763" s="101"/>
    </row>
    <row r="1764" spans="1:1" ht="9.75" customHeight="1">
      <c r="A1764" s="101"/>
    </row>
    <row r="1765" spans="1:1" ht="9.75" customHeight="1">
      <c r="A1765" s="101"/>
    </row>
    <row r="1766" spans="1:1" ht="9.75" customHeight="1">
      <c r="A1766" s="101"/>
    </row>
    <row r="1767" spans="1:1" ht="9.75" customHeight="1">
      <c r="A1767" s="101"/>
    </row>
    <row r="1768" spans="1:1" ht="9.75" customHeight="1">
      <c r="A1768" s="101"/>
    </row>
    <row r="1769" spans="1:1" ht="9.75" customHeight="1">
      <c r="A1769" s="101"/>
    </row>
    <row r="1770" spans="1:1" ht="9.75" customHeight="1">
      <c r="A1770" s="101"/>
    </row>
    <row r="1771" spans="1:1" ht="9.75" customHeight="1">
      <c r="A1771" s="101"/>
    </row>
    <row r="1772" spans="1:1" ht="9.75" customHeight="1">
      <c r="A1772" s="101"/>
    </row>
    <row r="1773" spans="1:1" ht="9.75" customHeight="1">
      <c r="A1773" s="101"/>
    </row>
    <row r="1774" spans="1:1" ht="9.75" customHeight="1">
      <c r="A1774" s="101"/>
    </row>
    <row r="1775" spans="1:1" ht="9.75" customHeight="1">
      <c r="A1775" s="101"/>
    </row>
    <row r="1776" spans="1:1" ht="9.75" customHeight="1">
      <c r="A1776" s="101"/>
    </row>
    <row r="1777" spans="1:1" ht="9.75" customHeight="1">
      <c r="A1777" s="101"/>
    </row>
    <row r="1778" spans="1:1" ht="9.75" customHeight="1">
      <c r="A1778" s="101"/>
    </row>
    <row r="1779" spans="1:1" ht="9.75" customHeight="1">
      <c r="A1779" s="101"/>
    </row>
    <row r="1780" spans="1:1" ht="9.75" customHeight="1">
      <c r="A1780" s="101"/>
    </row>
    <row r="1781" spans="1:1" ht="9.75" customHeight="1">
      <c r="A1781" s="101"/>
    </row>
    <row r="1782" spans="1:1" ht="9.75" customHeight="1">
      <c r="A1782" s="101"/>
    </row>
    <row r="1783" spans="1:1" ht="9.75" customHeight="1">
      <c r="A1783" s="101"/>
    </row>
    <row r="1784" spans="1:1" ht="9.75" customHeight="1">
      <c r="A1784" s="101"/>
    </row>
    <row r="1785" spans="1:1" ht="9.75" customHeight="1">
      <c r="A1785" s="101"/>
    </row>
    <row r="1786" spans="1:1" ht="9.75" customHeight="1">
      <c r="A1786" s="101"/>
    </row>
    <row r="1787" spans="1:1" ht="9.75" customHeight="1">
      <c r="A1787" s="101"/>
    </row>
    <row r="1788" spans="1:1" ht="9.75" customHeight="1">
      <c r="A1788" s="101"/>
    </row>
    <row r="1789" spans="1:1" ht="9.75" customHeight="1">
      <c r="A1789" s="101"/>
    </row>
    <row r="1790" spans="1:1" ht="9.75" customHeight="1">
      <c r="A1790" s="101"/>
    </row>
    <row r="1791" spans="1:1" ht="9.75" customHeight="1">
      <c r="A1791" s="101"/>
    </row>
    <row r="1792" spans="1:1" ht="9.75" customHeight="1">
      <c r="A1792" s="101"/>
    </row>
    <row r="1793" spans="1:1" ht="9.75" customHeight="1">
      <c r="A1793" s="101"/>
    </row>
    <row r="1794" spans="1:1" ht="9.75" customHeight="1">
      <c r="A1794" s="101"/>
    </row>
    <row r="1795" spans="1:1" ht="9.75" customHeight="1">
      <c r="A1795" s="101"/>
    </row>
    <row r="1796" spans="1:1" ht="9.75" customHeight="1">
      <c r="A1796" s="101"/>
    </row>
    <row r="1797" spans="1:1" ht="9.75" customHeight="1">
      <c r="A1797" s="101"/>
    </row>
    <row r="1798" spans="1:1" ht="9.75" customHeight="1">
      <c r="A1798" s="101"/>
    </row>
    <row r="1799" spans="1:1" ht="9.75" customHeight="1">
      <c r="A1799" s="101"/>
    </row>
    <row r="1800" spans="1:1" ht="9.75" customHeight="1">
      <c r="A1800" s="101"/>
    </row>
    <row r="1801" spans="1:1" ht="9.75" customHeight="1">
      <c r="A1801" s="101"/>
    </row>
    <row r="1802" spans="1:1" ht="9.75" customHeight="1">
      <c r="A1802" s="101"/>
    </row>
    <row r="1803" spans="1:1" ht="9.75" customHeight="1">
      <c r="A1803" s="101"/>
    </row>
    <row r="1804" spans="1:1" ht="9.75" customHeight="1">
      <c r="A1804" s="101"/>
    </row>
    <row r="1805" spans="1:1" ht="9.75" customHeight="1">
      <c r="A1805" s="101"/>
    </row>
    <row r="1806" spans="1:1" ht="9.75" customHeight="1">
      <c r="A1806" s="101"/>
    </row>
    <row r="1807" spans="1:1" ht="9.75" customHeight="1">
      <c r="A1807" s="101"/>
    </row>
    <row r="1808" spans="1:1" ht="9.75" customHeight="1">
      <c r="A1808" s="101"/>
    </row>
    <row r="1809" spans="1:1" ht="9.75" customHeight="1">
      <c r="A1809" s="101"/>
    </row>
    <row r="1810" spans="1:1" ht="9.75" customHeight="1">
      <c r="A1810" s="101"/>
    </row>
    <row r="1811" spans="1:1" ht="9.75" customHeight="1">
      <c r="A1811" s="101"/>
    </row>
    <row r="1812" spans="1:1" ht="9.75" customHeight="1">
      <c r="A1812" s="101"/>
    </row>
    <row r="1813" spans="1:1" ht="9.75" customHeight="1">
      <c r="A1813" s="101"/>
    </row>
    <row r="1814" spans="1:1" ht="9.75" customHeight="1">
      <c r="A1814" s="101"/>
    </row>
    <row r="1815" spans="1:1" ht="9.75" customHeight="1">
      <c r="A1815" s="101"/>
    </row>
    <row r="1816" spans="1:1" ht="9.75" customHeight="1">
      <c r="A1816" s="101"/>
    </row>
    <row r="1817" spans="1:1" ht="9.75" customHeight="1">
      <c r="A1817" s="101"/>
    </row>
    <row r="1818" spans="1:1" ht="9.75" customHeight="1">
      <c r="A1818" s="101"/>
    </row>
    <row r="1819" spans="1:1" ht="9.75" customHeight="1">
      <c r="A1819" s="101"/>
    </row>
    <row r="1820" spans="1:1" ht="9.75" customHeight="1">
      <c r="A1820" s="101"/>
    </row>
    <row r="1821" spans="1:1" ht="9.75" customHeight="1">
      <c r="A1821" s="101"/>
    </row>
    <row r="1822" spans="1:1" ht="9.75" customHeight="1">
      <c r="A1822" s="101"/>
    </row>
    <row r="1823" spans="1:1" ht="9.75" customHeight="1">
      <c r="A1823" s="101"/>
    </row>
    <row r="1824" spans="1:1" ht="9.75" customHeight="1">
      <c r="A1824" s="101"/>
    </row>
    <row r="1825" spans="1:1" ht="9.75" customHeight="1">
      <c r="A1825" s="101"/>
    </row>
    <row r="1826" spans="1:1" ht="9.75" customHeight="1">
      <c r="A1826" s="101"/>
    </row>
    <row r="1827" spans="1:1" ht="9.75" customHeight="1">
      <c r="A1827" s="101"/>
    </row>
    <row r="1828" spans="1:1" ht="9.75" customHeight="1">
      <c r="A1828" s="101"/>
    </row>
    <row r="1829" spans="1:1" ht="9.75" customHeight="1">
      <c r="A1829" s="101"/>
    </row>
    <row r="1830" spans="1:1" ht="9.75" customHeight="1">
      <c r="A1830" s="101"/>
    </row>
    <row r="1831" spans="1:1" ht="9.75" customHeight="1">
      <c r="A1831" s="101"/>
    </row>
    <row r="1832" spans="1:1" ht="9.75" customHeight="1">
      <c r="A1832" s="101"/>
    </row>
    <row r="1833" spans="1:1" ht="9.75" customHeight="1">
      <c r="A1833" s="101"/>
    </row>
    <row r="1834" spans="1:1" ht="9.75" customHeight="1">
      <c r="A1834" s="101"/>
    </row>
    <row r="1835" spans="1:1" ht="9.75" customHeight="1">
      <c r="A1835" s="101"/>
    </row>
    <row r="1836" spans="1:1" ht="9.75" customHeight="1">
      <c r="A1836" s="101"/>
    </row>
    <row r="1837" spans="1:1" ht="9.75" customHeight="1">
      <c r="A1837" s="101"/>
    </row>
    <row r="1838" spans="1:1" ht="9.75" customHeight="1">
      <c r="A1838" s="101"/>
    </row>
    <row r="1839" spans="1:1" ht="9.75" customHeight="1">
      <c r="A1839" s="101"/>
    </row>
    <row r="1840" spans="1:1" ht="9.75" customHeight="1">
      <c r="A1840" s="101"/>
    </row>
    <row r="1841" spans="1:1" ht="9.75" customHeight="1">
      <c r="A1841" s="101"/>
    </row>
    <row r="1842" spans="1:1" ht="9.75" customHeight="1">
      <c r="A1842" s="101"/>
    </row>
    <row r="1843" spans="1:1" ht="9.75" customHeight="1">
      <c r="A1843" s="101"/>
    </row>
    <row r="1844" spans="1:1" ht="9.75" customHeight="1">
      <c r="A1844" s="101"/>
    </row>
    <row r="1845" spans="1:1" ht="9.75" customHeight="1">
      <c r="A1845" s="101"/>
    </row>
    <row r="1846" spans="1:1" ht="9.75" customHeight="1">
      <c r="A1846" s="101"/>
    </row>
    <row r="1847" spans="1:1" ht="9.75" customHeight="1">
      <c r="A1847" s="101"/>
    </row>
    <row r="1848" spans="1:1" ht="9.75" customHeight="1">
      <c r="A1848" s="101"/>
    </row>
    <row r="1849" spans="1:1" ht="9.75" customHeight="1">
      <c r="A1849" s="101"/>
    </row>
    <row r="1850" spans="1:1" ht="9.75" customHeight="1">
      <c r="A1850" s="101"/>
    </row>
    <row r="1851" spans="1:1" ht="9.75" customHeight="1">
      <c r="A1851" s="101"/>
    </row>
    <row r="1852" spans="1:1" ht="9.75" customHeight="1">
      <c r="A1852" s="101"/>
    </row>
    <row r="1853" spans="1:1" ht="9.75" customHeight="1">
      <c r="A1853" s="101"/>
    </row>
    <row r="1854" spans="1:1" ht="9.75" customHeight="1">
      <c r="A1854" s="101"/>
    </row>
    <row r="1855" spans="1:1" ht="9.75" customHeight="1">
      <c r="A1855" s="101"/>
    </row>
    <row r="1856" spans="1:1" ht="9.75" customHeight="1">
      <c r="A1856" s="101"/>
    </row>
    <row r="1857" spans="1:1" ht="9.75" customHeight="1">
      <c r="A1857" s="101"/>
    </row>
    <row r="1858" spans="1:1" ht="9.75" customHeight="1">
      <c r="A1858" s="101"/>
    </row>
    <row r="1859" spans="1:1" ht="9.75" customHeight="1">
      <c r="A1859" s="101"/>
    </row>
    <row r="1860" spans="1:1" ht="9.75" customHeight="1">
      <c r="A1860" s="101"/>
    </row>
    <row r="1861" spans="1:1" ht="9.75" customHeight="1">
      <c r="A1861" s="101"/>
    </row>
    <row r="1862" spans="1:1" ht="9.75" customHeight="1">
      <c r="A1862" s="101"/>
    </row>
    <row r="1863" spans="1:1" ht="9.75" customHeight="1">
      <c r="A1863" s="101"/>
    </row>
    <row r="1864" spans="1:1" ht="9.75" customHeight="1">
      <c r="A1864" s="101"/>
    </row>
    <row r="1865" spans="1:1" ht="9.75" customHeight="1">
      <c r="A1865" s="101"/>
    </row>
    <row r="1866" spans="1:1" ht="9.75" customHeight="1">
      <c r="A1866" s="101"/>
    </row>
    <row r="1867" spans="1:1" ht="9.75" customHeight="1">
      <c r="A1867" s="101"/>
    </row>
    <row r="1868" spans="1:1" ht="9.75" customHeight="1">
      <c r="A1868" s="101"/>
    </row>
    <row r="1869" spans="1:1" ht="9.75" customHeight="1">
      <c r="A1869" s="101"/>
    </row>
    <row r="1870" spans="1:1" ht="9.75" customHeight="1">
      <c r="A1870" s="101"/>
    </row>
    <row r="1871" spans="1:1" ht="9.75" customHeight="1">
      <c r="A1871" s="101"/>
    </row>
    <row r="1872" spans="1:1" ht="9.75" customHeight="1">
      <c r="A1872" s="101"/>
    </row>
    <row r="1873" spans="1:1" ht="9.75" customHeight="1">
      <c r="A1873" s="101"/>
    </row>
    <row r="1874" spans="1:1" ht="9.75" customHeight="1">
      <c r="A1874" s="101"/>
    </row>
    <row r="1875" spans="1:1" ht="9.75" customHeight="1">
      <c r="A1875" s="101"/>
    </row>
    <row r="1876" spans="1:1" ht="9.75" customHeight="1">
      <c r="A1876" s="101"/>
    </row>
    <row r="1877" spans="1:1" ht="9.75" customHeight="1">
      <c r="A1877" s="101"/>
    </row>
    <row r="1878" spans="1:1" ht="9.75" customHeight="1">
      <c r="A1878" s="101"/>
    </row>
    <row r="1879" spans="1:1" ht="9.75" customHeight="1">
      <c r="A1879" s="101"/>
    </row>
    <row r="1880" spans="1:1" ht="9.75" customHeight="1">
      <c r="A1880" s="101"/>
    </row>
    <row r="1881" spans="1:1" ht="9.75" customHeight="1">
      <c r="A1881" s="101"/>
    </row>
    <row r="1882" spans="1:1" ht="9.75" customHeight="1">
      <c r="A1882" s="101"/>
    </row>
    <row r="1883" spans="1:1" ht="9.75" customHeight="1">
      <c r="A1883" s="101"/>
    </row>
    <row r="1884" spans="1:1" ht="9.75" customHeight="1">
      <c r="A1884" s="101"/>
    </row>
    <row r="1885" spans="1:1" ht="9.75" customHeight="1">
      <c r="A1885" s="101"/>
    </row>
    <row r="1886" spans="1:1" ht="9.75" customHeight="1">
      <c r="A1886" s="101"/>
    </row>
    <row r="1887" spans="1:1" ht="9.75" customHeight="1">
      <c r="A1887" s="101"/>
    </row>
    <row r="1888" spans="1:1" ht="9.75" customHeight="1">
      <c r="A1888" s="101"/>
    </row>
    <row r="1889" spans="1:1" ht="9.75" customHeight="1">
      <c r="A1889" s="101"/>
    </row>
    <row r="1890" spans="1:1" ht="9.75" customHeight="1">
      <c r="A1890" s="101"/>
    </row>
    <row r="1891" spans="1:1" ht="9.75" customHeight="1">
      <c r="A1891" s="101"/>
    </row>
    <row r="1892" spans="1:1" ht="9.75" customHeight="1">
      <c r="A1892" s="101"/>
    </row>
    <row r="1893" spans="1:1" ht="9.75" customHeight="1">
      <c r="A1893" s="101"/>
    </row>
    <row r="1894" spans="1:1" ht="9.75" customHeight="1">
      <c r="A1894" s="101"/>
    </row>
    <row r="1895" spans="1:1" ht="9.75" customHeight="1">
      <c r="A1895" s="101"/>
    </row>
    <row r="1896" spans="1:1" ht="9.75" customHeight="1">
      <c r="A1896" s="101"/>
    </row>
    <row r="1897" spans="1:1" ht="9.75" customHeight="1">
      <c r="A1897" s="101"/>
    </row>
    <row r="1898" spans="1:1" ht="9.75" customHeight="1">
      <c r="A1898" s="101"/>
    </row>
    <row r="1899" spans="1:1" ht="9.75" customHeight="1">
      <c r="A1899" s="101"/>
    </row>
    <row r="1900" spans="1:1" ht="9.75" customHeight="1">
      <c r="A1900" s="101"/>
    </row>
    <row r="1901" spans="1:1" ht="9.75" customHeight="1">
      <c r="A1901" s="101"/>
    </row>
    <row r="1902" spans="1:1" ht="9.75" customHeight="1">
      <c r="A1902" s="101"/>
    </row>
    <row r="1903" spans="1:1" ht="9.75" customHeight="1">
      <c r="A1903" s="101"/>
    </row>
    <row r="1904" spans="1:1" ht="9.75" customHeight="1">
      <c r="A1904" s="101"/>
    </row>
    <row r="1905" spans="1:1" ht="9.75" customHeight="1">
      <c r="A1905" s="101"/>
    </row>
    <row r="1906" spans="1:1" ht="9.75" customHeight="1">
      <c r="A1906" s="101"/>
    </row>
    <row r="1907" spans="1:1" ht="9.75" customHeight="1">
      <c r="A1907" s="101"/>
    </row>
    <row r="1908" spans="1:1" ht="9.75" customHeight="1">
      <c r="A1908" s="101"/>
    </row>
    <row r="1909" spans="1:1" ht="9.75" customHeight="1">
      <c r="A1909" s="101"/>
    </row>
    <row r="1910" spans="1:1" ht="9.75" customHeight="1">
      <c r="A1910" s="101"/>
    </row>
    <row r="1911" spans="1:1" ht="9.75" customHeight="1">
      <c r="A1911" s="101"/>
    </row>
    <row r="1912" spans="1:1" ht="9.75" customHeight="1">
      <c r="A1912" s="101"/>
    </row>
    <row r="1913" spans="1:1" ht="9.75" customHeight="1">
      <c r="A1913" s="101"/>
    </row>
    <row r="1914" spans="1:1" ht="9.75" customHeight="1">
      <c r="A1914" s="101"/>
    </row>
    <row r="1915" spans="1:1" ht="9.75" customHeight="1">
      <c r="A1915" s="101"/>
    </row>
    <row r="1916" spans="1:1" ht="9.75" customHeight="1">
      <c r="A1916" s="101"/>
    </row>
    <row r="1917" spans="1:1" ht="9.75" customHeight="1">
      <c r="A1917" s="101"/>
    </row>
    <row r="1918" spans="1:1" ht="9.75" customHeight="1">
      <c r="A1918" s="101"/>
    </row>
    <row r="1919" spans="1:1" ht="9.75" customHeight="1">
      <c r="A1919" s="101"/>
    </row>
    <row r="1920" spans="1:1" ht="9.75" customHeight="1">
      <c r="A1920" s="101"/>
    </row>
    <row r="1921" spans="1:1" ht="9.75" customHeight="1">
      <c r="A1921" s="101"/>
    </row>
    <row r="1922" spans="1:1" ht="9.75" customHeight="1">
      <c r="A1922" s="101"/>
    </row>
    <row r="1923" spans="1:1" ht="9.75" customHeight="1">
      <c r="A1923" s="101"/>
    </row>
    <row r="1924" spans="1:1" ht="9.75" customHeight="1">
      <c r="A1924" s="101"/>
    </row>
    <row r="1925" spans="1:1" ht="9.75" customHeight="1">
      <c r="A1925" s="101"/>
    </row>
    <row r="1926" spans="1:1" ht="9.75" customHeight="1">
      <c r="A1926" s="101"/>
    </row>
    <row r="1927" spans="1:1" ht="9.75" customHeight="1">
      <c r="A1927" s="101"/>
    </row>
    <row r="1928" spans="1:1" ht="9.75" customHeight="1">
      <c r="A1928" s="101"/>
    </row>
    <row r="1929" spans="1:1" ht="9.75" customHeight="1">
      <c r="A1929" s="101"/>
    </row>
    <row r="1930" spans="1:1" ht="9.75" customHeight="1">
      <c r="A1930" s="101"/>
    </row>
    <row r="1931" spans="1:1" ht="9.75" customHeight="1">
      <c r="A1931" s="101"/>
    </row>
    <row r="1932" spans="1:1" ht="9.75" customHeight="1">
      <c r="A1932" s="101"/>
    </row>
    <row r="1933" spans="1:1" ht="9.75" customHeight="1">
      <c r="A1933" s="101"/>
    </row>
    <row r="1934" spans="1:1" ht="9.75" customHeight="1">
      <c r="A1934" s="101"/>
    </row>
    <row r="1935" spans="1:1" ht="9.75" customHeight="1">
      <c r="A1935" s="101"/>
    </row>
    <row r="1936" spans="1:1" ht="9.75" customHeight="1">
      <c r="A1936" s="101"/>
    </row>
    <row r="1937" spans="1:1" ht="9.75" customHeight="1">
      <c r="A1937" s="101"/>
    </row>
    <row r="1938" spans="1:1" ht="9.75" customHeight="1">
      <c r="A1938" s="101"/>
    </row>
    <row r="1939" spans="1:1" ht="9.75" customHeight="1">
      <c r="A1939" s="101"/>
    </row>
    <row r="1940" spans="1:1" ht="9.75" customHeight="1">
      <c r="A1940" s="101"/>
    </row>
    <row r="1941" spans="1:1" ht="9.75" customHeight="1">
      <c r="A1941" s="101"/>
    </row>
    <row r="1942" spans="1:1" ht="9.75" customHeight="1">
      <c r="A1942" s="101"/>
    </row>
    <row r="1943" spans="1:1" ht="9.75" customHeight="1">
      <c r="A1943" s="101"/>
    </row>
    <row r="1944" spans="1:1" ht="9.75" customHeight="1">
      <c r="A1944" s="101"/>
    </row>
    <row r="1945" spans="1:1" ht="9.75" customHeight="1">
      <c r="A1945" s="101"/>
    </row>
    <row r="1946" spans="1:1" ht="9.75" customHeight="1">
      <c r="A1946" s="101"/>
    </row>
    <row r="1947" spans="1:1" ht="9.75" customHeight="1">
      <c r="A1947" s="101"/>
    </row>
    <row r="1948" spans="1:1" ht="9.75" customHeight="1">
      <c r="A1948" s="101"/>
    </row>
    <row r="1949" spans="1:1" ht="9.75" customHeight="1">
      <c r="A1949" s="101"/>
    </row>
    <row r="1950" spans="1:1" ht="9.75" customHeight="1">
      <c r="A1950" s="101"/>
    </row>
    <row r="1951" spans="1:1" ht="9.75" customHeight="1">
      <c r="A1951" s="101"/>
    </row>
    <row r="1952" spans="1:1" ht="9.75" customHeight="1">
      <c r="A1952" s="101"/>
    </row>
    <row r="1953" spans="1:1" ht="9.75" customHeight="1">
      <c r="A1953" s="101"/>
    </row>
    <row r="1954" spans="1:1" ht="9.75" customHeight="1">
      <c r="A1954" s="101"/>
    </row>
    <row r="1955" spans="1:1" ht="9.75" customHeight="1">
      <c r="A1955" s="101"/>
    </row>
    <row r="1956" spans="1:1" ht="9.75" customHeight="1">
      <c r="A1956" s="101"/>
    </row>
    <row r="1957" spans="1:1" ht="9.75" customHeight="1">
      <c r="A1957" s="101"/>
    </row>
    <row r="1958" spans="1:1" ht="9.75" customHeight="1">
      <c r="A1958" s="101"/>
    </row>
    <row r="1959" spans="1:1" ht="9.75" customHeight="1">
      <c r="A1959" s="101"/>
    </row>
    <row r="1960" spans="1:1" ht="9.75" customHeight="1">
      <c r="A1960" s="101"/>
    </row>
    <row r="1961" spans="1:1" ht="9.75" customHeight="1">
      <c r="A1961" s="101"/>
    </row>
    <row r="1962" spans="1:1" ht="9.75" customHeight="1">
      <c r="A1962" s="101"/>
    </row>
    <row r="1963" spans="1:1" ht="9.75" customHeight="1">
      <c r="A1963" s="101"/>
    </row>
    <row r="1964" spans="1:1" ht="9.75" customHeight="1">
      <c r="A1964" s="101"/>
    </row>
    <row r="1965" spans="1:1" ht="9.75" customHeight="1">
      <c r="A1965" s="101"/>
    </row>
    <row r="1966" spans="1:1" ht="9.75" customHeight="1">
      <c r="A1966" s="101"/>
    </row>
    <row r="1967" spans="1:1" ht="9.75" customHeight="1">
      <c r="A1967" s="101"/>
    </row>
    <row r="1968" spans="1:1" ht="9.75" customHeight="1">
      <c r="A1968" s="101"/>
    </row>
    <row r="1969" spans="1:1" ht="9.75" customHeight="1">
      <c r="A1969" s="101"/>
    </row>
    <row r="1970" spans="1:1" ht="9.75" customHeight="1">
      <c r="A1970" s="101"/>
    </row>
    <row r="1971" spans="1:1" ht="9.75" customHeight="1">
      <c r="A1971" s="101"/>
    </row>
    <row r="1972" spans="1:1" ht="9.75" customHeight="1">
      <c r="A1972" s="101"/>
    </row>
    <row r="1973" spans="1:1" ht="9.75" customHeight="1">
      <c r="A1973" s="101"/>
    </row>
    <row r="1974" spans="1:1" ht="9.75" customHeight="1">
      <c r="A1974" s="101"/>
    </row>
    <row r="1975" spans="1:1" ht="9.75" customHeight="1">
      <c r="A1975" s="101"/>
    </row>
    <row r="1976" spans="1:1" ht="9.75" customHeight="1">
      <c r="A1976" s="101"/>
    </row>
    <row r="1977" spans="1:1" ht="9.75" customHeight="1">
      <c r="A1977" s="101"/>
    </row>
    <row r="1978" spans="1:1" ht="9.75" customHeight="1">
      <c r="A1978" s="101"/>
    </row>
    <row r="1979" spans="1:1" ht="9.75" customHeight="1">
      <c r="A1979" s="101"/>
    </row>
    <row r="1980" spans="1:1" ht="9.75" customHeight="1">
      <c r="A1980" s="101"/>
    </row>
    <row r="1981" spans="1:1" ht="9.75" customHeight="1">
      <c r="A1981" s="101"/>
    </row>
    <row r="1982" spans="1:1" ht="9.75" customHeight="1">
      <c r="A1982" s="101"/>
    </row>
    <row r="1983" spans="1:1" ht="9.75" customHeight="1">
      <c r="A1983" s="101"/>
    </row>
    <row r="1984" spans="1:1" ht="9.75" customHeight="1">
      <c r="A1984" s="101"/>
    </row>
    <row r="1985" spans="1:1" ht="9.75" customHeight="1">
      <c r="A1985" s="101"/>
    </row>
    <row r="1986" spans="1:1" ht="9.75" customHeight="1">
      <c r="A1986" s="101"/>
    </row>
    <row r="1987" spans="1:1" ht="9.75" customHeight="1">
      <c r="A1987" s="101"/>
    </row>
    <row r="1988" spans="1:1" ht="9.75" customHeight="1">
      <c r="A1988" s="101"/>
    </row>
    <row r="1989" spans="1:1" ht="9.75" customHeight="1">
      <c r="A1989" s="101"/>
    </row>
    <row r="1990" spans="1:1" ht="9.75" customHeight="1">
      <c r="A1990" s="101"/>
    </row>
    <row r="1991" spans="1:1" ht="9.75" customHeight="1">
      <c r="A1991" s="101"/>
    </row>
    <row r="1992" spans="1:1" ht="9.75" customHeight="1">
      <c r="A1992" s="101"/>
    </row>
    <row r="1993" spans="1:1" ht="9.75" customHeight="1">
      <c r="A1993" s="101"/>
    </row>
    <row r="1994" spans="1:1" ht="9.75" customHeight="1">
      <c r="A1994" s="101"/>
    </row>
    <row r="1995" spans="1:1" ht="9.75" customHeight="1">
      <c r="A1995" s="101"/>
    </row>
    <row r="1996" spans="1:1" ht="9.75" customHeight="1">
      <c r="A1996" s="101"/>
    </row>
    <row r="1997" spans="1:1" ht="9.75" customHeight="1">
      <c r="A1997" s="101"/>
    </row>
    <row r="1998" spans="1:1" ht="9.75" customHeight="1">
      <c r="A1998" s="101"/>
    </row>
    <row r="1999" spans="1:1" ht="9.75" customHeight="1">
      <c r="A1999" s="101"/>
    </row>
    <row r="2000" spans="1:1" ht="9.75" customHeight="1">
      <c r="A2000" s="101"/>
    </row>
    <row r="2001" spans="1:1" ht="9.75" customHeight="1">
      <c r="A2001" s="101"/>
    </row>
    <row r="2002" spans="1:1" ht="9.75" customHeight="1">
      <c r="A2002" s="101"/>
    </row>
    <row r="2003" spans="1:1" ht="9.75" customHeight="1">
      <c r="A2003" s="101"/>
    </row>
    <row r="2004" spans="1:1" ht="9.75" customHeight="1">
      <c r="A2004" s="101"/>
    </row>
    <row r="2005" spans="1:1" ht="9.75" customHeight="1">
      <c r="A2005" s="101"/>
    </row>
    <row r="2006" spans="1:1" ht="9.75" customHeight="1">
      <c r="A2006" s="101"/>
    </row>
    <row r="2007" spans="1:1" ht="9.75" customHeight="1">
      <c r="A2007" s="101"/>
    </row>
    <row r="2008" spans="1:1" ht="9.75" customHeight="1">
      <c r="A2008" s="101"/>
    </row>
    <row r="2009" spans="1:1" ht="9.75" customHeight="1">
      <c r="A2009" s="101"/>
    </row>
    <row r="2010" spans="1:1" ht="9.75" customHeight="1">
      <c r="A2010" s="101"/>
    </row>
    <row r="2011" spans="1:1" ht="9.75" customHeight="1">
      <c r="A2011" s="101"/>
    </row>
    <row r="2012" spans="1:1" ht="9.75" customHeight="1">
      <c r="A2012" s="101"/>
    </row>
    <row r="2013" spans="1:1" ht="9.75" customHeight="1">
      <c r="A2013" s="101"/>
    </row>
    <row r="2014" spans="1:1" ht="9.75" customHeight="1">
      <c r="A2014" s="101"/>
    </row>
    <row r="2015" spans="1:1" ht="9.75" customHeight="1">
      <c r="A2015" s="101"/>
    </row>
    <row r="2016" spans="1:1" ht="9.75" customHeight="1">
      <c r="A2016" s="101"/>
    </row>
    <row r="2017" spans="1:1" ht="9.75" customHeight="1">
      <c r="A2017" s="101"/>
    </row>
    <row r="2018" spans="1:1" ht="9.75" customHeight="1">
      <c r="A2018" s="101"/>
    </row>
    <row r="2019" spans="1:1" ht="9.75" customHeight="1">
      <c r="A2019" s="101"/>
    </row>
    <row r="2020" spans="1:1" ht="9.75" customHeight="1">
      <c r="A2020" s="101"/>
    </row>
    <row r="2021" spans="1:1" ht="9.75" customHeight="1">
      <c r="A2021" s="101"/>
    </row>
    <row r="2022" spans="1:1" ht="9.75" customHeight="1">
      <c r="A2022" s="101"/>
    </row>
    <row r="2023" spans="1:1" ht="9.75" customHeight="1">
      <c r="A2023" s="101"/>
    </row>
    <row r="2024" spans="1:1" ht="9.75" customHeight="1">
      <c r="A2024" s="101"/>
    </row>
    <row r="2025" spans="1:1" ht="9.75" customHeight="1">
      <c r="A2025" s="101"/>
    </row>
    <row r="2026" spans="1:1" ht="9.75" customHeight="1">
      <c r="A2026" s="101"/>
    </row>
    <row r="2027" spans="1:1" ht="9.75" customHeight="1">
      <c r="A2027" s="101"/>
    </row>
    <row r="2028" spans="1:1" ht="9.75" customHeight="1">
      <c r="A2028" s="101"/>
    </row>
    <row r="2029" spans="1:1" ht="9.75" customHeight="1">
      <c r="A2029" s="101"/>
    </row>
    <row r="2030" spans="1:1" ht="9.75" customHeight="1">
      <c r="A2030" s="101"/>
    </row>
    <row r="2031" spans="1:1" ht="9.75" customHeight="1">
      <c r="A2031" s="101"/>
    </row>
    <row r="2032" spans="1:1" ht="9.75" customHeight="1">
      <c r="A2032" s="101"/>
    </row>
    <row r="2033" spans="1:1" ht="9.75" customHeight="1">
      <c r="A2033" s="101"/>
    </row>
    <row r="2034" spans="1:1" ht="9.75" customHeight="1">
      <c r="A2034" s="101"/>
    </row>
    <row r="2035" spans="1:1" ht="9.75" customHeight="1">
      <c r="A2035" s="101"/>
    </row>
    <row r="2036" spans="1:1" ht="9.75" customHeight="1">
      <c r="A2036" s="101"/>
    </row>
    <row r="2037" spans="1:1" ht="9.75" customHeight="1">
      <c r="A2037" s="101"/>
    </row>
    <row r="2038" spans="1:1" ht="9.75" customHeight="1">
      <c r="A2038" s="101"/>
    </row>
    <row r="2039" spans="1:1" ht="9.75" customHeight="1">
      <c r="A2039" s="101"/>
    </row>
    <row r="2040" spans="1:1" ht="9.75" customHeight="1">
      <c r="A2040" s="101"/>
    </row>
    <row r="2041" spans="1:1" ht="9.75" customHeight="1">
      <c r="A2041" s="101"/>
    </row>
    <row r="2042" spans="1:1" ht="9.75" customHeight="1">
      <c r="A2042" s="101"/>
    </row>
    <row r="2043" spans="1:1" ht="9.75" customHeight="1">
      <c r="A2043" s="101"/>
    </row>
    <row r="2044" spans="1:1" ht="9.75" customHeight="1">
      <c r="A2044" s="101"/>
    </row>
    <row r="2045" spans="1:1" ht="9.75" customHeight="1">
      <c r="A2045" s="101"/>
    </row>
    <row r="2046" spans="1:1" ht="9.75" customHeight="1">
      <c r="A2046" s="101"/>
    </row>
    <row r="2047" spans="1:1" ht="9.75" customHeight="1">
      <c r="A2047" s="101"/>
    </row>
    <row r="2048" spans="1:1" ht="9.75" customHeight="1">
      <c r="A2048" s="101"/>
    </row>
    <row r="2049" spans="1:1" ht="9.75" customHeight="1">
      <c r="A2049" s="101"/>
    </row>
    <row r="2050" spans="1:1" ht="9.75" customHeight="1">
      <c r="A2050" s="101"/>
    </row>
    <row r="2051" spans="1:1" ht="9.75" customHeight="1">
      <c r="A2051" s="101"/>
    </row>
    <row r="2052" spans="1:1" ht="9.75" customHeight="1">
      <c r="A2052" s="101"/>
    </row>
    <row r="2053" spans="1:1" ht="9.75" customHeight="1">
      <c r="A2053" s="101"/>
    </row>
    <row r="2054" spans="1:1" ht="9.75" customHeight="1">
      <c r="A2054" s="101"/>
    </row>
    <row r="2055" spans="1:1" ht="9.75" customHeight="1">
      <c r="A2055" s="101"/>
    </row>
    <row r="2056" spans="1:1" ht="9.75" customHeight="1">
      <c r="A2056" s="101"/>
    </row>
    <row r="2057" spans="1:1" ht="9.75" customHeight="1">
      <c r="A2057" s="101"/>
    </row>
    <row r="2058" spans="1:1" ht="9.75" customHeight="1">
      <c r="A2058" s="101"/>
    </row>
    <row r="2059" spans="1:1" ht="9.75" customHeight="1">
      <c r="A2059" s="101"/>
    </row>
    <row r="2060" spans="1:1" ht="9.75" customHeight="1">
      <c r="A2060" s="101"/>
    </row>
    <row r="2061" spans="1:1" ht="9.75" customHeight="1">
      <c r="A2061" s="101"/>
    </row>
    <row r="2062" spans="1:1" ht="9.75" customHeight="1">
      <c r="A2062" s="101"/>
    </row>
    <row r="2063" spans="1:1" ht="9.75" customHeight="1">
      <c r="A2063" s="101"/>
    </row>
    <row r="2064" spans="1:1" ht="9.75" customHeight="1">
      <c r="A2064" s="101"/>
    </row>
    <row r="2065" spans="1:1" ht="9.75" customHeight="1">
      <c r="A2065" s="101"/>
    </row>
    <row r="2066" spans="1:1" ht="9.75" customHeight="1">
      <c r="A2066" s="101"/>
    </row>
    <row r="2067" spans="1:1" ht="9.75" customHeight="1">
      <c r="A2067" s="101"/>
    </row>
    <row r="2068" spans="1:1" ht="9.75" customHeight="1">
      <c r="A2068" s="101"/>
    </row>
    <row r="2069" spans="1:1" ht="9.75" customHeight="1">
      <c r="A2069" s="101"/>
    </row>
    <row r="2070" spans="1:1" ht="9.75" customHeight="1">
      <c r="A2070" s="101"/>
    </row>
    <row r="2071" spans="1:1" ht="9.75" customHeight="1">
      <c r="A2071" s="101"/>
    </row>
    <row r="2072" spans="1:1" ht="9.75" customHeight="1">
      <c r="A2072" s="101"/>
    </row>
    <row r="2073" spans="1:1" ht="9.75" customHeight="1">
      <c r="A2073" s="101"/>
    </row>
    <row r="2074" spans="1:1" ht="9.75" customHeight="1">
      <c r="A2074" s="101"/>
    </row>
    <row r="2075" spans="1:1" ht="9.75" customHeight="1">
      <c r="A2075" s="101"/>
    </row>
    <row r="2076" spans="1:1" ht="9.75" customHeight="1">
      <c r="A2076" s="101"/>
    </row>
    <row r="2077" spans="1:1" ht="9.75" customHeight="1">
      <c r="A2077" s="101"/>
    </row>
    <row r="2078" spans="1:1" ht="9.75" customHeight="1">
      <c r="A2078" s="101"/>
    </row>
    <row r="2079" spans="1:1" ht="9.75" customHeight="1">
      <c r="A2079" s="101"/>
    </row>
    <row r="2080" spans="1:1" ht="9.75" customHeight="1">
      <c r="A2080" s="101"/>
    </row>
    <row r="2081" spans="1:1" ht="9.75" customHeight="1">
      <c r="A2081" s="101"/>
    </row>
    <row r="2082" spans="1:1" ht="9.75" customHeight="1">
      <c r="A2082" s="101"/>
    </row>
    <row r="2083" spans="1:1" ht="9.75" customHeight="1">
      <c r="A2083" s="101"/>
    </row>
    <row r="2084" spans="1:1" ht="9.75" customHeight="1">
      <c r="A2084" s="101"/>
    </row>
    <row r="2085" spans="1:1" ht="9.75" customHeight="1">
      <c r="A2085" s="101"/>
    </row>
    <row r="2086" spans="1:1" ht="9.75" customHeight="1">
      <c r="A2086" s="101"/>
    </row>
    <row r="2087" spans="1:1" ht="9.75" customHeight="1">
      <c r="A2087" s="101"/>
    </row>
    <row r="2088" spans="1:1" ht="9.75" customHeight="1">
      <c r="A2088" s="101"/>
    </row>
    <row r="2089" spans="1:1" ht="9.75" customHeight="1">
      <c r="A2089" s="101"/>
    </row>
    <row r="2090" spans="1:1" ht="9.75" customHeight="1">
      <c r="A2090" s="101"/>
    </row>
    <row r="2091" spans="1:1" ht="9.75" customHeight="1">
      <c r="A2091" s="101"/>
    </row>
    <row r="2092" spans="1:1" ht="9.75" customHeight="1">
      <c r="A2092" s="101"/>
    </row>
    <row r="2093" spans="1:1" ht="9.75" customHeight="1">
      <c r="A2093" s="101"/>
    </row>
    <row r="2094" spans="1:1" ht="9.75" customHeight="1">
      <c r="A2094" s="101"/>
    </row>
    <row r="2095" spans="1:1" ht="9.75" customHeight="1">
      <c r="A2095" s="101"/>
    </row>
    <row r="2096" spans="1:1" ht="9.75" customHeight="1">
      <c r="A2096" s="101"/>
    </row>
    <row r="2097" spans="1:1" ht="9.75" customHeight="1">
      <c r="A2097" s="101"/>
    </row>
    <row r="2098" spans="1:1" ht="9.75" customHeight="1">
      <c r="A2098" s="101"/>
    </row>
    <row r="2099" spans="1:1" ht="9.75" customHeight="1">
      <c r="A2099" s="101"/>
    </row>
    <row r="2100" spans="1:1" ht="9.75" customHeight="1">
      <c r="A2100" s="101"/>
    </row>
    <row r="2101" spans="1:1" ht="9.75" customHeight="1">
      <c r="A2101" s="101"/>
    </row>
    <row r="2102" spans="1:1" ht="9.75" customHeight="1">
      <c r="A2102" s="101"/>
    </row>
    <row r="2103" spans="1:1" ht="9.75" customHeight="1">
      <c r="A2103" s="101"/>
    </row>
    <row r="2104" spans="1:1" ht="9.75" customHeight="1">
      <c r="A2104" s="101"/>
    </row>
    <row r="2105" spans="1:1" ht="9.75" customHeight="1">
      <c r="A2105" s="101"/>
    </row>
    <row r="2106" spans="1:1" ht="9.75" customHeight="1">
      <c r="A2106" s="101"/>
    </row>
    <row r="2107" spans="1:1" ht="9.75" customHeight="1">
      <c r="A2107" s="101"/>
    </row>
    <row r="2108" spans="1:1" ht="9.75" customHeight="1">
      <c r="A2108" s="101"/>
    </row>
    <row r="2109" spans="1:1" ht="9.75" customHeight="1">
      <c r="A2109" s="101"/>
    </row>
    <row r="2110" spans="1:1" ht="9.75" customHeight="1">
      <c r="A2110" s="101"/>
    </row>
    <row r="2111" spans="1:1" ht="9.75" customHeight="1">
      <c r="A2111" s="101"/>
    </row>
    <row r="2112" spans="1:1" ht="9.75" customHeight="1">
      <c r="A2112" s="101"/>
    </row>
    <row r="2113" spans="1:1" ht="9.75" customHeight="1">
      <c r="A2113" s="101"/>
    </row>
    <row r="2114" spans="1:1" ht="9.75" customHeight="1">
      <c r="A2114" s="101"/>
    </row>
    <row r="2115" spans="1:1" ht="9.75" customHeight="1">
      <c r="A2115" s="101"/>
    </row>
    <row r="2116" spans="1:1" ht="9.75" customHeight="1">
      <c r="A2116" s="101"/>
    </row>
    <row r="2117" spans="1:1" ht="9.75" customHeight="1">
      <c r="A2117" s="101"/>
    </row>
    <row r="2118" spans="1:1" ht="9.75" customHeight="1">
      <c r="A2118" s="101"/>
    </row>
    <row r="2119" spans="1:1" ht="9.75" customHeight="1">
      <c r="A2119" s="101"/>
    </row>
    <row r="2120" spans="1:1" ht="9.75" customHeight="1">
      <c r="A2120" s="101"/>
    </row>
    <row r="2121" spans="1:1" ht="9.75" customHeight="1">
      <c r="A2121" s="101"/>
    </row>
    <row r="2122" spans="1:1" ht="9.75" customHeight="1">
      <c r="A2122" s="101"/>
    </row>
    <row r="2123" spans="1:1" ht="9.75" customHeight="1">
      <c r="A2123" s="101"/>
    </row>
    <row r="2124" spans="1:1" ht="9.75" customHeight="1">
      <c r="A2124" s="101"/>
    </row>
    <row r="2125" spans="1:1" ht="9.75" customHeight="1">
      <c r="A2125" s="101"/>
    </row>
    <row r="2126" spans="1:1" ht="9.75" customHeight="1">
      <c r="A2126" s="101"/>
    </row>
    <row r="2127" spans="1:1" ht="9.75" customHeight="1">
      <c r="A2127" s="101"/>
    </row>
    <row r="2128" spans="1:1" ht="9.75" customHeight="1">
      <c r="A2128" s="101"/>
    </row>
    <row r="2129" spans="1:1" ht="9.75" customHeight="1">
      <c r="A2129" s="101"/>
    </row>
    <row r="2130" spans="1:1" ht="9.75" customHeight="1">
      <c r="A2130" s="101"/>
    </row>
    <row r="2131" spans="1:1" ht="9.75" customHeight="1">
      <c r="A2131" s="101"/>
    </row>
    <row r="2132" spans="1:1" ht="9.75" customHeight="1">
      <c r="A2132" s="101"/>
    </row>
    <row r="2133" spans="1:1" ht="9.75" customHeight="1">
      <c r="A2133" s="101"/>
    </row>
    <row r="2134" spans="1:1" ht="9.75" customHeight="1">
      <c r="A2134" s="101"/>
    </row>
    <row r="2135" spans="1:1" ht="9.75" customHeight="1">
      <c r="A2135" s="101"/>
    </row>
    <row r="2136" spans="1:1" ht="9.75" customHeight="1">
      <c r="A2136" s="101"/>
    </row>
    <row r="2137" spans="1:1" ht="9.75" customHeight="1">
      <c r="A2137" s="101"/>
    </row>
    <row r="2138" spans="1:1" ht="9.75" customHeight="1">
      <c r="A2138" s="101"/>
    </row>
    <row r="2139" spans="1:1" ht="9.75" customHeight="1">
      <c r="A2139" s="101"/>
    </row>
    <row r="2140" spans="1:1" ht="9.75" customHeight="1">
      <c r="A2140" s="101"/>
    </row>
    <row r="2141" spans="1:1" ht="9.75" customHeight="1">
      <c r="A2141" s="101"/>
    </row>
    <row r="2142" spans="1:1" ht="9.75" customHeight="1">
      <c r="A2142" s="101"/>
    </row>
    <row r="2143" spans="1:1" ht="9.75" customHeight="1">
      <c r="A2143" s="101"/>
    </row>
    <row r="2144" spans="1:1" ht="9.75" customHeight="1">
      <c r="A2144" s="101"/>
    </row>
    <row r="2145" spans="1:1" ht="9.75" customHeight="1">
      <c r="A2145" s="101"/>
    </row>
    <row r="2146" spans="1:1" ht="9.75" customHeight="1">
      <c r="A2146" s="101"/>
    </row>
    <row r="2147" spans="1:1" ht="9.75" customHeight="1">
      <c r="A2147" s="101"/>
    </row>
    <row r="2148" spans="1:1" ht="9.75" customHeight="1">
      <c r="A2148" s="101"/>
    </row>
    <row r="2149" spans="1:1" ht="9.75" customHeight="1">
      <c r="A2149" s="101"/>
    </row>
    <row r="2150" spans="1:1" ht="9.75" customHeight="1">
      <c r="A2150" s="101"/>
    </row>
    <row r="2151" spans="1:1" ht="9.75" customHeight="1">
      <c r="A2151" s="101"/>
    </row>
    <row r="2152" spans="1:1" ht="9.75" customHeight="1">
      <c r="A2152" s="101"/>
    </row>
    <row r="2153" spans="1:1" ht="9.75" customHeight="1">
      <c r="A2153" s="101"/>
    </row>
    <row r="2154" spans="1:1" ht="9.75" customHeight="1">
      <c r="A2154" s="101"/>
    </row>
    <row r="2155" spans="1:1" ht="9.75" customHeight="1">
      <c r="A2155" s="101"/>
    </row>
    <row r="2156" spans="1:1" ht="9.75" customHeight="1">
      <c r="A2156" s="101"/>
    </row>
    <row r="2157" spans="1:1" ht="9.75" customHeight="1">
      <c r="A2157" s="101"/>
    </row>
    <row r="2158" spans="1:1" ht="9.75" customHeight="1">
      <c r="A2158" s="101"/>
    </row>
    <row r="2159" spans="1:1" ht="9.75" customHeight="1">
      <c r="A2159" s="101"/>
    </row>
    <row r="2160" spans="1:1" ht="9.75" customHeight="1">
      <c r="A2160" s="101"/>
    </row>
    <row r="2161" spans="1:1" ht="9.75" customHeight="1">
      <c r="A2161" s="101"/>
    </row>
    <row r="2162" spans="1:1" ht="9.75" customHeight="1">
      <c r="A2162" s="101"/>
    </row>
    <row r="2163" spans="1:1" ht="9.75" customHeight="1">
      <c r="A2163" s="101"/>
    </row>
    <row r="2164" spans="1:1" ht="9.75" customHeight="1">
      <c r="A2164" s="101"/>
    </row>
    <row r="2165" spans="1:1" ht="9.75" customHeight="1">
      <c r="A2165" s="101"/>
    </row>
    <row r="2166" spans="1:1" ht="9.75" customHeight="1">
      <c r="A2166" s="101"/>
    </row>
    <row r="2167" spans="1:1" ht="9.75" customHeight="1">
      <c r="A2167" s="101"/>
    </row>
    <row r="2168" spans="1:1" ht="9.75" customHeight="1">
      <c r="A2168" s="101"/>
    </row>
    <row r="2169" spans="1:1" ht="9.75" customHeight="1">
      <c r="A2169" s="101"/>
    </row>
    <row r="2170" spans="1:1" ht="9.75" customHeight="1">
      <c r="A2170" s="101"/>
    </row>
    <row r="2171" spans="1:1" ht="9.75" customHeight="1">
      <c r="A2171" s="101"/>
    </row>
    <row r="2172" spans="1:1" ht="9.75" customHeight="1">
      <c r="A2172" s="101"/>
    </row>
    <row r="2173" spans="1:1" ht="9.75" customHeight="1">
      <c r="A2173" s="101"/>
    </row>
    <row r="2174" spans="1:1" ht="9.75" customHeight="1">
      <c r="A2174" s="101"/>
    </row>
    <row r="2175" spans="1:1" ht="9.75" customHeight="1">
      <c r="A2175" s="101"/>
    </row>
    <row r="2176" spans="1:1" ht="9.75" customHeight="1">
      <c r="A2176" s="101"/>
    </row>
    <row r="2177" spans="1:1" ht="9.75" customHeight="1">
      <c r="A2177" s="101"/>
    </row>
    <row r="2178" spans="1:1" ht="9.75" customHeight="1">
      <c r="A2178" s="101"/>
    </row>
    <row r="2179" spans="1:1" ht="9.75" customHeight="1">
      <c r="A2179" s="101"/>
    </row>
    <row r="2180" spans="1:1" ht="9.75" customHeight="1">
      <c r="A2180" s="101"/>
    </row>
    <row r="2181" spans="1:1" ht="9.75" customHeight="1">
      <c r="A2181" s="101"/>
    </row>
    <row r="2182" spans="1:1" ht="9.75" customHeight="1">
      <c r="A2182" s="101"/>
    </row>
    <row r="2183" spans="1:1" ht="9.75" customHeight="1">
      <c r="A2183" s="101"/>
    </row>
    <row r="2184" spans="1:1" ht="9.75" customHeight="1">
      <c r="A2184" s="101"/>
    </row>
    <row r="2185" spans="1:1" ht="9.75" customHeight="1">
      <c r="A2185" s="101"/>
    </row>
    <row r="2186" spans="1:1" ht="9.75" customHeight="1">
      <c r="A2186" s="101"/>
    </row>
    <row r="2187" spans="1:1" ht="9.75" customHeight="1">
      <c r="A2187" s="101"/>
    </row>
    <row r="2188" spans="1:1" ht="9.75" customHeight="1">
      <c r="A2188" s="101"/>
    </row>
    <row r="2189" spans="1:1" ht="9.75" customHeight="1">
      <c r="A2189" s="101"/>
    </row>
    <row r="2190" spans="1:1" ht="9.75" customHeight="1">
      <c r="A2190" s="101"/>
    </row>
    <row r="2191" spans="1:1" ht="9.75" customHeight="1">
      <c r="A2191" s="101"/>
    </row>
    <row r="2192" spans="1:1" ht="9.75" customHeight="1">
      <c r="A2192" s="101"/>
    </row>
    <row r="2193" spans="1:1" ht="9.75" customHeight="1">
      <c r="A2193" s="101"/>
    </row>
    <row r="2194" spans="1:1" ht="9.75" customHeight="1">
      <c r="A2194" s="101"/>
    </row>
    <row r="2195" spans="1:1" ht="9.75" customHeight="1">
      <c r="A2195" s="101"/>
    </row>
    <row r="2196" spans="1:1" ht="9.75" customHeight="1">
      <c r="A2196" s="101"/>
    </row>
    <row r="2197" spans="1:1" ht="9.75" customHeight="1">
      <c r="A2197" s="101"/>
    </row>
    <row r="2198" spans="1:1" ht="9.75" customHeight="1">
      <c r="A2198" s="101"/>
    </row>
    <row r="2199" spans="1:1" ht="9.75" customHeight="1">
      <c r="A2199" s="101"/>
    </row>
    <row r="2200" spans="1:1" ht="9.75" customHeight="1">
      <c r="A2200" s="101"/>
    </row>
    <row r="2201" spans="1:1" ht="9.75" customHeight="1">
      <c r="A2201" s="101"/>
    </row>
    <row r="2202" spans="1:1" ht="9.75" customHeight="1">
      <c r="A2202" s="101"/>
    </row>
    <row r="2203" spans="1:1" ht="9.75" customHeight="1">
      <c r="A2203" s="101"/>
    </row>
    <row r="2204" spans="1:1" ht="9.75" customHeight="1">
      <c r="A2204" s="101"/>
    </row>
    <row r="2205" spans="1:1" ht="9.75" customHeight="1">
      <c r="A2205" s="101"/>
    </row>
    <row r="2206" spans="1:1" ht="9.75" customHeight="1">
      <c r="A2206" s="101"/>
    </row>
    <row r="2207" spans="1:1" ht="9.75" customHeight="1">
      <c r="A2207" s="101"/>
    </row>
    <row r="2208" spans="1:1" ht="9.75" customHeight="1">
      <c r="A2208" s="101"/>
    </row>
    <row r="2209" spans="1:1" ht="9.75" customHeight="1">
      <c r="A2209" s="101"/>
    </row>
    <row r="2210" spans="1:1" ht="9.75" customHeight="1">
      <c r="A2210" s="101"/>
    </row>
    <row r="2211" spans="1:1" ht="9.75" customHeight="1">
      <c r="A2211" s="101"/>
    </row>
    <row r="2212" spans="1:1" ht="9.75" customHeight="1">
      <c r="A2212" s="101"/>
    </row>
    <row r="2213" spans="1:1" ht="9.75" customHeight="1">
      <c r="A2213" s="101"/>
    </row>
    <row r="2214" spans="1:1" ht="9.75" customHeight="1">
      <c r="A2214" s="101"/>
    </row>
    <row r="2215" spans="1:1" ht="9.75" customHeight="1">
      <c r="A2215" s="101"/>
    </row>
    <row r="2216" spans="1:1" ht="9.75" customHeight="1">
      <c r="A2216" s="101"/>
    </row>
    <row r="2217" spans="1:1" ht="9.75" customHeight="1">
      <c r="A2217" s="101"/>
    </row>
    <row r="2218" spans="1:1" ht="9.75" customHeight="1">
      <c r="A2218" s="101"/>
    </row>
    <row r="2219" spans="1:1" ht="9.75" customHeight="1">
      <c r="A2219" s="101"/>
    </row>
    <row r="2220" spans="1:1" ht="9.75" customHeight="1">
      <c r="A2220" s="101"/>
    </row>
    <row r="2221" spans="1:1" ht="9.75" customHeight="1">
      <c r="A2221" s="101"/>
    </row>
    <row r="2222" spans="1:1" ht="9.75" customHeight="1">
      <c r="A2222" s="101"/>
    </row>
    <row r="2223" spans="1:1" ht="9.75" customHeight="1">
      <c r="A2223" s="101"/>
    </row>
    <row r="2224" spans="1:1" ht="9.75" customHeight="1">
      <c r="A2224" s="101"/>
    </row>
    <row r="2225" spans="1:1" ht="9.75" customHeight="1">
      <c r="A2225" s="101"/>
    </row>
    <row r="2226" spans="1:1" ht="9.75" customHeight="1">
      <c r="A2226" s="101"/>
    </row>
    <row r="2227" spans="1:1" ht="9.75" customHeight="1">
      <c r="A2227" s="101"/>
    </row>
    <row r="2228" spans="1:1" ht="9.75" customHeight="1">
      <c r="A2228" s="101"/>
    </row>
    <row r="2229" spans="1:1" ht="9.75" customHeight="1">
      <c r="A2229" s="101"/>
    </row>
    <row r="2230" spans="1:1" ht="9.75" customHeight="1">
      <c r="A2230" s="101"/>
    </row>
    <row r="2231" spans="1:1" ht="9.75" customHeight="1">
      <c r="A2231" s="101"/>
    </row>
    <row r="2232" spans="1:1" ht="9.75" customHeight="1">
      <c r="A2232" s="101"/>
    </row>
    <row r="2233" spans="1:1" ht="9.75" customHeight="1">
      <c r="A2233" s="101"/>
    </row>
    <row r="2234" spans="1:1" ht="9.75" customHeight="1">
      <c r="A2234" s="101"/>
    </row>
    <row r="2235" spans="1:1" ht="9.75" customHeight="1">
      <c r="A2235" s="101"/>
    </row>
    <row r="2236" spans="1:1" ht="9.75" customHeight="1">
      <c r="A2236" s="101"/>
    </row>
    <row r="2237" spans="1:1" ht="9.75" customHeight="1">
      <c r="A2237" s="101"/>
    </row>
    <row r="2238" spans="1:1" ht="9.75" customHeight="1">
      <c r="A2238" s="101"/>
    </row>
    <row r="2239" spans="1:1" ht="9.75" customHeight="1">
      <c r="A2239" s="101"/>
    </row>
    <row r="2240" spans="1:1" ht="9.75" customHeight="1">
      <c r="A2240" s="101"/>
    </row>
    <row r="2241" spans="1:1" ht="9.75" customHeight="1">
      <c r="A2241" s="101"/>
    </row>
    <row r="2242" spans="1:1" ht="9.75" customHeight="1">
      <c r="A2242" s="101"/>
    </row>
    <row r="2243" spans="1:1" ht="9.75" customHeight="1">
      <c r="A2243" s="101"/>
    </row>
    <row r="2244" spans="1:1" ht="9.75" customHeight="1">
      <c r="A2244" s="101"/>
    </row>
    <row r="2245" spans="1:1" ht="9.75" customHeight="1">
      <c r="A2245" s="101"/>
    </row>
    <row r="2246" spans="1:1" ht="9.75" customHeight="1">
      <c r="A2246" s="101"/>
    </row>
    <row r="2247" spans="1:1" ht="9.75" customHeight="1">
      <c r="A2247" s="101"/>
    </row>
    <row r="2248" spans="1:1" ht="9.75" customHeight="1">
      <c r="A2248" s="101"/>
    </row>
    <row r="2249" spans="1:1" ht="9.75" customHeight="1">
      <c r="A2249" s="101"/>
    </row>
    <row r="2250" spans="1:1" ht="9.75" customHeight="1">
      <c r="A2250" s="101"/>
    </row>
    <row r="2251" spans="1:1" ht="9.75" customHeight="1">
      <c r="A2251" s="101"/>
    </row>
    <row r="2252" spans="1:1" ht="9.75" customHeight="1">
      <c r="A2252" s="101"/>
    </row>
    <row r="2253" spans="1:1" ht="9.75" customHeight="1">
      <c r="A2253" s="101"/>
    </row>
    <row r="2254" spans="1:1" ht="9.75" customHeight="1">
      <c r="A2254" s="101"/>
    </row>
    <row r="2255" spans="1:1" ht="9.75" customHeight="1">
      <c r="A2255" s="101"/>
    </row>
    <row r="2256" spans="1:1" ht="9.75" customHeight="1">
      <c r="A2256" s="101"/>
    </row>
    <row r="2257" spans="1:1" ht="9.75" customHeight="1">
      <c r="A2257" s="101"/>
    </row>
    <row r="2258" spans="1:1" ht="9.75" customHeight="1">
      <c r="A2258" s="101"/>
    </row>
    <row r="2259" spans="1:1" ht="9.75" customHeight="1">
      <c r="A2259" s="101"/>
    </row>
    <row r="2260" spans="1:1" ht="9.75" customHeight="1">
      <c r="A2260" s="101"/>
    </row>
    <row r="2261" spans="1:1" ht="9.75" customHeight="1">
      <c r="A2261" s="101"/>
    </row>
    <row r="2262" spans="1:1" ht="9.75" customHeight="1">
      <c r="A2262" s="101"/>
    </row>
    <row r="2263" spans="1:1" ht="9.75" customHeight="1">
      <c r="A2263" s="101"/>
    </row>
    <row r="2264" spans="1:1" ht="9.75" customHeight="1">
      <c r="A2264" s="101"/>
    </row>
    <row r="2265" spans="1:1" ht="9.75" customHeight="1">
      <c r="A2265" s="101"/>
    </row>
    <row r="2266" spans="1:1" ht="9.75" customHeight="1">
      <c r="A2266" s="101"/>
    </row>
    <row r="2267" spans="1:1" ht="9.75" customHeight="1">
      <c r="A2267" s="101"/>
    </row>
    <row r="2268" spans="1:1" ht="9.75" customHeight="1">
      <c r="A2268" s="101"/>
    </row>
    <row r="2269" spans="1:1" ht="9.75" customHeight="1">
      <c r="A2269" s="101"/>
    </row>
    <row r="2270" spans="1:1" ht="9.75" customHeight="1">
      <c r="A2270" s="101"/>
    </row>
    <row r="2271" spans="1:1" ht="9.75" customHeight="1">
      <c r="A2271" s="101"/>
    </row>
    <row r="2272" spans="1:1" ht="9.75" customHeight="1">
      <c r="A2272" s="101"/>
    </row>
    <row r="2273" spans="1:1" ht="9.75" customHeight="1">
      <c r="A2273" s="101"/>
    </row>
    <row r="2274" spans="1:1" ht="9.75" customHeight="1">
      <c r="A2274" s="101"/>
    </row>
    <row r="2275" spans="1:1" ht="9.75" customHeight="1">
      <c r="A2275" s="101"/>
    </row>
    <row r="2276" spans="1:1" ht="9.75" customHeight="1">
      <c r="A2276" s="101"/>
    </row>
    <row r="2277" spans="1:1" ht="9.75" customHeight="1">
      <c r="A2277" s="101"/>
    </row>
    <row r="2278" spans="1:1" ht="9.75" customHeight="1">
      <c r="A2278" s="101"/>
    </row>
    <row r="2279" spans="1:1" ht="9.75" customHeight="1">
      <c r="A2279" s="101"/>
    </row>
    <row r="2280" spans="1:1" ht="9.75" customHeight="1">
      <c r="A2280" s="101"/>
    </row>
    <row r="2281" spans="1:1" ht="9.75" customHeight="1">
      <c r="A2281" s="101"/>
    </row>
    <row r="2282" spans="1:1" ht="9.75" customHeight="1">
      <c r="A2282" s="101"/>
    </row>
    <row r="2283" spans="1:1" ht="9.75" customHeight="1">
      <c r="A2283" s="101"/>
    </row>
    <row r="2284" spans="1:1" ht="9.75" customHeight="1">
      <c r="A2284" s="101"/>
    </row>
    <row r="2285" spans="1:1" ht="9.75" customHeight="1">
      <c r="A2285" s="101"/>
    </row>
    <row r="2286" spans="1:1" ht="9.75" customHeight="1">
      <c r="A2286" s="101"/>
    </row>
    <row r="2287" spans="1:1" ht="9.75" customHeight="1">
      <c r="A2287" s="101"/>
    </row>
    <row r="2288" spans="1:1" ht="9.75" customHeight="1">
      <c r="A2288" s="101"/>
    </row>
    <row r="2289" spans="1:1" ht="9.75" customHeight="1">
      <c r="A2289" s="101"/>
    </row>
    <row r="2290" spans="1:1" ht="9.75" customHeight="1">
      <c r="A2290" s="101"/>
    </row>
    <row r="2291" spans="1:1" ht="9.75" customHeight="1">
      <c r="A2291" s="101"/>
    </row>
    <row r="2292" spans="1:1" ht="9.75" customHeight="1">
      <c r="A2292" s="101"/>
    </row>
    <row r="2293" spans="1:1" ht="9.75" customHeight="1">
      <c r="A2293" s="101"/>
    </row>
    <row r="2294" spans="1:1" ht="9.75" customHeight="1">
      <c r="A2294" s="101"/>
    </row>
    <row r="2295" spans="1:1" ht="9.75" customHeight="1">
      <c r="A2295" s="101"/>
    </row>
    <row r="2296" spans="1:1" ht="9.75" customHeight="1">
      <c r="A2296" s="101"/>
    </row>
    <row r="2297" spans="1:1" ht="9.75" customHeight="1">
      <c r="A2297" s="101"/>
    </row>
    <row r="2298" spans="1:1" ht="9.75" customHeight="1">
      <c r="A2298" s="101"/>
    </row>
    <row r="2299" spans="1:1" ht="9.75" customHeight="1">
      <c r="A2299" s="101"/>
    </row>
    <row r="2300" spans="1:1" ht="9.75" customHeight="1">
      <c r="A2300" s="101"/>
    </row>
    <row r="2301" spans="1:1" ht="9.75" customHeight="1">
      <c r="A2301" s="101"/>
    </row>
    <row r="2302" spans="1:1" ht="9.75" customHeight="1">
      <c r="A2302" s="101"/>
    </row>
    <row r="2303" spans="1:1" ht="9.75" customHeight="1">
      <c r="A2303" s="101"/>
    </row>
    <row r="2304" spans="1:1" ht="9.75" customHeight="1">
      <c r="A2304" s="101"/>
    </row>
    <row r="2305" spans="1:1" ht="9.75" customHeight="1">
      <c r="A2305" s="101"/>
    </row>
    <row r="2306" spans="1:1" ht="9.75" customHeight="1">
      <c r="A2306" s="101"/>
    </row>
    <row r="2307" spans="1:1" ht="9.75" customHeight="1">
      <c r="A2307" s="101"/>
    </row>
    <row r="2308" spans="1:1" ht="9.75" customHeight="1">
      <c r="A2308" s="101"/>
    </row>
    <row r="2309" spans="1:1" ht="9.75" customHeight="1">
      <c r="A2309" s="101"/>
    </row>
    <row r="2310" spans="1:1" ht="9.75" customHeight="1">
      <c r="A2310" s="101"/>
    </row>
    <row r="2311" spans="1:1" ht="9.75" customHeight="1">
      <c r="A2311" s="101"/>
    </row>
    <row r="2312" spans="1:1" ht="9.75" customHeight="1">
      <c r="A2312" s="101"/>
    </row>
    <row r="2313" spans="1:1" ht="9.75" customHeight="1">
      <c r="A2313" s="101"/>
    </row>
    <row r="2314" spans="1:1" ht="9.75" customHeight="1">
      <c r="A2314" s="101"/>
    </row>
    <row r="2315" spans="1:1" ht="9.75" customHeight="1">
      <c r="A2315" s="101"/>
    </row>
    <row r="2316" spans="1:1" ht="9.75" customHeight="1">
      <c r="A2316" s="101"/>
    </row>
    <row r="2317" spans="1:1" ht="9.75" customHeight="1">
      <c r="A2317" s="101"/>
    </row>
    <row r="2318" spans="1:1" ht="9.75" customHeight="1">
      <c r="A2318" s="101"/>
    </row>
    <row r="2319" spans="1:1" ht="9.75" customHeight="1">
      <c r="A2319" s="101"/>
    </row>
    <row r="2320" spans="1:1" ht="9.75" customHeight="1">
      <c r="A2320" s="101"/>
    </row>
    <row r="2321" spans="1:1" ht="9.75" customHeight="1">
      <c r="A2321" s="101"/>
    </row>
    <row r="2322" spans="1:1" ht="9.75" customHeight="1">
      <c r="A2322" s="101"/>
    </row>
    <row r="2323" spans="1:1" ht="9.75" customHeight="1">
      <c r="A2323" s="101"/>
    </row>
    <row r="2324" spans="1:1" ht="9.75" customHeight="1">
      <c r="A2324" s="101"/>
    </row>
    <row r="2325" spans="1:1" ht="9.75" customHeight="1">
      <c r="A2325" s="101"/>
    </row>
    <row r="2326" spans="1:1" ht="9.75" customHeight="1">
      <c r="A2326" s="101"/>
    </row>
    <row r="2327" spans="1:1" ht="9.75" customHeight="1">
      <c r="A2327" s="101"/>
    </row>
    <row r="2328" spans="1:1" ht="9.75" customHeight="1">
      <c r="A2328" s="101"/>
    </row>
    <row r="2329" spans="1:1" ht="9.75" customHeight="1">
      <c r="A2329" s="101"/>
    </row>
    <row r="2330" spans="1:1" ht="9.75" customHeight="1">
      <c r="A2330" s="101"/>
    </row>
    <row r="2331" spans="1:1" ht="9.75" customHeight="1">
      <c r="A2331" s="101"/>
    </row>
    <row r="2332" spans="1:1" ht="9.75" customHeight="1">
      <c r="A2332" s="101"/>
    </row>
    <row r="2333" spans="1:1" ht="9.75" customHeight="1">
      <c r="A2333" s="101"/>
    </row>
    <row r="2334" spans="1:1" ht="9.75" customHeight="1">
      <c r="A2334" s="101"/>
    </row>
    <row r="2335" spans="1:1" ht="9.75" customHeight="1">
      <c r="A2335" s="101"/>
    </row>
    <row r="2336" spans="1:1" ht="9.75" customHeight="1">
      <c r="A2336" s="101"/>
    </row>
    <row r="2337" spans="1:1" ht="9.75" customHeight="1">
      <c r="A2337" s="101"/>
    </row>
    <row r="2338" spans="1:1" ht="9.75" customHeight="1">
      <c r="A2338" s="101"/>
    </row>
    <row r="2339" spans="1:1" ht="9.75" customHeight="1">
      <c r="A2339" s="101"/>
    </row>
    <row r="2340" spans="1:1" ht="9.75" customHeight="1">
      <c r="A2340" s="101"/>
    </row>
    <row r="2341" spans="1:1" ht="9.75" customHeight="1">
      <c r="A2341" s="101"/>
    </row>
    <row r="2342" spans="1:1" ht="9.75" customHeight="1">
      <c r="A2342" s="101"/>
    </row>
    <row r="2343" spans="1:1" ht="9.75" customHeight="1">
      <c r="A2343" s="101"/>
    </row>
    <row r="2344" spans="1:1" ht="9.75" customHeight="1">
      <c r="A2344" s="101"/>
    </row>
    <row r="2345" spans="1:1" ht="9.75" customHeight="1">
      <c r="A2345" s="101"/>
    </row>
    <row r="2346" spans="1:1" ht="9.75" customHeight="1">
      <c r="A2346" s="101"/>
    </row>
    <row r="2347" spans="1:1" ht="9.75" customHeight="1">
      <c r="A2347" s="101"/>
    </row>
    <row r="2348" spans="1:1" ht="9.75" customHeight="1">
      <c r="A2348" s="101"/>
    </row>
    <row r="2349" spans="1:1" ht="9.75" customHeight="1">
      <c r="A2349" s="101"/>
    </row>
    <row r="2350" spans="1:1" ht="9.75" customHeight="1">
      <c r="A2350" s="101"/>
    </row>
    <row r="2351" spans="1:1" ht="9.75" customHeight="1">
      <c r="A2351" s="101"/>
    </row>
    <row r="2352" spans="1:1" ht="9.75" customHeight="1">
      <c r="A2352" s="101"/>
    </row>
    <row r="2353" spans="1:1" ht="9.75" customHeight="1">
      <c r="A2353" s="101"/>
    </row>
    <row r="2354" spans="1:1" ht="9.75" customHeight="1">
      <c r="A2354" s="101"/>
    </row>
    <row r="2355" spans="1:1" ht="9.75" customHeight="1">
      <c r="A2355" s="101"/>
    </row>
    <row r="2356" spans="1:1" ht="9.75" customHeight="1">
      <c r="A2356" s="101"/>
    </row>
    <row r="2357" spans="1:1" ht="9.75" customHeight="1">
      <c r="A2357" s="101"/>
    </row>
    <row r="2358" spans="1:1" ht="9.75" customHeight="1">
      <c r="A2358" s="101"/>
    </row>
    <row r="2359" spans="1:1" ht="9.75" customHeight="1">
      <c r="A2359" s="101"/>
    </row>
    <row r="2360" spans="1:1" ht="9.75" customHeight="1">
      <c r="A2360" s="101"/>
    </row>
    <row r="2361" spans="1:1" ht="9.75" customHeight="1">
      <c r="A2361" s="101"/>
    </row>
    <row r="2362" spans="1:1" ht="9.75" customHeight="1">
      <c r="A2362" s="101"/>
    </row>
    <row r="2363" spans="1:1" ht="9.75" customHeight="1">
      <c r="A2363" s="101"/>
    </row>
    <row r="2364" spans="1:1" ht="9.75" customHeight="1">
      <c r="A2364" s="101"/>
    </row>
    <row r="2365" spans="1:1" ht="9.75" customHeight="1">
      <c r="A2365" s="101"/>
    </row>
    <row r="2366" spans="1:1" ht="9.75" customHeight="1">
      <c r="A2366" s="101"/>
    </row>
    <row r="2367" spans="1:1" ht="9.75" customHeight="1">
      <c r="A2367" s="101"/>
    </row>
    <row r="2368" spans="1:1" ht="9.75" customHeight="1">
      <c r="A2368" s="101"/>
    </row>
    <row r="2369" spans="1:1" ht="9.75" customHeight="1">
      <c r="A2369" s="101"/>
    </row>
    <row r="2370" spans="1:1" ht="9.75" customHeight="1">
      <c r="A2370" s="101"/>
    </row>
    <row r="2371" spans="1:1" ht="9.75" customHeight="1">
      <c r="A2371" s="101"/>
    </row>
    <row r="2372" spans="1:1" ht="9.75" customHeight="1">
      <c r="A2372" s="101"/>
    </row>
    <row r="2373" spans="1:1" ht="9.75" customHeight="1">
      <c r="A2373" s="101"/>
    </row>
    <row r="2374" spans="1:1" ht="9.75" customHeight="1">
      <c r="A2374" s="101"/>
    </row>
    <row r="2375" spans="1:1" ht="9.75" customHeight="1">
      <c r="A2375" s="101"/>
    </row>
    <row r="2376" spans="1:1" ht="9.75" customHeight="1">
      <c r="A2376" s="101"/>
    </row>
    <row r="2377" spans="1:1" ht="9.75" customHeight="1">
      <c r="A2377" s="101"/>
    </row>
    <row r="2378" spans="1:1" ht="9.75" customHeight="1">
      <c r="A2378" s="101"/>
    </row>
    <row r="2379" spans="1:1" ht="9.75" customHeight="1">
      <c r="A2379" s="101"/>
    </row>
    <row r="2380" spans="1:1" ht="9.75" customHeight="1">
      <c r="A2380" s="101"/>
    </row>
    <row r="2381" spans="1:1" ht="9.75" customHeight="1">
      <c r="A2381" s="101"/>
    </row>
    <row r="2382" spans="1:1" ht="9.75" customHeight="1">
      <c r="A2382" s="101"/>
    </row>
    <row r="2383" spans="1:1" ht="9.75" customHeight="1">
      <c r="A2383" s="101"/>
    </row>
    <row r="2384" spans="1:1" ht="9.75" customHeight="1">
      <c r="A2384" s="101"/>
    </row>
    <row r="2385" spans="1:1" ht="9.75" customHeight="1">
      <c r="A2385" s="101"/>
    </row>
    <row r="2386" spans="1:1" ht="9.75" customHeight="1">
      <c r="A2386" s="101"/>
    </row>
    <row r="2387" spans="1:1" ht="9.75" customHeight="1">
      <c r="A2387" s="101"/>
    </row>
    <row r="2388" spans="1:1" ht="9.75" customHeight="1">
      <c r="A2388" s="101"/>
    </row>
    <row r="2389" spans="1:1" ht="9.75" customHeight="1">
      <c r="A2389" s="101"/>
    </row>
    <row r="2390" spans="1:1" ht="9.75" customHeight="1">
      <c r="A2390" s="101"/>
    </row>
    <row r="2391" spans="1:1" ht="9.75" customHeight="1">
      <c r="A2391" s="101"/>
    </row>
    <row r="2392" spans="1:1" ht="9.75" customHeight="1">
      <c r="A2392" s="101"/>
    </row>
    <row r="2393" spans="1:1" ht="9.75" customHeight="1">
      <c r="A2393" s="101"/>
    </row>
    <row r="2394" spans="1:1" ht="9.75" customHeight="1">
      <c r="A2394" s="101"/>
    </row>
    <row r="2395" spans="1:1" ht="9.75" customHeight="1">
      <c r="A2395" s="101"/>
    </row>
    <row r="2396" spans="1:1" ht="9.75" customHeight="1">
      <c r="A2396" s="101"/>
    </row>
    <row r="2397" spans="1:1" ht="9.75" customHeight="1">
      <c r="A2397" s="101"/>
    </row>
    <row r="2398" spans="1:1" ht="9.75" customHeight="1">
      <c r="A2398" s="101"/>
    </row>
    <row r="2399" spans="1:1" ht="9.75" customHeight="1">
      <c r="A2399" s="101"/>
    </row>
    <row r="2400" spans="1:1" ht="9.75" customHeight="1">
      <c r="A2400" s="101"/>
    </row>
    <row r="2401" spans="1:1" ht="9.75" customHeight="1">
      <c r="A2401" s="101"/>
    </row>
    <row r="2402" spans="1:1" ht="9.75" customHeight="1">
      <c r="A2402" s="101"/>
    </row>
    <row r="2403" spans="1:1" ht="9.75" customHeight="1">
      <c r="A2403" s="101"/>
    </row>
    <row r="2404" spans="1:1" ht="9.75" customHeight="1">
      <c r="A2404" s="101"/>
    </row>
    <row r="2405" spans="1:1" ht="9.75" customHeight="1">
      <c r="A2405" s="101"/>
    </row>
    <row r="2406" spans="1:1" ht="9.75" customHeight="1">
      <c r="A2406" s="101"/>
    </row>
    <row r="2407" spans="1:1" ht="9.75" customHeight="1">
      <c r="A2407" s="101"/>
    </row>
    <row r="2408" spans="1:1" ht="9.75" customHeight="1">
      <c r="A2408" s="101"/>
    </row>
    <row r="2409" spans="1:1" ht="9.75" customHeight="1">
      <c r="A2409" s="101"/>
    </row>
    <row r="2410" spans="1:1" ht="9.75" customHeight="1">
      <c r="A2410" s="101"/>
    </row>
    <row r="2411" spans="1:1" ht="9.75" customHeight="1">
      <c r="A2411" s="101"/>
    </row>
    <row r="2412" spans="1:1" ht="9.75" customHeight="1">
      <c r="A2412" s="101"/>
    </row>
    <row r="2413" spans="1:1" ht="9.75" customHeight="1">
      <c r="A2413" s="101"/>
    </row>
    <row r="2414" spans="1:1" ht="9.75" customHeight="1">
      <c r="A2414" s="101"/>
    </row>
    <row r="2415" spans="1:1" ht="9.75" customHeight="1">
      <c r="A2415" s="101"/>
    </row>
    <row r="2416" spans="1:1" ht="9.75" customHeight="1">
      <c r="A2416" s="101"/>
    </row>
    <row r="2417" spans="1:1" ht="9.75" customHeight="1">
      <c r="A2417" s="101"/>
    </row>
    <row r="2418" spans="1:1" ht="9.75" customHeight="1">
      <c r="A2418" s="101"/>
    </row>
    <row r="2419" spans="1:1" ht="9.75" customHeight="1">
      <c r="A2419" s="101"/>
    </row>
    <row r="2420" spans="1:1" ht="9.75" customHeight="1">
      <c r="A2420" s="101"/>
    </row>
    <row r="2421" spans="1:1" ht="9.75" customHeight="1">
      <c r="A2421" s="101"/>
    </row>
    <row r="2422" spans="1:1" ht="9.75" customHeight="1">
      <c r="A2422" s="101"/>
    </row>
    <row r="2423" spans="1:1" ht="9.75" customHeight="1">
      <c r="A2423" s="101"/>
    </row>
    <row r="2424" spans="1:1" ht="9.75" customHeight="1">
      <c r="A2424" s="101"/>
    </row>
    <row r="2425" spans="1:1" ht="9.75" customHeight="1">
      <c r="A2425" s="101"/>
    </row>
    <row r="2426" spans="1:1" ht="9.75" customHeight="1">
      <c r="A2426" s="101"/>
    </row>
    <row r="2427" spans="1:1" ht="9.75" customHeight="1">
      <c r="A2427" s="101"/>
    </row>
    <row r="2428" spans="1:1" ht="9.75" customHeight="1">
      <c r="A2428" s="101"/>
    </row>
    <row r="2429" spans="1:1" ht="9.75" customHeight="1">
      <c r="A2429" s="101"/>
    </row>
    <row r="2430" spans="1:1" ht="9.75" customHeight="1">
      <c r="A2430" s="101"/>
    </row>
    <row r="2431" spans="1:1" ht="9.75" customHeight="1">
      <c r="A2431" s="101"/>
    </row>
    <row r="2432" spans="1:1" ht="9.75" customHeight="1">
      <c r="A2432" s="101"/>
    </row>
    <row r="2433" spans="1:1" ht="9.75" customHeight="1">
      <c r="A2433" s="101"/>
    </row>
    <row r="2434" spans="1:1" ht="9.75" customHeight="1">
      <c r="A2434" s="101"/>
    </row>
    <row r="2435" spans="1:1" ht="9.75" customHeight="1">
      <c r="A2435" s="101"/>
    </row>
    <row r="2436" spans="1:1" ht="9.75" customHeight="1">
      <c r="A2436" s="101"/>
    </row>
    <row r="2437" spans="1:1" ht="9.75" customHeight="1">
      <c r="A2437" s="101"/>
    </row>
    <row r="2438" spans="1:1" ht="9.75" customHeight="1">
      <c r="A2438" s="101"/>
    </row>
    <row r="2439" spans="1:1" ht="9.75" customHeight="1">
      <c r="A2439" s="101"/>
    </row>
    <row r="2440" spans="1:1" ht="9.75" customHeight="1">
      <c r="A2440" s="101"/>
    </row>
    <row r="2441" spans="1:1" ht="9.75" customHeight="1">
      <c r="A2441" s="101"/>
    </row>
    <row r="2442" spans="1:1" ht="9.75" customHeight="1">
      <c r="A2442" s="101"/>
    </row>
    <row r="2443" spans="1:1" ht="9.75" customHeight="1">
      <c r="A2443" s="101"/>
    </row>
    <row r="2444" spans="1:1" ht="9.75" customHeight="1">
      <c r="A2444" s="101"/>
    </row>
    <row r="2445" spans="1:1" ht="9.75" customHeight="1">
      <c r="A2445" s="101"/>
    </row>
    <row r="2446" spans="1:1" ht="9.75" customHeight="1">
      <c r="A2446" s="101"/>
    </row>
    <row r="2447" spans="1:1" ht="9.75" customHeight="1">
      <c r="A2447" s="101"/>
    </row>
    <row r="2448" spans="1:1" ht="9.75" customHeight="1">
      <c r="A2448" s="101"/>
    </row>
    <row r="2449" spans="1:1" ht="9.75" customHeight="1">
      <c r="A2449" s="101"/>
    </row>
    <row r="2450" spans="1:1" ht="9.75" customHeight="1">
      <c r="A2450" s="101"/>
    </row>
    <row r="2451" spans="1:1" ht="9.75" customHeight="1">
      <c r="A2451" s="101"/>
    </row>
    <row r="2452" spans="1:1" ht="9.75" customHeight="1">
      <c r="A2452" s="101"/>
    </row>
    <row r="2453" spans="1:1" ht="9.75" customHeight="1">
      <c r="A2453" s="101"/>
    </row>
    <row r="2454" spans="1:1" ht="9.75" customHeight="1">
      <c r="A2454" s="101"/>
    </row>
    <row r="2455" spans="1:1" ht="9.75" customHeight="1">
      <c r="A2455" s="101"/>
    </row>
    <row r="2456" spans="1:1" ht="9.75" customHeight="1">
      <c r="A2456" s="101"/>
    </row>
    <row r="2457" spans="1:1" ht="9.75" customHeight="1">
      <c r="A2457" s="101"/>
    </row>
    <row r="2458" spans="1:1" ht="9.75" customHeight="1">
      <c r="A2458" s="101"/>
    </row>
    <row r="2459" spans="1:1" ht="9.75" customHeight="1">
      <c r="A2459" s="101"/>
    </row>
    <row r="2460" spans="1:1" ht="9.75" customHeight="1">
      <c r="A2460" s="101"/>
    </row>
    <row r="2461" spans="1:1" ht="9.75" customHeight="1">
      <c r="A2461" s="101"/>
    </row>
    <row r="2462" spans="1:1" ht="9.75" customHeight="1">
      <c r="A2462" s="101"/>
    </row>
    <row r="2463" spans="1:1" ht="9.75" customHeight="1">
      <c r="A2463" s="101"/>
    </row>
    <row r="2464" spans="1:1" ht="9.75" customHeight="1">
      <c r="A2464" s="101"/>
    </row>
    <row r="2465" spans="1:1" ht="9.75" customHeight="1">
      <c r="A2465" s="101"/>
    </row>
    <row r="2466" spans="1:1" ht="9.75" customHeight="1">
      <c r="A2466" s="101"/>
    </row>
    <row r="2467" spans="1:1" ht="9.75" customHeight="1">
      <c r="A2467" s="101"/>
    </row>
    <row r="2468" spans="1:1" ht="9.75" customHeight="1">
      <c r="A2468" s="101"/>
    </row>
    <row r="2469" spans="1:1" ht="9.75" customHeight="1">
      <c r="A2469" s="101"/>
    </row>
    <row r="2470" spans="1:1" ht="9.75" customHeight="1">
      <c r="A2470" s="101"/>
    </row>
    <row r="2471" spans="1:1" ht="9.75" customHeight="1">
      <c r="A2471" s="101"/>
    </row>
    <row r="2472" spans="1:1" ht="9.75" customHeight="1">
      <c r="A2472" s="101"/>
    </row>
    <row r="2473" spans="1:1" ht="9.75" customHeight="1">
      <c r="A2473" s="101"/>
    </row>
    <row r="2474" spans="1:1" ht="9.75" customHeight="1">
      <c r="A2474" s="101"/>
    </row>
    <row r="2475" spans="1:1" ht="9.75" customHeight="1">
      <c r="A2475" s="101"/>
    </row>
    <row r="2476" spans="1:1" ht="9.75" customHeight="1">
      <c r="A2476" s="101"/>
    </row>
    <row r="2477" spans="1:1" ht="9.75" customHeight="1">
      <c r="A2477" s="101"/>
    </row>
    <row r="2478" spans="1:1" ht="9.75" customHeight="1">
      <c r="A2478" s="101"/>
    </row>
    <row r="2479" spans="1:1" ht="9.75" customHeight="1">
      <c r="A2479" s="101"/>
    </row>
    <row r="2480" spans="1:1" ht="9.75" customHeight="1">
      <c r="A2480" s="101"/>
    </row>
    <row r="2481" spans="1:1" ht="9.75" customHeight="1">
      <c r="A2481" s="101"/>
    </row>
    <row r="2482" spans="1:1" ht="9.75" customHeight="1">
      <c r="A2482" s="101"/>
    </row>
    <row r="2483" spans="1:1" ht="9.75" customHeight="1">
      <c r="A2483" s="101"/>
    </row>
    <row r="2484" spans="1:1" ht="9.75" customHeight="1">
      <c r="A2484" s="101"/>
    </row>
    <row r="2485" spans="1:1" ht="9.75" customHeight="1">
      <c r="A2485" s="101"/>
    </row>
    <row r="2486" spans="1:1" ht="9.75" customHeight="1">
      <c r="A2486" s="101"/>
    </row>
    <row r="2487" spans="1:1" ht="9.75" customHeight="1">
      <c r="A2487" s="101"/>
    </row>
    <row r="2488" spans="1:1" ht="9.75" customHeight="1">
      <c r="A2488" s="101"/>
    </row>
    <row r="2489" spans="1:1" ht="9.75" customHeight="1">
      <c r="A2489" s="101"/>
    </row>
    <row r="2490" spans="1:1" ht="9.75" customHeight="1">
      <c r="A2490" s="101"/>
    </row>
    <row r="2491" spans="1:1" ht="9.75" customHeight="1">
      <c r="A2491" s="101"/>
    </row>
    <row r="2492" spans="1:1" ht="9.75" customHeight="1">
      <c r="A2492" s="101"/>
    </row>
    <row r="2493" spans="1:1" ht="9.75" customHeight="1">
      <c r="A2493" s="101"/>
    </row>
    <row r="2494" spans="1:1" ht="9.75" customHeight="1">
      <c r="A2494" s="101"/>
    </row>
    <row r="2495" spans="1:1" ht="9.75" customHeight="1">
      <c r="A2495" s="101"/>
    </row>
    <row r="2496" spans="1:1" ht="9.75" customHeight="1">
      <c r="A2496" s="101"/>
    </row>
    <row r="2497" spans="1:1" ht="9.75" customHeight="1">
      <c r="A2497" s="101"/>
    </row>
    <row r="2498" spans="1:1" ht="9.75" customHeight="1">
      <c r="A2498" s="101"/>
    </row>
    <row r="2499" spans="1:1" ht="9.75" customHeight="1">
      <c r="A2499" s="101"/>
    </row>
    <row r="2500" spans="1:1" ht="9.75" customHeight="1">
      <c r="A2500" s="101"/>
    </row>
    <row r="2501" spans="1:1" ht="9.75" customHeight="1">
      <c r="A2501" s="101"/>
    </row>
    <row r="2502" spans="1:1" ht="9.75" customHeight="1">
      <c r="A2502" s="101"/>
    </row>
    <row r="2503" spans="1:1" ht="9.75" customHeight="1">
      <c r="A2503" s="101"/>
    </row>
    <row r="2504" spans="1:1" ht="9.75" customHeight="1">
      <c r="A2504" s="101"/>
    </row>
    <row r="2505" spans="1:1" ht="9.75" customHeight="1">
      <c r="A2505" s="101"/>
    </row>
    <row r="2506" spans="1:1" ht="9.75" customHeight="1">
      <c r="A2506" s="101"/>
    </row>
    <row r="2507" spans="1:1" ht="9.75" customHeight="1">
      <c r="A2507" s="101"/>
    </row>
    <row r="2508" spans="1:1" ht="9.75" customHeight="1">
      <c r="A2508" s="101"/>
    </row>
    <row r="2509" spans="1:1" ht="9.75" customHeight="1">
      <c r="A2509" s="101"/>
    </row>
    <row r="2510" spans="1:1" ht="9.75" customHeight="1">
      <c r="A2510" s="101"/>
    </row>
    <row r="2511" spans="1:1" ht="9.75" customHeight="1">
      <c r="A2511" s="101"/>
    </row>
    <row r="2512" spans="1:1" ht="9.75" customHeight="1">
      <c r="A2512" s="101"/>
    </row>
    <row r="2513" spans="1:1" ht="9.75" customHeight="1">
      <c r="A2513" s="101"/>
    </row>
    <row r="2514" spans="1:1" ht="9.75" customHeight="1">
      <c r="A2514" s="101"/>
    </row>
    <row r="2515" spans="1:1" ht="9.75" customHeight="1">
      <c r="A2515" s="101"/>
    </row>
    <row r="2516" spans="1:1" ht="9.75" customHeight="1">
      <c r="A2516" s="101"/>
    </row>
    <row r="2517" spans="1:1" ht="9.75" customHeight="1">
      <c r="A2517" s="101"/>
    </row>
    <row r="2518" spans="1:1" ht="9.75" customHeight="1">
      <c r="A2518" s="101"/>
    </row>
    <row r="2519" spans="1:1" ht="9.75" customHeight="1">
      <c r="A2519" s="101"/>
    </row>
    <row r="2520" spans="1:1" ht="9.75" customHeight="1">
      <c r="A2520" s="101"/>
    </row>
    <row r="2521" spans="1:1" ht="9.75" customHeight="1">
      <c r="A2521" s="101"/>
    </row>
    <row r="2522" spans="1:1" ht="9.75" customHeight="1">
      <c r="A2522" s="101"/>
    </row>
    <row r="2523" spans="1:1" ht="9.75" customHeight="1">
      <c r="A2523" s="101"/>
    </row>
    <row r="2524" spans="1:1" ht="9.75" customHeight="1">
      <c r="A2524" s="101"/>
    </row>
    <row r="2525" spans="1:1" ht="9.75" customHeight="1">
      <c r="A2525" s="101"/>
    </row>
    <row r="2526" spans="1:1" ht="9.75" customHeight="1">
      <c r="A2526" s="101"/>
    </row>
    <row r="2527" spans="1:1" ht="9.75" customHeight="1">
      <c r="A2527" s="101"/>
    </row>
    <row r="2528" spans="1:1" ht="9.75" customHeight="1">
      <c r="A2528" s="101"/>
    </row>
    <row r="2529" spans="1:1" ht="9.75" customHeight="1">
      <c r="A2529" s="101"/>
    </row>
    <row r="2530" spans="1:1" ht="9.75" customHeight="1">
      <c r="A2530" s="101"/>
    </row>
    <row r="2531" spans="1:1" ht="9.75" customHeight="1">
      <c r="A2531" s="101"/>
    </row>
    <row r="2532" spans="1:1" ht="9.75" customHeight="1">
      <c r="A2532" s="101"/>
    </row>
    <row r="2533" spans="1:1" ht="9.75" customHeight="1">
      <c r="A2533" s="101"/>
    </row>
    <row r="2534" spans="1:1" ht="9.75" customHeight="1">
      <c r="A2534" s="101"/>
    </row>
    <row r="2535" spans="1:1" ht="9.75" customHeight="1">
      <c r="A2535" s="101"/>
    </row>
    <row r="2536" spans="1:1" ht="9.75" customHeight="1">
      <c r="A2536" s="101"/>
    </row>
    <row r="2537" spans="1:1" ht="9.75" customHeight="1">
      <c r="A2537" s="101"/>
    </row>
    <row r="2538" spans="1:1" ht="9.75" customHeight="1">
      <c r="A2538" s="101"/>
    </row>
    <row r="2539" spans="1:1" ht="9.75" customHeight="1">
      <c r="A2539" s="101"/>
    </row>
    <row r="2540" spans="1:1" ht="9.75" customHeight="1">
      <c r="A2540" s="101"/>
    </row>
    <row r="2541" spans="1:1" ht="9.75" customHeight="1">
      <c r="A2541" s="101"/>
    </row>
    <row r="2542" spans="1:1" ht="9.75" customHeight="1">
      <c r="A2542" s="101"/>
    </row>
    <row r="2543" spans="1:1" ht="9.75" customHeight="1">
      <c r="A2543" s="101"/>
    </row>
    <row r="2544" spans="1:1" ht="9.75" customHeight="1">
      <c r="A2544" s="101"/>
    </row>
    <row r="2545" spans="1:1" ht="9.75" customHeight="1">
      <c r="A2545" s="101"/>
    </row>
    <row r="2546" spans="1:1" ht="9.75" customHeight="1">
      <c r="A2546" s="101"/>
    </row>
    <row r="2547" spans="1:1" ht="9.75" customHeight="1">
      <c r="A2547" s="101"/>
    </row>
    <row r="2548" spans="1:1" ht="9.75" customHeight="1">
      <c r="A2548" s="101"/>
    </row>
    <row r="2549" spans="1:1" ht="9.75" customHeight="1">
      <c r="A2549" s="101"/>
    </row>
    <row r="2550" spans="1:1" ht="9.75" customHeight="1">
      <c r="A2550" s="101"/>
    </row>
    <row r="2551" spans="1:1" ht="9.75" customHeight="1">
      <c r="A2551" s="101"/>
    </row>
    <row r="2552" spans="1:1" ht="9.75" customHeight="1">
      <c r="A2552" s="101"/>
    </row>
    <row r="2553" spans="1:1" ht="9.75" customHeight="1">
      <c r="A2553" s="101"/>
    </row>
    <row r="2554" spans="1:1" ht="9.75" customHeight="1">
      <c r="A2554" s="101"/>
    </row>
    <row r="2555" spans="1:1" ht="9.75" customHeight="1">
      <c r="A2555" s="101"/>
    </row>
    <row r="2556" spans="1:1" ht="9.75" customHeight="1">
      <c r="A2556" s="101"/>
    </row>
    <row r="2557" spans="1:1" ht="9.75" customHeight="1">
      <c r="A2557" s="101"/>
    </row>
    <row r="2558" spans="1:1" ht="9.75" customHeight="1">
      <c r="A2558" s="101"/>
    </row>
    <row r="2559" spans="1:1" ht="9.75" customHeight="1">
      <c r="A2559" s="101"/>
    </row>
    <row r="2560" spans="1:1" ht="9.75" customHeight="1">
      <c r="A2560" s="101"/>
    </row>
    <row r="2561" spans="1:1" ht="9.75" customHeight="1">
      <c r="A2561" s="101"/>
    </row>
    <row r="2562" spans="1:1" ht="9.75" customHeight="1">
      <c r="A2562" s="101"/>
    </row>
    <row r="2563" spans="1:1" ht="9.75" customHeight="1">
      <c r="A2563" s="101"/>
    </row>
    <row r="2564" spans="1:1" ht="9.75" customHeight="1">
      <c r="A2564" s="101"/>
    </row>
    <row r="2565" spans="1:1" ht="9.75" customHeight="1">
      <c r="A2565" s="101"/>
    </row>
    <row r="2566" spans="1:1" ht="9.75" customHeight="1">
      <c r="A2566" s="101"/>
    </row>
    <row r="2567" spans="1:1" ht="9.75" customHeight="1">
      <c r="A2567" s="101"/>
    </row>
    <row r="2568" spans="1:1" ht="9.75" customHeight="1">
      <c r="A2568" s="101"/>
    </row>
    <row r="2569" spans="1:1" ht="9.75" customHeight="1">
      <c r="A2569" s="101"/>
    </row>
    <row r="2570" spans="1:1" ht="9.75" customHeight="1">
      <c r="A2570" s="101"/>
    </row>
    <row r="2571" spans="1:1" ht="9.75" customHeight="1">
      <c r="A2571" s="101"/>
    </row>
    <row r="2572" spans="1:1" ht="9.75" customHeight="1">
      <c r="A2572" s="101"/>
    </row>
    <row r="2573" spans="1:1" ht="9.75" customHeight="1">
      <c r="A2573" s="101"/>
    </row>
    <row r="2574" spans="1:1" ht="9.75" customHeight="1">
      <c r="A2574" s="101"/>
    </row>
    <row r="2575" spans="1:1" ht="9.75" customHeight="1">
      <c r="A2575" s="101"/>
    </row>
    <row r="2576" spans="1:1" ht="9.75" customHeight="1">
      <c r="A2576" s="101"/>
    </row>
    <row r="2577" spans="1:1" ht="9.75" customHeight="1">
      <c r="A2577" s="101"/>
    </row>
    <row r="2578" spans="1:1" ht="9.75" customHeight="1">
      <c r="A2578" s="101"/>
    </row>
    <row r="2579" spans="1:1" ht="9.75" customHeight="1">
      <c r="A2579" s="101"/>
    </row>
    <row r="2580" spans="1:1" ht="9.75" customHeight="1">
      <c r="A2580" s="101"/>
    </row>
    <row r="2581" spans="1:1" ht="9.75" customHeight="1">
      <c r="A2581" s="101"/>
    </row>
    <row r="2582" spans="1:1" ht="9.75" customHeight="1">
      <c r="A2582" s="101"/>
    </row>
    <row r="2583" spans="1:1" ht="9.75" customHeight="1">
      <c r="A2583" s="101"/>
    </row>
    <row r="2584" spans="1:1" ht="9.75" customHeight="1">
      <c r="A2584" s="101"/>
    </row>
    <row r="2585" spans="1:1" ht="9.75" customHeight="1">
      <c r="A2585" s="101"/>
    </row>
    <row r="2586" spans="1:1" ht="9.75" customHeight="1">
      <c r="A2586" s="101"/>
    </row>
    <row r="2587" spans="1:1" ht="9.75" customHeight="1">
      <c r="A2587" s="101"/>
    </row>
    <row r="2588" spans="1:1" ht="9.75" customHeight="1">
      <c r="A2588" s="101"/>
    </row>
    <row r="2589" spans="1:1" ht="9.75" customHeight="1">
      <c r="A2589" s="101"/>
    </row>
    <row r="2590" spans="1:1" ht="9.75" customHeight="1">
      <c r="A2590" s="101"/>
    </row>
    <row r="2591" spans="1:1" ht="9.75" customHeight="1">
      <c r="A2591" s="101"/>
    </row>
    <row r="2592" spans="1:1" ht="9.75" customHeight="1">
      <c r="A2592" s="101"/>
    </row>
    <row r="2593" spans="1:1" ht="9.75" customHeight="1">
      <c r="A2593" s="101"/>
    </row>
    <row r="2594" spans="1:1" ht="9.75" customHeight="1">
      <c r="A2594" s="101"/>
    </row>
    <row r="2595" spans="1:1" ht="9.75" customHeight="1">
      <c r="A2595" s="101"/>
    </row>
    <row r="2596" spans="1:1" ht="9.75" customHeight="1">
      <c r="A2596" s="101"/>
    </row>
    <row r="2597" spans="1:1" ht="9.75" customHeight="1">
      <c r="A2597" s="101"/>
    </row>
    <row r="2598" spans="1:1" ht="9.75" customHeight="1">
      <c r="A2598" s="101"/>
    </row>
    <row r="2599" spans="1:1" ht="9.75" customHeight="1">
      <c r="A2599" s="101"/>
    </row>
    <row r="2600" spans="1:1" ht="9.75" customHeight="1">
      <c r="A2600" s="101"/>
    </row>
    <row r="2601" spans="1:1" ht="9.75" customHeight="1">
      <c r="A2601" s="101"/>
    </row>
    <row r="2602" spans="1:1" ht="9.75" customHeight="1">
      <c r="A2602" s="101"/>
    </row>
    <row r="2603" spans="1:1" ht="9.75" customHeight="1">
      <c r="A2603" s="101"/>
    </row>
    <row r="2604" spans="1:1" ht="9.75" customHeight="1">
      <c r="A2604" s="101"/>
    </row>
    <row r="2605" spans="1:1" ht="9.75" customHeight="1">
      <c r="A2605" s="101"/>
    </row>
    <row r="2606" spans="1:1" ht="9.75" customHeight="1">
      <c r="A2606" s="101"/>
    </row>
    <row r="2607" spans="1:1" ht="9.75" customHeight="1">
      <c r="A2607" s="101"/>
    </row>
    <row r="2608" spans="1:1" ht="9.75" customHeight="1">
      <c r="A2608" s="101"/>
    </row>
    <row r="2609" spans="1:1" ht="9.75" customHeight="1">
      <c r="A2609" s="101"/>
    </row>
    <row r="2610" spans="1:1" ht="9.75" customHeight="1">
      <c r="A2610" s="101"/>
    </row>
    <row r="2611" spans="1:1" ht="9.75" customHeight="1">
      <c r="A2611" s="101"/>
    </row>
    <row r="2612" spans="1:1" ht="9.75" customHeight="1">
      <c r="A2612" s="101"/>
    </row>
    <row r="2613" spans="1:1" ht="9.75" customHeight="1">
      <c r="A2613" s="101"/>
    </row>
    <row r="2614" spans="1:1" ht="9.75" customHeight="1">
      <c r="A2614" s="101"/>
    </row>
    <row r="2615" spans="1:1" ht="9.75" customHeight="1">
      <c r="A2615" s="101"/>
    </row>
    <row r="2616" spans="1:1" ht="9.75" customHeight="1">
      <c r="A2616" s="101"/>
    </row>
    <row r="2617" spans="1:1" ht="9.75" customHeight="1">
      <c r="A2617" s="101"/>
    </row>
    <row r="2618" spans="1:1" ht="9.75" customHeight="1">
      <c r="A2618" s="101"/>
    </row>
    <row r="2619" spans="1:1" ht="9.75" customHeight="1">
      <c r="A2619" s="101"/>
    </row>
    <row r="2620" spans="1:1" ht="9.75" customHeight="1">
      <c r="A2620" s="101"/>
    </row>
    <row r="2621" spans="1:1" ht="9.75" customHeight="1">
      <c r="A2621" s="101"/>
    </row>
    <row r="2622" spans="1:1" ht="9.75" customHeight="1">
      <c r="A2622" s="101"/>
    </row>
    <row r="2623" spans="1:1" ht="9.75" customHeight="1">
      <c r="A2623" s="101"/>
    </row>
    <row r="2624" spans="1:1" ht="9.75" customHeight="1">
      <c r="A2624" s="101"/>
    </row>
    <row r="2625" spans="1:1" ht="9.75" customHeight="1">
      <c r="A2625" s="101"/>
    </row>
    <row r="2626" spans="1:1" ht="9.75" customHeight="1">
      <c r="A2626" s="101"/>
    </row>
    <row r="2627" spans="1:1" ht="9.75" customHeight="1">
      <c r="A2627" s="101"/>
    </row>
    <row r="2628" spans="1:1" ht="9.75" customHeight="1">
      <c r="A2628" s="101"/>
    </row>
    <row r="2629" spans="1:1" ht="9.75" customHeight="1">
      <c r="A2629" s="101"/>
    </row>
    <row r="2630" spans="1:1" ht="9.75" customHeight="1">
      <c r="A2630" s="101"/>
    </row>
    <row r="2631" spans="1:1" ht="9.75" customHeight="1">
      <c r="A2631" s="101"/>
    </row>
    <row r="2632" spans="1:1" ht="9.75" customHeight="1">
      <c r="A2632" s="101"/>
    </row>
    <row r="2633" spans="1:1" ht="9.75" customHeight="1">
      <c r="A2633" s="101"/>
    </row>
    <row r="2634" spans="1:1" ht="9.75" customHeight="1">
      <c r="A2634" s="101"/>
    </row>
    <row r="2635" spans="1:1" ht="9.75" customHeight="1">
      <c r="A2635" s="101"/>
    </row>
    <row r="2636" spans="1:1" ht="9.75" customHeight="1">
      <c r="A2636" s="101"/>
    </row>
    <row r="2637" spans="1:1" ht="9.75" customHeight="1">
      <c r="A2637" s="101"/>
    </row>
    <row r="2638" spans="1:1" ht="9.75" customHeight="1">
      <c r="A2638" s="101"/>
    </row>
    <row r="2639" spans="1:1" ht="9.75" customHeight="1">
      <c r="A2639" s="101"/>
    </row>
    <row r="2640" spans="1:1" ht="9.75" customHeight="1">
      <c r="A2640" s="101"/>
    </row>
    <row r="2641" spans="1:1" ht="9.75" customHeight="1">
      <c r="A2641" s="101"/>
    </row>
    <row r="2642" spans="1:1" ht="9.75" customHeight="1">
      <c r="A2642" s="101"/>
    </row>
    <row r="2643" spans="1:1" ht="9.75" customHeight="1">
      <c r="A2643" s="101"/>
    </row>
    <row r="2644" spans="1:1" ht="9.75" customHeight="1">
      <c r="A2644" s="101"/>
    </row>
    <row r="2645" spans="1:1" ht="9.75" customHeight="1">
      <c r="A2645" s="101"/>
    </row>
    <row r="2646" spans="1:1" ht="9.75" customHeight="1">
      <c r="A2646" s="101"/>
    </row>
    <row r="2647" spans="1:1" ht="9.75" customHeight="1">
      <c r="A2647" s="101"/>
    </row>
    <row r="2648" spans="1:1" ht="9.75" customHeight="1">
      <c r="A2648" s="101"/>
    </row>
    <row r="2649" spans="1:1" ht="9.75" customHeight="1">
      <c r="A2649" s="101"/>
    </row>
    <row r="2650" spans="1:1" ht="9.75" customHeight="1">
      <c r="A2650" s="101"/>
    </row>
    <row r="2651" spans="1:1" ht="9.75" customHeight="1">
      <c r="A2651" s="101"/>
    </row>
    <row r="2652" spans="1:1" ht="9.75" customHeight="1">
      <c r="A2652" s="101"/>
    </row>
    <row r="2653" spans="1:1" ht="9.75" customHeight="1">
      <c r="A2653" s="101"/>
    </row>
    <row r="2654" spans="1:1" ht="9.75" customHeight="1">
      <c r="A2654" s="101"/>
    </row>
    <row r="2655" spans="1:1" ht="9.75" customHeight="1">
      <c r="A2655" s="101"/>
    </row>
    <row r="2656" spans="1:1" ht="9.75" customHeight="1">
      <c r="A2656" s="101"/>
    </row>
    <row r="2657" spans="1:1" ht="9.75" customHeight="1">
      <c r="A2657" s="101"/>
    </row>
    <row r="2658" spans="1:1" ht="9.75" customHeight="1">
      <c r="A2658" s="101"/>
    </row>
    <row r="2659" spans="1:1" ht="9.75" customHeight="1">
      <c r="A2659" s="101"/>
    </row>
    <row r="2660" spans="1:1" ht="9.75" customHeight="1">
      <c r="A2660" s="101"/>
    </row>
    <row r="2661" spans="1:1" ht="9.75" customHeight="1">
      <c r="A2661" s="101"/>
    </row>
    <row r="2662" spans="1:1" ht="9.75" customHeight="1">
      <c r="A2662" s="101"/>
    </row>
    <row r="2663" spans="1:1" ht="9.75" customHeight="1">
      <c r="A2663" s="101"/>
    </row>
    <row r="2664" spans="1:1" ht="9.75" customHeight="1">
      <c r="A2664" s="101"/>
    </row>
    <row r="2665" spans="1:1" ht="9.75" customHeight="1">
      <c r="A2665" s="101"/>
    </row>
    <row r="2666" spans="1:1" ht="9.75" customHeight="1">
      <c r="A2666" s="101"/>
    </row>
    <row r="2667" spans="1:1" ht="9.75" customHeight="1">
      <c r="A2667" s="101"/>
    </row>
    <row r="2668" spans="1:1" ht="9.75" customHeight="1">
      <c r="A2668" s="101"/>
    </row>
    <row r="2669" spans="1:1" ht="9.75" customHeight="1">
      <c r="A2669" s="101"/>
    </row>
    <row r="2670" spans="1:1" ht="9.75" customHeight="1">
      <c r="A2670" s="101"/>
    </row>
    <row r="2671" spans="1:1" ht="9.75" customHeight="1">
      <c r="A2671" s="101"/>
    </row>
    <row r="2672" spans="1:1" ht="9.75" customHeight="1">
      <c r="A2672" s="101"/>
    </row>
    <row r="2673" spans="1:1" ht="9.75" customHeight="1">
      <c r="A2673" s="101"/>
    </row>
    <row r="2674" spans="1:1" ht="9.75" customHeight="1">
      <c r="A2674" s="101"/>
    </row>
    <row r="2675" spans="1:1" ht="9.75" customHeight="1">
      <c r="A2675" s="101"/>
    </row>
    <row r="2676" spans="1:1" ht="9.75" customHeight="1">
      <c r="A2676" s="101"/>
    </row>
    <row r="2677" spans="1:1" ht="9.75" customHeight="1">
      <c r="A2677" s="101"/>
    </row>
    <row r="2678" spans="1:1" ht="9.75" customHeight="1">
      <c r="A2678" s="101"/>
    </row>
    <row r="2679" spans="1:1" ht="9.75" customHeight="1">
      <c r="A2679" s="101"/>
    </row>
    <row r="2680" spans="1:1" ht="9.75" customHeight="1">
      <c r="A2680" s="101"/>
    </row>
    <row r="2681" spans="1:1" ht="9.75" customHeight="1">
      <c r="A2681" s="101"/>
    </row>
    <row r="2682" spans="1:1" ht="9.75" customHeight="1">
      <c r="A2682" s="101"/>
    </row>
    <row r="2683" spans="1:1" ht="9.75" customHeight="1">
      <c r="A2683" s="101"/>
    </row>
    <row r="2684" spans="1:1" ht="9.75" customHeight="1">
      <c r="A2684" s="101"/>
    </row>
    <row r="2685" spans="1:1" ht="9.75" customHeight="1">
      <c r="A2685" s="101"/>
    </row>
    <row r="2686" spans="1:1" ht="9.75" customHeight="1">
      <c r="A2686" s="101"/>
    </row>
    <row r="2687" spans="1:1" ht="9.75" customHeight="1">
      <c r="A2687" s="101"/>
    </row>
    <row r="2688" spans="1:1" ht="9.75" customHeight="1">
      <c r="A2688" s="101"/>
    </row>
    <row r="2689" spans="1:1" ht="9.75" customHeight="1">
      <c r="A2689" s="101"/>
    </row>
    <row r="2690" spans="1:1" ht="9.75" customHeight="1">
      <c r="A2690" s="101"/>
    </row>
    <row r="2691" spans="1:1" ht="9.75" customHeight="1">
      <c r="A2691" s="101"/>
    </row>
    <row r="2692" spans="1:1" ht="9.75" customHeight="1">
      <c r="A2692" s="101"/>
    </row>
    <row r="2693" spans="1:1" ht="9.75" customHeight="1">
      <c r="A2693" s="101"/>
    </row>
    <row r="2694" spans="1:1" ht="9.75" customHeight="1">
      <c r="A2694" s="101"/>
    </row>
    <row r="2695" spans="1:1" ht="9.75" customHeight="1">
      <c r="A2695" s="101"/>
    </row>
    <row r="2696" spans="1:1" ht="9.75" customHeight="1">
      <c r="A2696" s="101"/>
    </row>
    <row r="2697" spans="1:1" ht="9.75" customHeight="1">
      <c r="A2697" s="101"/>
    </row>
    <row r="2698" spans="1:1" ht="9.75" customHeight="1">
      <c r="A2698" s="101"/>
    </row>
    <row r="2699" spans="1:1" ht="9.75" customHeight="1">
      <c r="A2699" s="101"/>
    </row>
    <row r="2700" spans="1:1" ht="9.75" customHeight="1">
      <c r="A2700" s="101"/>
    </row>
    <row r="2701" spans="1:1" ht="9.75" customHeight="1">
      <c r="A2701" s="101"/>
    </row>
    <row r="2702" spans="1:1" ht="9.75" customHeight="1">
      <c r="A2702" s="101"/>
    </row>
    <row r="2703" spans="1:1" ht="9.75" customHeight="1">
      <c r="A2703" s="101"/>
    </row>
    <row r="2704" spans="1:1" ht="9.75" customHeight="1">
      <c r="A2704" s="101"/>
    </row>
    <row r="2705" spans="1:1" ht="9.75" customHeight="1">
      <c r="A2705" s="101"/>
    </row>
    <row r="2706" spans="1:1" ht="9.75" customHeight="1">
      <c r="A2706" s="101"/>
    </row>
    <row r="2707" spans="1:1" ht="9.75" customHeight="1">
      <c r="A2707" s="101"/>
    </row>
    <row r="2708" spans="1:1" ht="9.75" customHeight="1">
      <c r="A2708" s="101"/>
    </row>
    <row r="2709" spans="1:1" ht="9.75" customHeight="1">
      <c r="A2709" s="101"/>
    </row>
    <row r="2710" spans="1:1" ht="9.75" customHeight="1">
      <c r="A2710" s="101"/>
    </row>
    <row r="2711" spans="1:1" ht="9.75" customHeight="1">
      <c r="A2711" s="101"/>
    </row>
    <row r="2712" spans="1:1" ht="9.75" customHeight="1">
      <c r="A2712" s="101"/>
    </row>
    <row r="2713" spans="1:1" ht="9.75" customHeight="1">
      <c r="A2713" s="101"/>
    </row>
    <row r="2714" spans="1:1" ht="9.75" customHeight="1">
      <c r="A2714" s="101"/>
    </row>
    <row r="2715" spans="1:1" ht="9.75" customHeight="1">
      <c r="A2715" s="101"/>
    </row>
    <row r="2716" spans="1:1" ht="9.75" customHeight="1">
      <c r="A2716" s="101"/>
    </row>
    <row r="2717" spans="1:1" ht="9.75" customHeight="1">
      <c r="A2717" s="101"/>
    </row>
    <row r="2718" spans="1:1" ht="9.75" customHeight="1">
      <c r="A2718" s="101"/>
    </row>
    <row r="2719" spans="1:1" ht="9.75" customHeight="1">
      <c r="A2719" s="101"/>
    </row>
    <row r="2720" spans="1:1" ht="9.75" customHeight="1">
      <c r="A2720" s="101"/>
    </row>
    <row r="2721" spans="1:1" ht="9.75" customHeight="1">
      <c r="A2721" s="101"/>
    </row>
    <row r="2722" spans="1:1" ht="9.75" customHeight="1">
      <c r="A2722" s="101"/>
    </row>
    <row r="2723" spans="1:1" ht="9.75" customHeight="1">
      <c r="A2723" s="101"/>
    </row>
    <row r="2724" spans="1:1" ht="9.75" customHeight="1">
      <c r="A2724" s="101"/>
    </row>
    <row r="2725" spans="1:1" ht="9.75" customHeight="1">
      <c r="A2725" s="101"/>
    </row>
    <row r="2726" spans="1:1" ht="9.75" customHeight="1">
      <c r="A2726" s="101"/>
    </row>
    <row r="2727" spans="1:1" ht="9.75" customHeight="1">
      <c r="A2727" s="101"/>
    </row>
    <row r="2728" spans="1:1" ht="9.75" customHeight="1">
      <c r="A2728" s="101"/>
    </row>
    <row r="2729" spans="1:1" ht="9.75" customHeight="1">
      <c r="A2729" s="101"/>
    </row>
    <row r="2730" spans="1:1" ht="9.75" customHeight="1">
      <c r="A2730" s="101"/>
    </row>
    <row r="2731" spans="1:1" ht="9.75" customHeight="1">
      <c r="A2731" s="101"/>
    </row>
    <row r="2732" spans="1:1" ht="9.75" customHeight="1">
      <c r="A2732" s="101"/>
    </row>
    <row r="2733" spans="1:1" ht="9.75" customHeight="1">
      <c r="A2733" s="101"/>
    </row>
    <row r="2734" spans="1:1" ht="9.75" customHeight="1">
      <c r="A2734" s="101"/>
    </row>
    <row r="2735" spans="1:1" ht="9.75" customHeight="1">
      <c r="A2735" s="101"/>
    </row>
    <row r="2736" spans="1:1" ht="9.75" customHeight="1">
      <c r="A2736" s="101"/>
    </row>
    <row r="2737" spans="1:1" ht="9.75" customHeight="1">
      <c r="A2737" s="101"/>
    </row>
    <row r="2738" spans="1:1" ht="9.75" customHeight="1">
      <c r="A2738" s="101"/>
    </row>
    <row r="2739" spans="1:1" ht="9.75" customHeight="1">
      <c r="A2739" s="101"/>
    </row>
    <row r="2740" spans="1:1" ht="9.75" customHeight="1">
      <c r="A2740" s="101"/>
    </row>
    <row r="2741" spans="1:1" ht="9.75" customHeight="1">
      <c r="A2741" s="101"/>
    </row>
    <row r="2742" spans="1:1" ht="9.75" customHeight="1">
      <c r="A2742" s="101"/>
    </row>
    <row r="2743" spans="1:1" ht="9.75" customHeight="1">
      <c r="A2743" s="101"/>
    </row>
    <row r="2744" spans="1:1" ht="9.75" customHeight="1">
      <c r="A2744" s="101"/>
    </row>
    <row r="2745" spans="1:1" ht="9.75" customHeight="1">
      <c r="A2745" s="101"/>
    </row>
    <row r="2746" spans="1:1" ht="9.75" customHeight="1">
      <c r="A2746" s="101"/>
    </row>
    <row r="2747" spans="1:1" ht="9.75" customHeight="1">
      <c r="A2747" s="101"/>
    </row>
    <row r="2748" spans="1:1" ht="9.75" customHeight="1">
      <c r="A2748" s="101"/>
    </row>
    <row r="2749" spans="1:1" ht="9.75" customHeight="1">
      <c r="A2749" s="101"/>
    </row>
    <row r="2750" spans="1:1" ht="9.75" customHeight="1">
      <c r="A2750" s="101"/>
    </row>
    <row r="2751" spans="1:1" ht="9.75" customHeight="1">
      <c r="A2751" s="101"/>
    </row>
    <row r="2752" spans="1:1" ht="9.75" customHeight="1">
      <c r="A2752" s="101"/>
    </row>
    <row r="2753" spans="1:1" ht="9.75" customHeight="1">
      <c r="A2753" s="101"/>
    </row>
    <row r="2754" spans="1:1" ht="9.75" customHeight="1">
      <c r="A2754" s="101"/>
    </row>
    <row r="2755" spans="1:1" ht="9.75" customHeight="1">
      <c r="A2755" s="101"/>
    </row>
    <row r="2756" spans="1:1" ht="9.75" customHeight="1">
      <c r="A2756" s="101"/>
    </row>
    <row r="2757" spans="1:1" ht="9.75" customHeight="1">
      <c r="A2757" s="101"/>
    </row>
    <row r="2758" spans="1:1" ht="9.75" customHeight="1">
      <c r="A2758" s="101"/>
    </row>
    <row r="2759" spans="1:1" ht="9.75" customHeight="1">
      <c r="A2759" s="101"/>
    </row>
    <row r="2760" spans="1:1" ht="9.75" customHeight="1">
      <c r="A2760" s="101"/>
    </row>
    <row r="2761" spans="1:1" ht="9.75" customHeight="1">
      <c r="A2761" s="101"/>
    </row>
    <row r="2762" spans="1:1" ht="9.75" customHeight="1">
      <c r="A2762" s="101"/>
    </row>
    <row r="2763" spans="1:1" ht="9.75" customHeight="1">
      <c r="A2763" s="101"/>
    </row>
    <row r="2764" spans="1:1" ht="9.75" customHeight="1">
      <c r="A2764" s="101"/>
    </row>
    <row r="2765" spans="1:1" ht="9.75" customHeight="1">
      <c r="A2765" s="101"/>
    </row>
    <row r="2766" spans="1:1" ht="9.75" customHeight="1">
      <c r="A2766" s="101"/>
    </row>
    <row r="2767" spans="1:1" ht="9.75" customHeight="1">
      <c r="A2767" s="101"/>
    </row>
    <row r="2768" spans="1:1" ht="9.75" customHeight="1">
      <c r="A2768" s="101"/>
    </row>
    <row r="2769" spans="1:1" ht="9.75" customHeight="1">
      <c r="A2769" s="101"/>
    </row>
    <row r="2770" spans="1:1" ht="9.75" customHeight="1">
      <c r="A2770" s="101"/>
    </row>
    <row r="2771" spans="1:1" ht="9.75" customHeight="1">
      <c r="A2771" s="101"/>
    </row>
    <row r="2772" spans="1:1" ht="9.75" customHeight="1">
      <c r="A2772" s="101"/>
    </row>
    <row r="2773" spans="1:1" ht="9.75" customHeight="1">
      <c r="A2773" s="101"/>
    </row>
    <row r="2774" spans="1:1" ht="9.75" customHeight="1">
      <c r="A2774" s="101"/>
    </row>
    <row r="2775" spans="1:1" ht="9.75" customHeight="1">
      <c r="A2775" s="101"/>
    </row>
    <row r="2776" spans="1:1" ht="9.75" customHeight="1">
      <c r="A2776" s="101"/>
    </row>
    <row r="2777" spans="1:1" ht="9.75" customHeight="1">
      <c r="A2777" s="101"/>
    </row>
    <row r="2778" spans="1:1" ht="9.75" customHeight="1">
      <c r="A2778" s="101"/>
    </row>
    <row r="2779" spans="1:1" ht="9.75" customHeight="1">
      <c r="A2779" s="101"/>
    </row>
    <row r="2780" spans="1:1" ht="9.75" customHeight="1">
      <c r="A2780" s="101"/>
    </row>
    <row r="2781" spans="1:1" ht="9.75" customHeight="1">
      <c r="A2781" s="101"/>
    </row>
    <row r="2782" spans="1:1" ht="9.75" customHeight="1">
      <c r="A2782" s="101"/>
    </row>
    <row r="2783" spans="1:1" ht="9.75" customHeight="1">
      <c r="A2783" s="101"/>
    </row>
    <row r="2784" spans="1:1" ht="9.75" customHeight="1">
      <c r="A2784" s="101"/>
    </row>
    <row r="2785" spans="1:1" ht="9.75" customHeight="1">
      <c r="A2785" s="101"/>
    </row>
    <row r="2786" spans="1:1" ht="9.75" customHeight="1">
      <c r="A2786" s="101"/>
    </row>
    <row r="2787" spans="1:1" ht="9.75" customHeight="1">
      <c r="A2787" s="101"/>
    </row>
    <row r="2788" spans="1:1" ht="9.75" customHeight="1">
      <c r="A2788" s="101"/>
    </row>
    <row r="2789" spans="1:1" ht="9.75" customHeight="1">
      <c r="A2789" s="101"/>
    </row>
    <row r="2790" spans="1:1" ht="9.75" customHeight="1">
      <c r="A2790" s="101"/>
    </row>
    <row r="2791" spans="1:1" ht="9.75" customHeight="1">
      <c r="A2791" s="101"/>
    </row>
    <row r="2792" spans="1:1" ht="9.75" customHeight="1">
      <c r="A2792" s="101"/>
    </row>
    <row r="2793" spans="1:1" ht="9.75" customHeight="1">
      <c r="A2793" s="101"/>
    </row>
    <row r="2794" spans="1:1" ht="9.75" customHeight="1">
      <c r="A2794" s="101"/>
    </row>
    <row r="2795" spans="1:1" ht="9.75" customHeight="1">
      <c r="A2795" s="101"/>
    </row>
    <row r="2796" spans="1:1" ht="9.75" customHeight="1">
      <c r="A2796" s="101"/>
    </row>
    <row r="2797" spans="1:1" ht="9.75" customHeight="1">
      <c r="A2797" s="101"/>
    </row>
    <row r="2798" spans="1:1" ht="9.75" customHeight="1">
      <c r="A2798" s="101"/>
    </row>
    <row r="2799" spans="1:1" ht="9.75" customHeight="1">
      <c r="A2799" s="101"/>
    </row>
    <row r="2800" spans="1:1" ht="9.75" customHeight="1">
      <c r="A2800" s="101"/>
    </row>
    <row r="2801" spans="1:1" ht="9.75" customHeight="1">
      <c r="A2801" s="101"/>
    </row>
    <row r="2802" spans="1:1" ht="9.75" customHeight="1">
      <c r="A2802" s="101"/>
    </row>
    <row r="2803" spans="1:1" ht="9.75" customHeight="1">
      <c r="A2803" s="101"/>
    </row>
    <row r="2804" spans="1:1" ht="9.75" customHeight="1">
      <c r="A2804" s="101"/>
    </row>
    <row r="2805" spans="1:1" ht="9.75" customHeight="1">
      <c r="A2805" s="101"/>
    </row>
    <row r="2806" spans="1:1" ht="9.75" customHeight="1">
      <c r="A2806" s="101"/>
    </row>
    <row r="2807" spans="1:1" ht="9.75" customHeight="1">
      <c r="A2807" s="101"/>
    </row>
    <row r="2808" spans="1:1" ht="9.75" customHeight="1">
      <c r="A2808" s="101"/>
    </row>
    <row r="2809" spans="1:1" ht="9.75" customHeight="1">
      <c r="A2809" s="101"/>
    </row>
    <row r="2810" spans="1:1" ht="9.75" customHeight="1">
      <c r="A2810" s="101"/>
    </row>
    <row r="2811" spans="1:1" ht="9.75" customHeight="1">
      <c r="A2811" s="101"/>
    </row>
    <row r="2812" spans="1:1" ht="9.75" customHeight="1">
      <c r="A2812" s="101"/>
    </row>
    <row r="2813" spans="1:1" ht="9.75" customHeight="1">
      <c r="A2813" s="101"/>
    </row>
    <row r="2814" spans="1:1" ht="9.75" customHeight="1">
      <c r="A2814" s="101"/>
    </row>
    <row r="2815" spans="1:1" ht="9.75" customHeight="1">
      <c r="A2815" s="101"/>
    </row>
    <row r="2816" spans="1:1" ht="9.75" customHeight="1">
      <c r="A2816" s="101"/>
    </row>
    <row r="2817" spans="1:1" ht="9.75" customHeight="1">
      <c r="A2817" s="101"/>
    </row>
    <row r="2818" spans="1:1" ht="9.75" customHeight="1">
      <c r="A2818" s="101"/>
    </row>
    <row r="2819" spans="1:1" ht="9.75" customHeight="1">
      <c r="A2819" s="101"/>
    </row>
    <row r="2820" spans="1:1" ht="9.75" customHeight="1">
      <c r="A2820" s="101"/>
    </row>
    <row r="2821" spans="1:1" ht="9.75" customHeight="1">
      <c r="A2821" s="101"/>
    </row>
    <row r="2822" spans="1:1" ht="9.75" customHeight="1">
      <c r="A2822" s="101"/>
    </row>
    <row r="2823" spans="1:1" ht="9.75" customHeight="1">
      <c r="A2823" s="101"/>
    </row>
    <row r="2824" spans="1:1" ht="9.75" customHeight="1">
      <c r="A2824" s="101"/>
    </row>
    <row r="2825" spans="1:1" ht="9.75" customHeight="1">
      <c r="A2825" s="101"/>
    </row>
    <row r="2826" spans="1:1" ht="9.75" customHeight="1">
      <c r="A2826" s="101"/>
    </row>
    <row r="2827" spans="1:1" ht="9.75" customHeight="1">
      <c r="A2827" s="101"/>
    </row>
    <row r="2828" spans="1:1" ht="9.75" customHeight="1">
      <c r="A2828" s="101"/>
    </row>
    <row r="2829" spans="1:1" ht="9.75" customHeight="1">
      <c r="A2829" s="101"/>
    </row>
    <row r="2830" spans="1:1" ht="9.75" customHeight="1">
      <c r="A2830" s="101"/>
    </row>
    <row r="2831" spans="1:1" ht="9.75" customHeight="1">
      <c r="A2831" s="101"/>
    </row>
    <row r="2832" spans="1:1" ht="9.75" customHeight="1">
      <c r="A2832" s="101"/>
    </row>
    <row r="2833" spans="1:1" ht="9.75" customHeight="1">
      <c r="A2833" s="101"/>
    </row>
    <row r="2834" spans="1:1" ht="9.75" customHeight="1">
      <c r="A2834" s="101"/>
    </row>
    <row r="2835" spans="1:1" ht="9.75" customHeight="1">
      <c r="A2835" s="101"/>
    </row>
    <row r="2836" spans="1:1" ht="9.75" customHeight="1">
      <c r="A2836" s="101"/>
    </row>
    <row r="2837" spans="1:1" ht="9.75" customHeight="1">
      <c r="A2837" s="101"/>
    </row>
    <row r="2838" spans="1:1" ht="9.75" customHeight="1">
      <c r="A2838" s="101"/>
    </row>
    <row r="2839" spans="1:1" ht="9.75" customHeight="1">
      <c r="A2839" s="101"/>
    </row>
    <row r="2840" spans="1:1" ht="9.75" customHeight="1">
      <c r="A2840" s="101"/>
    </row>
    <row r="2841" spans="1:1" ht="9.75" customHeight="1">
      <c r="A2841" s="101"/>
    </row>
    <row r="2842" spans="1:1" ht="9.75" customHeight="1">
      <c r="A2842" s="101"/>
    </row>
    <row r="2843" spans="1:1" ht="9.75" customHeight="1">
      <c r="A2843" s="101"/>
    </row>
    <row r="2844" spans="1:1" ht="9.75" customHeight="1">
      <c r="A2844" s="101"/>
    </row>
    <row r="2845" spans="1:1" ht="9.75" customHeight="1">
      <c r="A2845" s="101"/>
    </row>
    <row r="2846" spans="1:1" ht="9.75" customHeight="1">
      <c r="A2846" s="101"/>
    </row>
    <row r="2847" spans="1:1" ht="9.75" customHeight="1">
      <c r="A2847" s="101"/>
    </row>
    <row r="2848" spans="1:1" ht="9.75" customHeight="1">
      <c r="A2848" s="101"/>
    </row>
    <row r="2849" spans="1:1" ht="9.75" customHeight="1">
      <c r="A2849" s="101"/>
    </row>
    <row r="2850" spans="1:1" ht="9.75" customHeight="1">
      <c r="A2850" s="101"/>
    </row>
    <row r="2851" spans="1:1" ht="9.75" customHeight="1">
      <c r="A2851" s="101"/>
    </row>
    <row r="2852" spans="1:1" ht="9.75" customHeight="1">
      <c r="A2852" s="101"/>
    </row>
    <row r="2853" spans="1:1" ht="9.75" customHeight="1">
      <c r="A2853" s="101"/>
    </row>
    <row r="2854" spans="1:1" ht="9.75" customHeight="1">
      <c r="A2854" s="101"/>
    </row>
    <row r="2855" spans="1:1" ht="9.75" customHeight="1">
      <c r="A2855" s="101"/>
    </row>
    <row r="2856" spans="1:1" ht="9.75" customHeight="1">
      <c r="A2856" s="101"/>
    </row>
    <row r="2857" spans="1:1" ht="9.75" customHeight="1">
      <c r="A2857" s="101"/>
    </row>
    <row r="2858" spans="1:1" ht="9.75" customHeight="1">
      <c r="A2858" s="101"/>
    </row>
    <row r="2859" spans="1:1" ht="9.75" customHeight="1">
      <c r="A2859" s="101"/>
    </row>
    <row r="2860" spans="1:1" ht="9.75" customHeight="1">
      <c r="A2860" s="101"/>
    </row>
    <row r="2861" spans="1:1" ht="9.75" customHeight="1">
      <c r="A2861" s="101"/>
    </row>
    <row r="2862" spans="1:1" ht="9.75" customHeight="1">
      <c r="A2862" s="101"/>
    </row>
    <row r="2863" spans="1:1" ht="9.75" customHeight="1">
      <c r="A2863" s="101"/>
    </row>
    <row r="2864" spans="1:1" ht="9.75" customHeight="1">
      <c r="A2864" s="101"/>
    </row>
    <row r="2865" spans="1:1" ht="9.75" customHeight="1">
      <c r="A2865" s="101"/>
    </row>
    <row r="2866" spans="1:1" ht="9.75" customHeight="1">
      <c r="A2866" s="101"/>
    </row>
    <row r="2867" spans="1:1" ht="9.75" customHeight="1">
      <c r="A2867" s="101"/>
    </row>
    <row r="2868" spans="1:1" ht="9.75" customHeight="1">
      <c r="A2868" s="101"/>
    </row>
    <row r="2869" spans="1:1" ht="9.75" customHeight="1">
      <c r="A2869" s="101"/>
    </row>
    <row r="2870" spans="1:1" ht="9.75" customHeight="1">
      <c r="A2870" s="101"/>
    </row>
    <row r="2871" spans="1:1" ht="9.75" customHeight="1">
      <c r="A2871" s="101"/>
    </row>
    <row r="2872" spans="1:1" ht="9.75" customHeight="1">
      <c r="A2872" s="101"/>
    </row>
    <row r="2873" spans="1:1" ht="9.75" customHeight="1">
      <c r="A2873" s="101"/>
    </row>
    <row r="2874" spans="1:1" ht="9.75" customHeight="1">
      <c r="A2874" s="101"/>
    </row>
    <row r="2875" spans="1:1" ht="9.75" customHeight="1">
      <c r="A2875" s="101"/>
    </row>
    <row r="2876" spans="1:1" ht="9.75" customHeight="1">
      <c r="A2876" s="101"/>
    </row>
    <row r="2877" spans="1:1" ht="9.75" customHeight="1">
      <c r="A2877" s="101"/>
    </row>
    <row r="2878" spans="1:1" ht="9.75" customHeight="1">
      <c r="A2878" s="101"/>
    </row>
    <row r="2879" spans="1:1" ht="9.75" customHeight="1">
      <c r="A2879" s="101"/>
    </row>
    <row r="2880" spans="1:1" ht="9.75" customHeight="1">
      <c r="A2880" s="101"/>
    </row>
    <row r="2881" spans="1:1" ht="9.75" customHeight="1">
      <c r="A2881" s="101"/>
    </row>
    <row r="2882" spans="1:1" ht="9.75" customHeight="1">
      <c r="A2882" s="101"/>
    </row>
    <row r="2883" spans="1:1" ht="9.75" customHeight="1">
      <c r="A2883" s="101"/>
    </row>
    <row r="2884" spans="1:1" ht="9.75" customHeight="1">
      <c r="A2884" s="101"/>
    </row>
    <row r="2885" spans="1:1" ht="9.75" customHeight="1">
      <c r="A2885" s="101"/>
    </row>
    <row r="2886" spans="1:1" ht="9.75" customHeight="1">
      <c r="A2886" s="101"/>
    </row>
    <row r="2887" spans="1:1" ht="9.75" customHeight="1">
      <c r="A2887" s="101"/>
    </row>
    <row r="2888" spans="1:1" ht="9.75" customHeight="1">
      <c r="A2888" s="101"/>
    </row>
    <row r="2889" spans="1:1" ht="9.75" customHeight="1">
      <c r="A2889" s="101"/>
    </row>
    <row r="2890" spans="1:1" ht="9.75" customHeight="1">
      <c r="A2890" s="101"/>
    </row>
    <row r="2891" spans="1:1" ht="9.75" customHeight="1">
      <c r="A2891" s="101"/>
    </row>
    <row r="2892" spans="1:1" ht="9.75" customHeight="1">
      <c r="A2892" s="101"/>
    </row>
    <row r="2893" spans="1:1" ht="9.75" customHeight="1">
      <c r="A2893" s="101"/>
    </row>
    <row r="2894" spans="1:1" ht="9.75" customHeight="1">
      <c r="A2894" s="101"/>
    </row>
    <row r="2895" spans="1:1" ht="9.75" customHeight="1">
      <c r="A2895" s="101"/>
    </row>
    <row r="2896" spans="1:1" ht="9.75" customHeight="1">
      <c r="A2896" s="101"/>
    </row>
    <row r="2897" spans="1:1" ht="9.75" customHeight="1">
      <c r="A2897" s="101"/>
    </row>
    <row r="2898" spans="1:1" ht="9.75" customHeight="1">
      <c r="A2898" s="101"/>
    </row>
    <row r="2899" spans="1:1" ht="9.75" customHeight="1">
      <c r="A2899" s="101"/>
    </row>
    <row r="2900" spans="1:1" ht="9.75" customHeight="1">
      <c r="A2900" s="101"/>
    </row>
    <row r="2901" spans="1:1" ht="9.75" customHeight="1">
      <c r="A2901" s="101"/>
    </row>
    <row r="2902" spans="1:1" ht="9.75" customHeight="1">
      <c r="A2902" s="101"/>
    </row>
    <row r="2903" spans="1:1" ht="9.75" customHeight="1">
      <c r="A2903" s="101"/>
    </row>
    <row r="2904" spans="1:1" ht="9.75" customHeight="1">
      <c r="A2904" s="101"/>
    </row>
    <row r="2905" spans="1:1" ht="9.75" customHeight="1">
      <c r="A2905" s="101"/>
    </row>
    <row r="2906" spans="1:1" ht="9.75" customHeight="1">
      <c r="A2906" s="101"/>
    </row>
    <row r="2907" spans="1:1" ht="9.75" customHeight="1">
      <c r="A2907" s="101"/>
    </row>
    <row r="2908" spans="1:1" ht="9.75" customHeight="1">
      <c r="A2908" s="101"/>
    </row>
    <row r="2909" spans="1:1" ht="9.75" customHeight="1">
      <c r="A2909" s="101"/>
    </row>
    <row r="2910" spans="1:1" ht="9.75" customHeight="1">
      <c r="A2910" s="101"/>
    </row>
    <row r="2911" spans="1:1" ht="9.75" customHeight="1">
      <c r="A2911" s="101"/>
    </row>
    <row r="2912" spans="1:1" ht="9.75" customHeight="1">
      <c r="A2912" s="101"/>
    </row>
    <row r="2913" spans="1:1" ht="9.75" customHeight="1">
      <c r="A2913" s="101"/>
    </row>
    <row r="2914" spans="1:1" ht="9.75" customHeight="1">
      <c r="A2914" s="101"/>
    </row>
    <row r="2915" spans="1:1" ht="9.75" customHeight="1">
      <c r="A2915" s="101"/>
    </row>
    <row r="2916" spans="1:1" ht="9.75" customHeight="1">
      <c r="A2916" s="101"/>
    </row>
    <row r="2917" spans="1:1" ht="9.75" customHeight="1">
      <c r="A2917" s="101"/>
    </row>
    <row r="2918" spans="1:1" ht="9.75" customHeight="1">
      <c r="A2918" s="101"/>
    </row>
    <row r="2919" spans="1:1" ht="9.75" customHeight="1">
      <c r="A2919" s="101"/>
    </row>
    <row r="2920" spans="1:1" ht="9.75" customHeight="1">
      <c r="A2920" s="101"/>
    </row>
    <row r="2921" spans="1:1" ht="9.75" customHeight="1">
      <c r="A2921" s="101"/>
    </row>
    <row r="2922" spans="1:1" ht="9.75" customHeight="1">
      <c r="A2922" s="101"/>
    </row>
    <row r="2923" spans="1:1" ht="9.75" customHeight="1">
      <c r="A2923" s="101"/>
    </row>
    <row r="2924" spans="1:1" ht="9.75" customHeight="1">
      <c r="A2924" s="101"/>
    </row>
    <row r="2925" spans="1:1" ht="9.75" customHeight="1">
      <c r="A2925" s="101"/>
    </row>
    <row r="2926" spans="1:1" ht="9.75" customHeight="1">
      <c r="A2926" s="101"/>
    </row>
    <row r="2927" spans="1:1" ht="9.75" customHeight="1">
      <c r="A2927" s="101"/>
    </row>
    <row r="2928" spans="1:1" ht="9.75" customHeight="1">
      <c r="A2928" s="101"/>
    </row>
    <row r="2929" spans="1:1" ht="9.75" customHeight="1">
      <c r="A2929" s="101"/>
    </row>
    <row r="2930" spans="1:1" ht="9.75" customHeight="1">
      <c r="A2930" s="101"/>
    </row>
    <row r="2931" spans="1:1" ht="9.75" customHeight="1">
      <c r="A2931" s="101"/>
    </row>
    <row r="2932" spans="1:1" ht="9.75" customHeight="1">
      <c r="A2932" s="101"/>
    </row>
    <row r="2933" spans="1:1" ht="9.75" customHeight="1">
      <c r="A2933" s="101"/>
    </row>
    <row r="2934" spans="1:1" ht="9.75" customHeight="1">
      <c r="A2934" s="101"/>
    </row>
    <row r="2935" spans="1:1" ht="9.75" customHeight="1">
      <c r="A2935" s="101"/>
    </row>
    <row r="2936" spans="1:1" ht="9.75" customHeight="1">
      <c r="A2936" s="101"/>
    </row>
    <row r="2937" spans="1:1" ht="9.75" customHeight="1">
      <c r="A2937" s="101"/>
    </row>
    <row r="2938" spans="1:1" ht="9.75" customHeight="1">
      <c r="A2938" s="101"/>
    </row>
    <row r="2939" spans="1:1" ht="9.75" customHeight="1">
      <c r="A2939" s="101"/>
    </row>
    <row r="2940" spans="1:1" ht="9.75" customHeight="1">
      <c r="A2940" s="101"/>
    </row>
    <row r="2941" spans="1:1" ht="9.75" customHeight="1">
      <c r="A2941" s="101"/>
    </row>
    <row r="2942" spans="1:1" ht="9.75" customHeight="1">
      <c r="A2942" s="101"/>
    </row>
    <row r="2943" spans="1:1" ht="9.75" customHeight="1">
      <c r="A2943" s="101"/>
    </row>
    <row r="2944" spans="1:1" ht="9.75" customHeight="1">
      <c r="A2944" s="101"/>
    </row>
    <row r="2945" spans="1:1" ht="9.75" customHeight="1">
      <c r="A2945" s="101"/>
    </row>
    <row r="2946" spans="1:1" ht="9.75" customHeight="1">
      <c r="A2946" s="101"/>
    </row>
    <row r="2947" spans="1:1" ht="9.75" customHeight="1">
      <c r="A2947" s="101"/>
    </row>
    <row r="2948" spans="1:1" ht="9.75" customHeight="1">
      <c r="A2948" s="101"/>
    </row>
    <row r="2949" spans="1:1" ht="9.75" customHeight="1">
      <c r="A2949" s="101"/>
    </row>
    <row r="2950" spans="1:1" ht="9.75" customHeight="1">
      <c r="A2950" s="101"/>
    </row>
    <row r="2951" spans="1:1" ht="9.75" customHeight="1">
      <c r="A2951" s="101"/>
    </row>
    <row r="2952" spans="1:1" ht="9.75" customHeight="1">
      <c r="A2952" s="101"/>
    </row>
    <row r="2953" spans="1:1" ht="9.75" customHeight="1">
      <c r="A2953" s="101"/>
    </row>
    <row r="2954" spans="1:1" ht="9.75" customHeight="1">
      <c r="A2954" s="101"/>
    </row>
    <row r="2955" spans="1:1" ht="9.75" customHeight="1">
      <c r="A2955" s="101"/>
    </row>
    <row r="2956" spans="1:1" ht="9.75" customHeight="1">
      <c r="A2956" s="101"/>
    </row>
    <row r="2957" spans="1:1" ht="9.75" customHeight="1">
      <c r="A2957" s="101"/>
    </row>
    <row r="2958" spans="1:1" ht="9.75" customHeight="1">
      <c r="A2958" s="101"/>
    </row>
    <row r="2959" spans="1:1" ht="9.75" customHeight="1">
      <c r="A2959" s="101"/>
    </row>
    <row r="2960" spans="1:1" ht="9.75" customHeight="1">
      <c r="A2960" s="101"/>
    </row>
    <row r="2961" spans="1:1" ht="9.75" customHeight="1">
      <c r="A2961" s="101"/>
    </row>
    <row r="2962" spans="1:1" ht="9.75" customHeight="1">
      <c r="A2962" s="101"/>
    </row>
    <row r="2963" spans="1:1" ht="9.75" customHeight="1">
      <c r="A2963" s="101"/>
    </row>
    <row r="2964" spans="1:1" ht="9.75" customHeight="1">
      <c r="A2964" s="101"/>
    </row>
    <row r="2965" spans="1:1" ht="9.75" customHeight="1">
      <c r="A2965" s="101"/>
    </row>
    <row r="2966" spans="1:1" ht="9.75" customHeight="1">
      <c r="A2966" s="101"/>
    </row>
    <row r="2967" spans="1:1" ht="9.75" customHeight="1">
      <c r="A2967" s="101"/>
    </row>
    <row r="2968" spans="1:1" ht="9.75" customHeight="1">
      <c r="A2968" s="101"/>
    </row>
    <row r="2969" spans="1:1" ht="9.75" customHeight="1">
      <c r="A2969" s="101"/>
    </row>
    <row r="2970" spans="1:1" ht="9.75" customHeight="1">
      <c r="A2970" s="101"/>
    </row>
    <row r="2971" spans="1:1" ht="9.75" customHeight="1">
      <c r="A2971" s="101"/>
    </row>
    <row r="2972" spans="1:1" ht="9.75" customHeight="1">
      <c r="A2972" s="101"/>
    </row>
    <row r="2973" spans="1:1" ht="9.75" customHeight="1">
      <c r="A2973" s="101"/>
    </row>
    <row r="2974" spans="1:1" ht="9.75" customHeight="1">
      <c r="A2974" s="101"/>
    </row>
    <row r="2975" spans="1:1" ht="9.75" customHeight="1">
      <c r="A2975" s="101"/>
    </row>
    <row r="2976" spans="1:1" ht="9.75" customHeight="1">
      <c r="A2976" s="101"/>
    </row>
    <row r="2977" spans="1:1" ht="9.75" customHeight="1">
      <c r="A2977" s="101"/>
    </row>
    <row r="2978" spans="1:1" ht="9.75" customHeight="1">
      <c r="A2978" s="101"/>
    </row>
    <row r="2979" spans="1:1" ht="9.75" customHeight="1">
      <c r="A2979" s="101"/>
    </row>
    <row r="2980" spans="1:1" ht="9.75" customHeight="1">
      <c r="A2980" s="101"/>
    </row>
    <row r="2981" spans="1:1" ht="9.75" customHeight="1">
      <c r="A2981" s="101"/>
    </row>
    <row r="2982" spans="1:1" ht="9.75" customHeight="1">
      <c r="A2982" s="101"/>
    </row>
    <row r="2983" spans="1:1" ht="9.75" customHeight="1">
      <c r="A2983" s="101"/>
    </row>
    <row r="2984" spans="1:1" ht="9.75" customHeight="1">
      <c r="A2984" s="101"/>
    </row>
    <row r="2985" spans="1:1" ht="9.75" customHeight="1">
      <c r="A2985" s="101"/>
    </row>
    <row r="2986" spans="1:1" ht="9.75" customHeight="1">
      <c r="A2986" s="101"/>
    </row>
    <row r="2987" spans="1:1" ht="9.75" customHeight="1">
      <c r="A2987" s="101"/>
    </row>
    <row r="2988" spans="1:1" ht="9.75" customHeight="1">
      <c r="A2988" s="101"/>
    </row>
    <row r="2989" spans="1:1" ht="9.75" customHeight="1">
      <c r="A2989" s="101"/>
    </row>
    <row r="2990" spans="1:1" ht="9.75" customHeight="1">
      <c r="A2990" s="101"/>
    </row>
    <row r="2991" spans="1:1" ht="9.75" customHeight="1">
      <c r="A2991" s="101"/>
    </row>
    <row r="2992" spans="1:1" ht="9.75" customHeight="1">
      <c r="A2992" s="101"/>
    </row>
    <row r="2993" spans="1:1" ht="9.75" customHeight="1">
      <c r="A2993" s="101"/>
    </row>
    <row r="2994" spans="1:1" ht="9.75" customHeight="1">
      <c r="A2994" s="101"/>
    </row>
    <row r="2995" spans="1:1" ht="9.75" customHeight="1">
      <c r="A2995" s="101"/>
    </row>
    <row r="2996" spans="1:1" ht="9.75" customHeight="1">
      <c r="A2996" s="101"/>
    </row>
    <row r="2997" spans="1:1" ht="9.75" customHeight="1">
      <c r="A2997" s="101"/>
    </row>
    <row r="2998" spans="1:1" ht="9.75" customHeight="1">
      <c r="A2998" s="101"/>
    </row>
    <row r="2999" spans="1:1" ht="9.75" customHeight="1">
      <c r="A2999" s="101"/>
    </row>
    <row r="3000" spans="1:1" ht="9.75" customHeight="1">
      <c r="A3000" s="101"/>
    </row>
    <row r="3001" spans="1:1" ht="9.75" customHeight="1">
      <c r="A3001" s="101"/>
    </row>
    <row r="3002" spans="1:1" ht="9.75" customHeight="1">
      <c r="A3002" s="101"/>
    </row>
    <row r="3003" spans="1:1" ht="9.75" customHeight="1">
      <c r="A3003" s="101"/>
    </row>
    <row r="3004" spans="1:1" ht="9.75" customHeight="1">
      <c r="A3004" s="101"/>
    </row>
    <row r="3005" spans="1:1" ht="9.75" customHeight="1">
      <c r="A3005" s="101"/>
    </row>
    <row r="3006" spans="1:1" ht="9.75" customHeight="1">
      <c r="A3006" s="101"/>
    </row>
    <row r="3007" spans="1:1" ht="9.75" customHeight="1">
      <c r="A3007" s="101"/>
    </row>
    <row r="3008" spans="1:1" ht="9.75" customHeight="1">
      <c r="A3008" s="101"/>
    </row>
    <row r="3009" spans="1:1" ht="9.75" customHeight="1">
      <c r="A3009" s="101"/>
    </row>
    <row r="3010" spans="1:1" ht="9.75" customHeight="1">
      <c r="A3010" s="101"/>
    </row>
    <row r="3011" spans="1:1" ht="9.75" customHeight="1">
      <c r="A3011" s="101"/>
    </row>
    <row r="3012" spans="1:1" ht="9.75" customHeight="1">
      <c r="A3012" s="101"/>
    </row>
    <row r="3013" spans="1:1" ht="9.75" customHeight="1">
      <c r="A3013" s="101"/>
    </row>
    <row r="3014" spans="1:1" ht="9.75" customHeight="1">
      <c r="A3014" s="101"/>
    </row>
    <row r="3015" spans="1:1" ht="9.75" customHeight="1">
      <c r="A3015" s="101"/>
    </row>
    <row r="3016" spans="1:1" ht="9.75" customHeight="1">
      <c r="A3016" s="101"/>
    </row>
    <row r="3017" spans="1:1" ht="9.75" customHeight="1">
      <c r="A3017" s="101"/>
    </row>
    <row r="3018" spans="1:1" ht="9.75" customHeight="1">
      <c r="A3018" s="101"/>
    </row>
    <row r="3019" spans="1:1" ht="9.75" customHeight="1">
      <c r="A3019" s="101"/>
    </row>
    <row r="3020" spans="1:1" ht="9.75" customHeight="1">
      <c r="A3020" s="101"/>
    </row>
    <row r="3021" spans="1:1" ht="9.75" customHeight="1">
      <c r="A3021" s="101"/>
    </row>
    <row r="3022" spans="1:1" ht="9.75" customHeight="1">
      <c r="A3022" s="101"/>
    </row>
    <row r="3023" spans="1:1" ht="9.75" customHeight="1">
      <c r="A3023" s="101"/>
    </row>
    <row r="3024" spans="1:1" ht="9.75" customHeight="1">
      <c r="A3024" s="101"/>
    </row>
    <row r="3025" spans="1:1" ht="9.75" customHeight="1">
      <c r="A3025" s="101"/>
    </row>
    <row r="3026" spans="1:1" ht="9.75" customHeight="1">
      <c r="A3026" s="101"/>
    </row>
    <row r="3027" spans="1:1" ht="9.75" customHeight="1">
      <c r="A3027" s="101"/>
    </row>
    <row r="3028" spans="1:1" ht="9.75" customHeight="1">
      <c r="A3028" s="101"/>
    </row>
    <row r="3029" spans="1:1" ht="9.75" customHeight="1">
      <c r="A3029" s="101"/>
    </row>
    <row r="3030" spans="1:1" ht="9.75" customHeight="1">
      <c r="A3030" s="101"/>
    </row>
    <row r="3031" spans="1:1" ht="9.75" customHeight="1">
      <c r="A3031" s="101"/>
    </row>
    <row r="3032" spans="1:1" ht="9.75" customHeight="1">
      <c r="A3032" s="101"/>
    </row>
    <row r="3033" spans="1:1" ht="9.75" customHeight="1">
      <c r="A3033" s="101"/>
    </row>
    <row r="3034" spans="1:1" ht="9.75" customHeight="1">
      <c r="A3034" s="101"/>
    </row>
    <row r="3035" spans="1:1" ht="9.75" customHeight="1">
      <c r="A3035" s="101"/>
    </row>
    <row r="3036" spans="1:1" ht="9.75" customHeight="1">
      <c r="A3036" s="101"/>
    </row>
    <row r="3037" spans="1:1" ht="9.75" customHeight="1">
      <c r="A3037" s="101"/>
    </row>
    <row r="3038" spans="1:1" ht="9.75" customHeight="1">
      <c r="A3038" s="101"/>
    </row>
    <row r="3039" spans="1:1" ht="9.75" customHeight="1">
      <c r="A3039" s="101"/>
    </row>
    <row r="3040" spans="1:1" ht="9.75" customHeight="1">
      <c r="A3040" s="101"/>
    </row>
    <row r="3041" spans="1:1" ht="9.75" customHeight="1">
      <c r="A3041" s="101"/>
    </row>
    <row r="3042" spans="1:1" ht="9.75" customHeight="1">
      <c r="A3042" s="101"/>
    </row>
    <row r="3043" spans="1:1" ht="9.75" customHeight="1">
      <c r="A3043" s="101"/>
    </row>
    <row r="3044" spans="1:1" ht="9.75" customHeight="1">
      <c r="A3044" s="101"/>
    </row>
    <row r="3045" spans="1:1" ht="9.75" customHeight="1">
      <c r="A3045" s="101"/>
    </row>
    <row r="3046" spans="1:1" ht="9.75" customHeight="1">
      <c r="A3046" s="101"/>
    </row>
    <row r="3047" spans="1:1" ht="9.75" customHeight="1">
      <c r="A3047" s="101"/>
    </row>
    <row r="3048" spans="1:1" ht="9.75" customHeight="1">
      <c r="A3048" s="101"/>
    </row>
    <row r="3049" spans="1:1" ht="9.75" customHeight="1">
      <c r="A3049" s="101"/>
    </row>
    <row r="3050" spans="1:1" ht="9.75" customHeight="1">
      <c r="A3050" s="101"/>
    </row>
    <row r="3051" spans="1:1" ht="9.75" customHeight="1">
      <c r="A3051" s="101"/>
    </row>
    <row r="3052" spans="1:1" ht="9.75" customHeight="1">
      <c r="A3052" s="101"/>
    </row>
    <row r="3053" spans="1:1" ht="9.75" customHeight="1">
      <c r="A3053" s="101"/>
    </row>
    <row r="3054" spans="1:1" ht="9.75" customHeight="1">
      <c r="A3054" s="101"/>
    </row>
    <row r="3055" spans="1:1" ht="9.75" customHeight="1">
      <c r="A3055" s="101"/>
    </row>
    <row r="3056" spans="1:1" ht="9.75" customHeight="1">
      <c r="A3056" s="101"/>
    </row>
    <row r="3057" spans="1:1" ht="9.75" customHeight="1">
      <c r="A3057" s="101"/>
    </row>
    <row r="3058" spans="1:1" ht="9.75" customHeight="1">
      <c r="A3058" s="101"/>
    </row>
    <row r="3059" spans="1:1" ht="9.75" customHeight="1">
      <c r="A3059" s="101"/>
    </row>
    <row r="3060" spans="1:1" ht="9.75" customHeight="1">
      <c r="A3060" s="101"/>
    </row>
    <row r="3061" spans="1:1" ht="9.75" customHeight="1">
      <c r="A3061" s="101"/>
    </row>
    <row r="3062" spans="1:1" ht="9.75" customHeight="1">
      <c r="A3062" s="101"/>
    </row>
    <row r="3063" spans="1:1" ht="9.75" customHeight="1">
      <c r="A3063" s="101"/>
    </row>
    <row r="3064" spans="1:1" ht="9.75" customHeight="1">
      <c r="A3064" s="101"/>
    </row>
    <row r="3065" spans="1:1" ht="9.75" customHeight="1">
      <c r="A3065" s="101"/>
    </row>
    <row r="3066" spans="1:1" ht="9.75" customHeight="1">
      <c r="A3066" s="101"/>
    </row>
    <row r="3067" spans="1:1" ht="9.75" customHeight="1">
      <c r="A3067" s="101"/>
    </row>
    <row r="3068" spans="1:1" ht="9.75" customHeight="1">
      <c r="A3068" s="101"/>
    </row>
    <row r="3069" spans="1:1" ht="9.75" customHeight="1">
      <c r="A3069" s="101"/>
    </row>
    <row r="3070" spans="1:1" ht="9.75" customHeight="1">
      <c r="A3070" s="101"/>
    </row>
    <row r="3071" spans="1:1" ht="9.75" customHeight="1">
      <c r="A3071" s="101"/>
    </row>
    <row r="3072" spans="1:1" ht="9.75" customHeight="1">
      <c r="A3072" s="101"/>
    </row>
    <row r="3073" spans="1:1" ht="9.75" customHeight="1">
      <c r="A3073" s="101"/>
    </row>
    <row r="3074" spans="1:1" ht="9.75" customHeight="1">
      <c r="A3074" s="101"/>
    </row>
    <row r="3075" spans="1:1" ht="9.75" customHeight="1">
      <c r="A3075" s="101"/>
    </row>
    <row r="3076" spans="1:1" ht="9.75" customHeight="1">
      <c r="A3076" s="101"/>
    </row>
    <row r="3077" spans="1:1" ht="9.75" customHeight="1">
      <c r="A3077" s="101"/>
    </row>
    <row r="3078" spans="1:1" ht="9.75" customHeight="1">
      <c r="A3078" s="101"/>
    </row>
    <row r="3079" spans="1:1" ht="9.75" customHeight="1">
      <c r="A3079" s="101"/>
    </row>
    <row r="3080" spans="1:1" ht="9.75" customHeight="1">
      <c r="A3080" s="101"/>
    </row>
    <row r="3081" spans="1:1" ht="9.75" customHeight="1">
      <c r="A3081" s="101"/>
    </row>
    <row r="3082" spans="1:1" ht="9.75" customHeight="1">
      <c r="A3082" s="101"/>
    </row>
    <row r="3083" spans="1:1" ht="9.75" customHeight="1">
      <c r="A3083" s="101"/>
    </row>
    <row r="3084" spans="1:1" ht="9.75" customHeight="1">
      <c r="A3084" s="101"/>
    </row>
    <row r="3085" spans="1:1" ht="9.75" customHeight="1">
      <c r="A3085" s="101"/>
    </row>
    <row r="3086" spans="1:1" ht="9.75" customHeight="1">
      <c r="A3086" s="101"/>
    </row>
    <row r="3087" spans="1:1" ht="9.75" customHeight="1">
      <c r="A3087" s="101"/>
    </row>
    <row r="3088" spans="1:1" ht="9.75" customHeight="1">
      <c r="A3088" s="101"/>
    </row>
    <row r="3089" spans="1:1" ht="9.75" customHeight="1">
      <c r="A3089" s="101"/>
    </row>
    <row r="3090" spans="1:1" ht="9.75" customHeight="1">
      <c r="A3090" s="101"/>
    </row>
    <row r="3091" spans="1:1" ht="9.75" customHeight="1">
      <c r="A3091" s="101"/>
    </row>
    <row r="3092" spans="1:1" ht="9.75" customHeight="1">
      <c r="A3092" s="101"/>
    </row>
    <row r="3093" spans="1:1" ht="9.75" customHeight="1">
      <c r="A3093" s="101"/>
    </row>
    <row r="3094" spans="1:1" ht="9.75" customHeight="1">
      <c r="A3094" s="101"/>
    </row>
    <row r="3095" spans="1:1" ht="9.75" customHeight="1">
      <c r="A3095" s="101"/>
    </row>
    <row r="3096" spans="1:1" ht="9.75" customHeight="1">
      <c r="A3096" s="101"/>
    </row>
    <row r="3097" spans="1:1" ht="9.75" customHeight="1">
      <c r="A3097" s="101"/>
    </row>
    <row r="3098" spans="1:1" ht="9.75" customHeight="1">
      <c r="A3098" s="101"/>
    </row>
    <row r="3099" spans="1:1" ht="9.75" customHeight="1">
      <c r="A3099" s="101"/>
    </row>
    <row r="3100" spans="1:1" ht="9.75" customHeight="1">
      <c r="A3100" s="101"/>
    </row>
    <row r="3101" spans="1:1" ht="9.75" customHeight="1">
      <c r="A3101" s="101"/>
    </row>
    <row r="3102" spans="1:1" ht="9.75" customHeight="1">
      <c r="A3102" s="101"/>
    </row>
    <row r="3103" spans="1:1" ht="9.75" customHeight="1">
      <c r="A3103" s="101"/>
    </row>
    <row r="3104" spans="1:1" ht="9.75" customHeight="1">
      <c r="A3104" s="101"/>
    </row>
    <row r="3105" spans="1:1" ht="9.75" customHeight="1">
      <c r="A3105" s="101"/>
    </row>
    <row r="3106" spans="1:1" ht="9.75" customHeight="1">
      <c r="A3106" s="101"/>
    </row>
    <row r="3107" spans="1:1" ht="9.75" customHeight="1">
      <c r="A3107" s="101"/>
    </row>
    <row r="3108" spans="1:1" ht="9.75" customHeight="1">
      <c r="A3108" s="101"/>
    </row>
    <row r="3109" spans="1:1" ht="9.75" customHeight="1">
      <c r="A3109" s="101"/>
    </row>
    <row r="3110" spans="1:1" ht="9.75" customHeight="1">
      <c r="A3110" s="101"/>
    </row>
    <row r="3111" spans="1:1" ht="9.75" customHeight="1">
      <c r="A3111" s="101"/>
    </row>
    <row r="3112" spans="1:1" ht="9.75" customHeight="1">
      <c r="A3112" s="101"/>
    </row>
    <row r="3113" spans="1:1" ht="9.75" customHeight="1">
      <c r="A3113" s="101"/>
    </row>
    <row r="3114" spans="1:1" ht="9.75" customHeight="1">
      <c r="A3114" s="101"/>
    </row>
    <row r="3115" spans="1:1" ht="9.75" customHeight="1">
      <c r="A3115" s="101"/>
    </row>
    <row r="3116" spans="1:1" ht="9.75" customHeight="1">
      <c r="A3116" s="101"/>
    </row>
    <row r="3117" spans="1:1" ht="9.75" customHeight="1">
      <c r="A3117" s="101"/>
    </row>
    <row r="3118" spans="1:1" ht="9.75" customHeight="1">
      <c r="A3118" s="101"/>
    </row>
    <row r="3119" spans="1:1" ht="9.75" customHeight="1">
      <c r="A3119" s="101"/>
    </row>
    <row r="3120" spans="1:1" ht="9.75" customHeight="1">
      <c r="A3120" s="101"/>
    </row>
    <row r="3121" spans="1:1" ht="9.75" customHeight="1">
      <c r="A3121" s="101"/>
    </row>
    <row r="3122" spans="1:1" ht="9.75" customHeight="1">
      <c r="A3122" s="101"/>
    </row>
    <row r="3123" spans="1:1" ht="9.75" customHeight="1">
      <c r="A3123" s="101"/>
    </row>
    <row r="3124" spans="1:1" ht="9.75" customHeight="1">
      <c r="A3124" s="101"/>
    </row>
    <row r="3125" spans="1:1" ht="9.75" customHeight="1">
      <c r="A3125" s="101"/>
    </row>
    <row r="3126" spans="1:1" ht="9.75" customHeight="1">
      <c r="A3126" s="101"/>
    </row>
    <row r="3127" spans="1:1" ht="9.75" customHeight="1">
      <c r="A3127" s="101"/>
    </row>
    <row r="3128" spans="1:1" ht="9.75" customHeight="1">
      <c r="A3128" s="101"/>
    </row>
    <row r="3129" spans="1:1" ht="9.75" customHeight="1">
      <c r="A3129" s="101"/>
    </row>
    <row r="3130" spans="1:1" ht="9.75" customHeight="1">
      <c r="A3130" s="101"/>
    </row>
    <row r="3131" spans="1:1" ht="9.75" customHeight="1">
      <c r="A3131" s="101"/>
    </row>
    <row r="3132" spans="1:1" ht="9.75" customHeight="1">
      <c r="A3132" s="101"/>
    </row>
    <row r="3133" spans="1:1" ht="9.75" customHeight="1">
      <c r="A3133" s="101"/>
    </row>
    <row r="3134" spans="1:1" ht="9.75" customHeight="1">
      <c r="A3134" s="101"/>
    </row>
    <row r="3135" spans="1:1" ht="9.75" customHeight="1">
      <c r="A3135" s="101"/>
    </row>
    <row r="3136" spans="1:1" ht="9.75" customHeight="1">
      <c r="A3136" s="101"/>
    </row>
    <row r="3137" spans="1:1" ht="9.75" customHeight="1">
      <c r="A3137" s="101"/>
    </row>
    <row r="3138" spans="1:1" ht="9.75" customHeight="1">
      <c r="A3138" s="101"/>
    </row>
    <row r="3139" spans="1:1" ht="9.75" customHeight="1">
      <c r="A3139" s="101"/>
    </row>
    <row r="3140" spans="1:1" ht="9.75" customHeight="1">
      <c r="A3140" s="101"/>
    </row>
    <row r="3141" spans="1:1" ht="9.75" customHeight="1">
      <c r="A3141" s="101"/>
    </row>
    <row r="3142" spans="1:1" ht="9.75" customHeight="1">
      <c r="A3142" s="101"/>
    </row>
    <row r="3143" spans="1:1" ht="9.75" customHeight="1">
      <c r="A3143" s="101"/>
    </row>
    <row r="3144" spans="1:1" ht="9.75" customHeight="1">
      <c r="A3144" s="101"/>
    </row>
    <row r="3145" spans="1:1" ht="9.75" customHeight="1">
      <c r="A3145" s="101"/>
    </row>
    <row r="3146" spans="1:1" ht="9.75" customHeight="1">
      <c r="A3146" s="101"/>
    </row>
    <row r="3147" spans="1:1" ht="9.75" customHeight="1">
      <c r="A3147" s="101"/>
    </row>
    <row r="3148" spans="1:1" ht="9.75" customHeight="1">
      <c r="A3148" s="101"/>
    </row>
    <row r="3149" spans="1:1" ht="9.75" customHeight="1">
      <c r="A3149" s="101"/>
    </row>
    <row r="3150" spans="1:1" ht="9.75" customHeight="1">
      <c r="A3150" s="101"/>
    </row>
    <row r="3151" spans="1:1" ht="9.75" customHeight="1">
      <c r="A3151" s="101"/>
    </row>
    <row r="3152" spans="1:1" ht="9.75" customHeight="1">
      <c r="A3152" s="101"/>
    </row>
    <row r="3153" spans="1:1" ht="9.75" customHeight="1">
      <c r="A3153" s="101"/>
    </row>
    <row r="3154" spans="1:1" ht="9.75" customHeight="1">
      <c r="A3154" s="101"/>
    </row>
    <row r="3155" spans="1:1" ht="9.75" customHeight="1">
      <c r="A3155" s="101"/>
    </row>
    <row r="3156" spans="1:1" ht="9.75" customHeight="1">
      <c r="A3156" s="101"/>
    </row>
    <row r="3157" spans="1:1" ht="9.75" customHeight="1">
      <c r="A3157" s="101"/>
    </row>
    <row r="3158" spans="1:1" ht="9.75" customHeight="1">
      <c r="A3158" s="101"/>
    </row>
    <row r="3159" spans="1:1" ht="9.75" customHeight="1">
      <c r="A3159" s="101"/>
    </row>
    <row r="3160" spans="1:1" ht="9.75" customHeight="1">
      <c r="A3160" s="101"/>
    </row>
    <row r="3161" spans="1:1" ht="9.75" customHeight="1">
      <c r="A3161" s="101"/>
    </row>
    <row r="3162" spans="1:1" ht="9.75" customHeight="1">
      <c r="A3162" s="101"/>
    </row>
    <row r="3163" spans="1:1" ht="9.75" customHeight="1">
      <c r="A3163" s="101"/>
    </row>
    <row r="3164" spans="1:1" ht="9.75" customHeight="1">
      <c r="A3164" s="101"/>
    </row>
    <row r="3165" spans="1:1" ht="9.75" customHeight="1">
      <c r="A3165" s="101"/>
    </row>
    <row r="3166" spans="1:1" ht="9.75" customHeight="1">
      <c r="A3166" s="101"/>
    </row>
    <row r="3167" spans="1:1" ht="9.75" customHeight="1">
      <c r="A3167" s="101"/>
    </row>
    <row r="3168" spans="1:1" ht="9.75" customHeight="1">
      <c r="A3168" s="101"/>
    </row>
    <row r="3169" spans="1:1" ht="9.75" customHeight="1">
      <c r="A3169" s="101"/>
    </row>
    <row r="3170" spans="1:1" ht="9.75" customHeight="1">
      <c r="A3170" s="101"/>
    </row>
    <row r="3171" spans="1:1" ht="9.75" customHeight="1">
      <c r="A3171" s="101"/>
    </row>
    <row r="3172" spans="1:1" ht="9.75" customHeight="1">
      <c r="A3172" s="101"/>
    </row>
    <row r="3173" spans="1:1" ht="9.75" customHeight="1">
      <c r="A3173" s="101"/>
    </row>
    <row r="3174" spans="1:1" ht="9.75" customHeight="1">
      <c r="A3174" s="101"/>
    </row>
    <row r="3175" spans="1:1" ht="9.75" customHeight="1">
      <c r="A3175" s="101"/>
    </row>
    <row r="3176" spans="1:1" ht="9.75" customHeight="1">
      <c r="A3176" s="101"/>
    </row>
    <row r="3177" spans="1:1" ht="9.75" customHeight="1">
      <c r="A3177" s="101"/>
    </row>
    <row r="3178" spans="1:1" ht="9.75" customHeight="1">
      <c r="A3178" s="101"/>
    </row>
    <row r="3179" spans="1:1" ht="9.75" customHeight="1">
      <c r="A3179" s="101"/>
    </row>
    <row r="3180" spans="1:1" ht="9.75" customHeight="1">
      <c r="A3180" s="101"/>
    </row>
    <row r="3181" spans="1:1" ht="9.75" customHeight="1">
      <c r="A3181" s="101"/>
    </row>
    <row r="3182" spans="1:1" ht="9.75" customHeight="1">
      <c r="A3182" s="101"/>
    </row>
    <row r="3183" spans="1:1" ht="9.75" customHeight="1">
      <c r="A3183" s="101"/>
    </row>
    <row r="3184" spans="1:1" ht="9.75" customHeight="1">
      <c r="A3184" s="101"/>
    </row>
    <row r="3185" spans="1:1" ht="9.75" customHeight="1">
      <c r="A3185" s="101"/>
    </row>
    <row r="3186" spans="1:1" ht="9.75" customHeight="1">
      <c r="A3186" s="101"/>
    </row>
    <row r="3187" spans="1:1" ht="9.75" customHeight="1">
      <c r="A3187" s="101"/>
    </row>
    <row r="3188" spans="1:1" ht="9.75" customHeight="1">
      <c r="A3188" s="101"/>
    </row>
    <row r="3189" spans="1:1" ht="9.75" customHeight="1">
      <c r="A3189" s="101"/>
    </row>
    <row r="3190" spans="1:1" ht="9.75" customHeight="1">
      <c r="A3190" s="101"/>
    </row>
    <row r="3191" spans="1:1" ht="9.75" customHeight="1">
      <c r="A3191" s="101"/>
    </row>
    <row r="3192" spans="1:1" ht="9.75" customHeight="1">
      <c r="A3192" s="101"/>
    </row>
    <row r="3193" spans="1:1" ht="9.75" customHeight="1">
      <c r="A3193" s="101"/>
    </row>
    <row r="3194" spans="1:1" ht="9.75" customHeight="1">
      <c r="A3194" s="101"/>
    </row>
    <row r="3195" spans="1:1" ht="9.75" customHeight="1">
      <c r="A3195" s="101"/>
    </row>
    <row r="3196" spans="1:1" ht="9.75" customHeight="1">
      <c r="A3196" s="101"/>
    </row>
    <row r="3197" spans="1:1" ht="9.75" customHeight="1">
      <c r="A3197" s="101"/>
    </row>
    <row r="3198" spans="1:1" ht="9.75" customHeight="1">
      <c r="A3198" s="101"/>
    </row>
    <row r="3199" spans="1:1" ht="9.75" customHeight="1">
      <c r="A3199" s="101"/>
    </row>
    <row r="3200" spans="1:1" ht="9.75" customHeight="1">
      <c r="A3200" s="101"/>
    </row>
    <row r="3201" spans="1:1" ht="9.75" customHeight="1">
      <c r="A3201" s="101"/>
    </row>
    <row r="3202" spans="1:1" ht="9.75" customHeight="1">
      <c r="A3202" s="101"/>
    </row>
    <row r="3203" spans="1:1" ht="9.75" customHeight="1">
      <c r="A3203" s="101"/>
    </row>
    <row r="3204" spans="1:1" ht="9.75" customHeight="1">
      <c r="A3204" s="101"/>
    </row>
    <row r="3205" spans="1:1" ht="9.75" customHeight="1">
      <c r="A3205" s="101"/>
    </row>
    <row r="3206" spans="1:1" ht="9.75" customHeight="1">
      <c r="A3206" s="101"/>
    </row>
    <row r="3207" spans="1:1" ht="9.75" customHeight="1">
      <c r="A3207" s="101"/>
    </row>
    <row r="3208" spans="1:1" ht="9.75" customHeight="1">
      <c r="A3208" s="101"/>
    </row>
    <row r="3209" spans="1:1" ht="9.75" customHeight="1">
      <c r="A3209" s="101"/>
    </row>
    <row r="3210" spans="1:1" ht="9.75" customHeight="1">
      <c r="A3210" s="101"/>
    </row>
    <row r="3211" spans="1:1" ht="9.75" customHeight="1">
      <c r="A3211" s="101"/>
    </row>
    <row r="3212" spans="1:1" ht="9.75" customHeight="1">
      <c r="A3212" s="101"/>
    </row>
    <row r="3213" spans="1:1" ht="9.75" customHeight="1">
      <c r="A3213" s="101"/>
    </row>
    <row r="3214" spans="1:1" ht="9.75" customHeight="1">
      <c r="A3214" s="101"/>
    </row>
    <row r="3215" spans="1:1" ht="9.75" customHeight="1">
      <c r="A3215" s="101"/>
    </row>
    <row r="3216" spans="1:1" ht="9.75" customHeight="1">
      <c r="A3216" s="101"/>
    </row>
    <row r="3217" spans="1:1" ht="9.75" customHeight="1">
      <c r="A3217" s="101"/>
    </row>
    <row r="3218" spans="1:1" ht="9.75" customHeight="1">
      <c r="A3218" s="101"/>
    </row>
    <row r="3219" spans="1:1" ht="9.75" customHeight="1">
      <c r="A3219" s="101"/>
    </row>
    <row r="3220" spans="1:1" ht="9.75" customHeight="1">
      <c r="A3220" s="101"/>
    </row>
    <row r="3221" spans="1:1" ht="9.75" customHeight="1">
      <c r="A3221" s="101"/>
    </row>
    <row r="3222" spans="1:1" ht="9.75" customHeight="1">
      <c r="A3222" s="101"/>
    </row>
    <row r="3223" spans="1:1" ht="9.75" customHeight="1">
      <c r="A3223" s="101"/>
    </row>
    <row r="3224" spans="1:1" ht="9.75" customHeight="1">
      <c r="A3224" s="101"/>
    </row>
    <row r="3225" spans="1:1" ht="9.75" customHeight="1">
      <c r="A3225" s="101"/>
    </row>
    <row r="3226" spans="1:1" ht="9.75" customHeight="1">
      <c r="A3226" s="101"/>
    </row>
    <row r="3227" spans="1:1" ht="9.75" customHeight="1">
      <c r="A3227" s="101"/>
    </row>
    <row r="3228" spans="1:1" ht="9.75" customHeight="1">
      <c r="A3228" s="101"/>
    </row>
    <row r="3229" spans="1:1" ht="9.75" customHeight="1">
      <c r="A3229" s="101"/>
    </row>
    <row r="3230" spans="1:1" ht="9.75" customHeight="1">
      <c r="A3230" s="101"/>
    </row>
    <row r="3231" spans="1:1" ht="9.75" customHeight="1">
      <c r="A3231" s="101"/>
    </row>
    <row r="3232" spans="1:1" ht="9.75" customHeight="1">
      <c r="A3232" s="101"/>
    </row>
    <row r="3233" spans="1:1" ht="9.75" customHeight="1">
      <c r="A3233" s="101"/>
    </row>
    <row r="3234" spans="1:1" ht="9.75" customHeight="1">
      <c r="A3234" s="101"/>
    </row>
    <row r="3235" spans="1:1" ht="9.75" customHeight="1">
      <c r="A3235" s="101"/>
    </row>
    <row r="3236" spans="1:1" ht="9.75" customHeight="1">
      <c r="A3236" s="101"/>
    </row>
    <row r="3237" spans="1:1" ht="9.75" customHeight="1">
      <c r="A3237" s="101"/>
    </row>
    <row r="3238" spans="1:1" ht="9.75" customHeight="1">
      <c r="A3238" s="101"/>
    </row>
    <row r="3239" spans="1:1" ht="9.75" customHeight="1">
      <c r="A3239" s="101"/>
    </row>
    <row r="3240" spans="1:1" ht="9.75" customHeight="1">
      <c r="A3240" s="101"/>
    </row>
    <row r="3241" spans="1:1" ht="9.75" customHeight="1">
      <c r="A3241" s="101"/>
    </row>
    <row r="3242" spans="1:1" ht="9.75" customHeight="1">
      <c r="A3242" s="101"/>
    </row>
    <row r="3243" spans="1:1" ht="9.75" customHeight="1">
      <c r="A3243" s="101"/>
    </row>
    <row r="3244" spans="1:1" ht="9.75" customHeight="1">
      <c r="A3244" s="101"/>
    </row>
    <row r="3245" spans="1:1" ht="9.75" customHeight="1">
      <c r="A3245" s="101"/>
    </row>
    <row r="3246" spans="1:1" ht="9.75" customHeight="1">
      <c r="A3246" s="101"/>
    </row>
    <row r="3247" spans="1:1" ht="9.75" customHeight="1">
      <c r="A3247" s="101"/>
    </row>
    <row r="3248" spans="1:1" ht="9.75" customHeight="1">
      <c r="A3248" s="101"/>
    </row>
    <row r="3249" spans="1:1" ht="9.75" customHeight="1">
      <c r="A3249" s="101"/>
    </row>
    <row r="3250" spans="1:1" ht="9.75" customHeight="1">
      <c r="A3250" s="101"/>
    </row>
    <row r="3251" spans="1:1" ht="9.75" customHeight="1">
      <c r="A3251" s="101"/>
    </row>
    <row r="3252" spans="1:1" ht="9.75" customHeight="1">
      <c r="A3252" s="101"/>
    </row>
    <row r="3253" spans="1:1" ht="9.75" customHeight="1">
      <c r="A3253" s="101"/>
    </row>
    <row r="3254" spans="1:1" ht="9.75" customHeight="1">
      <c r="A3254" s="101"/>
    </row>
    <row r="3255" spans="1:1" ht="9.75" customHeight="1">
      <c r="A3255" s="101"/>
    </row>
    <row r="3256" spans="1:1" ht="9.75" customHeight="1">
      <c r="A3256" s="101"/>
    </row>
    <row r="3257" spans="1:1" ht="9.75" customHeight="1">
      <c r="A3257" s="101"/>
    </row>
    <row r="3258" spans="1:1" ht="9.75" customHeight="1">
      <c r="A3258" s="101"/>
    </row>
    <row r="3259" spans="1:1" ht="9.75" customHeight="1">
      <c r="A3259" s="101"/>
    </row>
    <row r="3260" spans="1:1" ht="9.75" customHeight="1">
      <c r="A3260" s="101"/>
    </row>
    <row r="3261" spans="1:1" ht="9.75" customHeight="1">
      <c r="A3261" s="101"/>
    </row>
    <row r="3262" spans="1:1" ht="9.75" customHeight="1">
      <c r="A3262" s="101"/>
    </row>
    <row r="3263" spans="1:1" ht="9.75" customHeight="1">
      <c r="A3263" s="101"/>
    </row>
    <row r="3264" spans="1:1" ht="9.75" customHeight="1">
      <c r="A3264" s="101"/>
    </row>
    <row r="3265" spans="1:1" ht="9.75" customHeight="1">
      <c r="A3265" s="101"/>
    </row>
    <row r="3266" spans="1:1" ht="9.75" customHeight="1">
      <c r="A3266" s="101"/>
    </row>
    <row r="3267" spans="1:1" ht="9.75" customHeight="1">
      <c r="A3267" s="101"/>
    </row>
    <row r="3268" spans="1:1" ht="9.75" customHeight="1">
      <c r="A3268" s="101"/>
    </row>
    <row r="3269" spans="1:1" ht="9.75" customHeight="1">
      <c r="A3269" s="101"/>
    </row>
    <row r="3270" spans="1:1" ht="9.75" customHeight="1">
      <c r="A3270" s="101"/>
    </row>
    <row r="3271" spans="1:1" ht="9.75" customHeight="1">
      <c r="A3271" s="101"/>
    </row>
    <row r="3272" spans="1:1" ht="9.75" customHeight="1">
      <c r="A3272" s="101"/>
    </row>
    <row r="3273" spans="1:1" ht="9.75" customHeight="1">
      <c r="A3273" s="101"/>
    </row>
    <row r="3274" spans="1:1" ht="9.75" customHeight="1">
      <c r="A3274" s="101"/>
    </row>
    <row r="3275" spans="1:1" ht="9.75" customHeight="1">
      <c r="A3275" s="101"/>
    </row>
    <row r="3276" spans="1:1" ht="9.75" customHeight="1">
      <c r="A3276" s="101"/>
    </row>
    <row r="3277" spans="1:1" ht="9.75" customHeight="1">
      <c r="A3277" s="101"/>
    </row>
    <row r="3278" spans="1:1" ht="9.75" customHeight="1">
      <c r="A3278" s="101"/>
    </row>
    <row r="3279" spans="1:1" ht="9.75" customHeight="1">
      <c r="A3279" s="101"/>
    </row>
    <row r="3280" spans="1:1" ht="9.75" customHeight="1">
      <c r="A3280" s="101"/>
    </row>
    <row r="3281" spans="1:1" ht="9.75" customHeight="1">
      <c r="A3281" s="101"/>
    </row>
    <row r="3282" spans="1:1" ht="9.75" customHeight="1">
      <c r="A3282" s="101"/>
    </row>
    <row r="3283" spans="1:1" ht="9.75" customHeight="1">
      <c r="A3283" s="101"/>
    </row>
    <row r="3284" spans="1:1" ht="9.75" customHeight="1">
      <c r="A3284" s="101"/>
    </row>
    <row r="3285" spans="1:1" ht="9.75" customHeight="1">
      <c r="A3285" s="101"/>
    </row>
    <row r="3286" spans="1:1" ht="9.75" customHeight="1">
      <c r="A3286" s="101"/>
    </row>
    <row r="3287" spans="1:1" ht="9.75" customHeight="1">
      <c r="A3287" s="101"/>
    </row>
    <row r="3288" spans="1:1" ht="9.75" customHeight="1">
      <c r="A3288" s="101"/>
    </row>
    <row r="3289" spans="1:1" ht="9.75" customHeight="1">
      <c r="A3289" s="101"/>
    </row>
    <row r="3290" spans="1:1" ht="9.75" customHeight="1">
      <c r="A3290" s="101"/>
    </row>
    <row r="3291" spans="1:1" ht="9.75" customHeight="1">
      <c r="A3291" s="101"/>
    </row>
    <row r="3292" spans="1:1" ht="9.75" customHeight="1">
      <c r="A3292" s="101"/>
    </row>
    <row r="3293" spans="1:1" ht="9.75" customHeight="1">
      <c r="A3293" s="101"/>
    </row>
    <row r="3294" spans="1:1" ht="9.75" customHeight="1">
      <c r="A3294" s="101"/>
    </row>
    <row r="3295" spans="1:1" ht="9.75" customHeight="1">
      <c r="A3295" s="101"/>
    </row>
    <row r="3296" spans="1:1" ht="9.75" customHeight="1">
      <c r="A3296" s="101"/>
    </row>
    <row r="3297" spans="1:1" ht="9.75" customHeight="1">
      <c r="A3297" s="101"/>
    </row>
    <row r="3298" spans="1:1" ht="9.75" customHeight="1">
      <c r="A3298" s="101"/>
    </row>
    <row r="3299" spans="1:1" ht="9.75" customHeight="1">
      <c r="A3299" s="101"/>
    </row>
    <row r="3300" spans="1:1" ht="9.75" customHeight="1">
      <c r="A3300" s="101"/>
    </row>
    <row r="3301" spans="1:1" ht="9.75" customHeight="1">
      <c r="A3301" s="101"/>
    </row>
    <row r="3302" spans="1:1" ht="9.75" customHeight="1">
      <c r="A3302" s="101"/>
    </row>
    <row r="3303" spans="1:1" ht="9.75" customHeight="1">
      <c r="A3303" s="101"/>
    </row>
    <row r="3304" spans="1:1" ht="9.75" customHeight="1">
      <c r="A3304" s="101"/>
    </row>
    <row r="3305" spans="1:1" ht="9.75" customHeight="1">
      <c r="A3305" s="101"/>
    </row>
    <row r="3306" spans="1:1" ht="9.75" customHeight="1">
      <c r="A3306" s="101"/>
    </row>
    <row r="3307" spans="1:1" ht="9.75" customHeight="1">
      <c r="A3307" s="101"/>
    </row>
    <row r="3308" spans="1:1" ht="9.75" customHeight="1">
      <c r="A3308" s="101"/>
    </row>
    <row r="3309" spans="1:1" ht="9.75" customHeight="1">
      <c r="A3309" s="101"/>
    </row>
    <row r="3310" spans="1:1" ht="9.75" customHeight="1">
      <c r="A3310" s="101"/>
    </row>
    <row r="3311" spans="1:1" ht="9.75" customHeight="1">
      <c r="A3311" s="101"/>
    </row>
    <row r="3312" spans="1:1" ht="9.75" customHeight="1">
      <c r="A3312" s="101"/>
    </row>
    <row r="3313" spans="1:1" ht="9.75" customHeight="1">
      <c r="A3313" s="101"/>
    </row>
    <row r="3314" spans="1:1" ht="9.75" customHeight="1">
      <c r="A3314" s="101"/>
    </row>
    <row r="3315" spans="1:1" ht="9.75" customHeight="1">
      <c r="A3315" s="101"/>
    </row>
    <row r="3316" spans="1:1" ht="9.75" customHeight="1">
      <c r="A3316" s="101"/>
    </row>
    <row r="3317" spans="1:1" ht="9.75" customHeight="1">
      <c r="A3317" s="101"/>
    </row>
    <row r="3318" spans="1:1" ht="9.75" customHeight="1">
      <c r="A3318" s="101"/>
    </row>
    <row r="3319" spans="1:1" ht="9.75" customHeight="1">
      <c r="A3319" s="101"/>
    </row>
    <row r="3320" spans="1:1" ht="9.75" customHeight="1">
      <c r="A3320" s="101"/>
    </row>
    <row r="3321" spans="1:1" ht="9.75" customHeight="1">
      <c r="A3321" s="101"/>
    </row>
    <row r="3322" spans="1:1" ht="9.75" customHeight="1">
      <c r="A3322" s="101"/>
    </row>
    <row r="3323" spans="1:1" ht="9.75" customHeight="1">
      <c r="A3323" s="101"/>
    </row>
    <row r="3324" spans="1:1" ht="9.75" customHeight="1">
      <c r="A3324" s="101"/>
    </row>
    <row r="3325" spans="1:1" ht="9.75" customHeight="1">
      <c r="A3325" s="101"/>
    </row>
    <row r="3326" spans="1:1" ht="9.75" customHeight="1">
      <c r="A3326" s="101"/>
    </row>
    <row r="3327" spans="1:1" ht="9.75" customHeight="1">
      <c r="A3327" s="101"/>
    </row>
    <row r="3328" spans="1:1" ht="9.75" customHeight="1">
      <c r="A3328" s="101"/>
    </row>
    <row r="3329" spans="1:1" ht="9.75" customHeight="1">
      <c r="A3329" s="101"/>
    </row>
    <row r="3330" spans="1:1" ht="9.75" customHeight="1">
      <c r="A3330" s="101"/>
    </row>
    <row r="3331" spans="1:1" ht="9.75" customHeight="1">
      <c r="A3331" s="101"/>
    </row>
    <row r="3332" spans="1:1" ht="9.75" customHeight="1">
      <c r="A3332" s="101"/>
    </row>
    <row r="3333" spans="1:1" ht="9.75" customHeight="1">
      <c r="A3333" s="101"/>
    </row>
    <row r="3334" spans="1:1" ht="9.75" customHeight="1">
      <c r="A3334" s="101"/>
    </row>
    <row r="3335" spans="1:1" ht="9.75" customHeight="1">
      <c r="A3335" s="101"/>
    </row>
    <row r="3336" spans="1:1" ht="9.75" customHeight="1">
      <c r="A3336" s="101"/>
    </row>
    <row r="3337" spans="1:1" ht="9.75" customHeight="1">
      <c r="A3337" s="101"/>
    </row>
    <row r="3338" spans="1:1" ht="9.75" customHeight="1">
      <c r="A3338" s="101"/>
    </row>
    <row r="3339" spans="1:1" ht="9.75" customHeight="1">
      <c r="A3339" s="101"/>
    </row>
    <row r="3340" spans="1:1" ht="9.75" customHeight="1">
      <c r="A3340" s="101"/>
    </row>
    <row r="3341" spans="1:1" ht="9.75" customHeight="1">
      <c r="A3341" s="101"/>
    </row>
    <row r="3342" spans="1:1" ht="9.75" customHeight="1">
      <c r="A3342" s="101"/>
    </row>
    <row r="3343" spans="1:1" ht="9.75" customHeight="1">
      <c r="A3343" s="101"/>
    </row>
    <row r="3344" spans="1:1" ht="9.75" customHeight="1">
      <c r="A3344" s="101"/>
    </row>
    <row r="3345" spans="1:1" ht="9.75" customHeight="1">
      <c r="A3345" s="101"/>
    </row>
    <row r="3346" spans="1:1" ht="9.75" customHeight="1">
      <c r="A3346" s="101"/>
    </row>
    <row r="3347" spans="1:1" ht="9.75" customHeight="1">
      <c r="A3347" s="101"/>
    </row>
    <row r="3348" spans="1:1" ht="9.75" customHeight="1">
      <c r="A3348" s="101"/>
    </row>
    <row r="3349" spans="1:1" ht="9.75" customHeight="1">
      <c r="A3349" s="101"/>
    </row>
    <row r="3350" spans="1:1" ht="9.75" customHeight="1">
      <c r="A3350" s="101"/>
    </row>
    <row r="3351" spans="1:1" ht="9.75" customHeight="1">
      <c r="A3351" s="101"/>
    </row>
    <row r="3352" spans="1:1" ht="9.75" customHeight="1">
      <c r="A3352" s="101"/>
    </row>
    <row r="3353" spans="1:1" ht="9.75" customHeight="1">
      <c r="A3353" s="101"/>
    </row>
    <row r="3354" spans="1:1" ht="9.75" customHeight="1">
      <c r="A3354" s="101"/>
    </row>
    <row r="3355" spans="1:1" ht="9.75" customHeight="1">
      <c r="A3355" s="101"/>
    </row>
    <row r="3356" spans="1:1" ht="9.75" customHeight="1">
      <c r="A3356" s="101"/>
    </row>
    <row r="3357" spans="1:1" ht="9.75" customHeight="1">
      <c r="A3357" s="101"/>
    </row>
    <row r="3358" spans="1:1" ht="9.75" customHeight="1">
      <c r="A3358" s="101"/>
    </row>
    <row r="3359" spans="1:1" ht="9.75" customHeight="1">
      <c r="A3359" s="101"/>
    </row>
    <row r="3360" spans="1:1" ht="9.75" customHeight="1">
      <c r="A3360" s="101"/>
    </row>
    <row r="3361" spans="1:1" ht="9.75" customHeight="1">
      <c r="A3361" s="101"/>
    </row>
    <row r="3362" spans="1:1" ht="9.75" customHeight="1">
      <c r="A3362" s="101"/>
    </row>
    <row r="3363" spans="1:1" ht="9.75" customHeight="1">
      <c r="A3363" s="101"/>
    </row>
    <row r="3364" spans="1:1" ht="9.75" customHeight="1">
      <c r="A3364" s="101"/>
    </row>
    <row r="3365" spans="1:1" ht="9.75" customHeight="1">
      <c r="A3365" s="101"/>
    </row>
    <row r="3366" spans="1:1" ht="9.75" customHeight="1">
      <c r="A3366" s="101"/>
    </row>
    <row r="3367" spans="1:1" ht="9.75" customHeight="1">
      <c r="A3367" s="101"/>
    </row>
    <row r="3368" spans="1:1" ht="9.75" customHeight="1">
      <c r="A3368" s="101"/>
    </row>
    <row r="3369" spans="1:1" ht="9.75" customHeight="1">
      <c r="A3369" s="101"/>
    </row>
    <row r="3370" spans="1:1" ht="9.75" customHeight="1">
      <c r="A3370" s="101"/>
    </row>
    <row r="3371" spans="1:1" ht="9.75" customHeight="1">
      <c r="A3371" s="101"/>
    </row>
    <row r="3372" spans="1:1" ht="9.75" customHeight="1">
      <c r="A3372" s="101"/>
    </row>
    <row r="3373" spans="1:1" ht="9.75" customHeight="1">
      <c r="A3373" s="101"/>
    </row>
    <row r="3374" spans="1:1" ht="9.75" customHeight="1">
      <c r="A3374" s="101"/>
    </row>
    <row r="3375" spans="1:1" ht="9.75" customHeight="1">
      <c r="A3375" s="101"/>
    </row>
    <row r="3376" spans="1:1" ht="9.75" customHeight="1">
      <c r="A3376" s="101"/>
    </row>
    <row r="3377" spans="1:1" ht="9.75" customHeight="1">
      <c r="A3377" s="101"/>
    </row>
    <row r="3378" spans="1:1" ht="9.75" customHeight="1">
      <c r="A3378" s="101"/>
    </row>
    <row r="3379" spans="1:1" ht="9.75" customHeight="1">
      <c r="A3379" s="101"/>
    </row>
    <row r="3380" spans="1:1" ht="9.75" customHeight="1">
      <c r="A3380" s="101"/>
    </row>
    <row r="3381" spans="1:1" ht="9.75" customHeight="1">
      <c r="A3381" s="101"/>
    </row>
    <row r="3382" spans="1:1" ht="9.75" customHeight="1">
      <c r="A3382" s="101"/>
    </row>
    <row r="3383" spans="1:1" ht="9.75" customHeight="1">
      <c r="A3383" s="101"/>
    </row>
    <row r="3384" spans="1:1" ht="9.75" customHeight="1">
      <c r="A3384" s="101"/>
    </row>
    <row r="3385" spans="1:1" ht="9.75" customHeight="1">
      <c r="A3385" s="101"/>
    </row>
    <row r="3386" spans="1:1" ht="9.75" customHeight="1">
      <c r="A3386" s="101"/>
    </row>
    <row r="3387" spans="1:1" ht="9.75" customHeight="1">
      <c r="A3387" s="101"/>
    </row>
    <row r="3388" spans="1:1" ht="9.75" customHeight="1">
      <c r="A3388" s="101"/>
    </row>
    <row r="3389" spans="1:1" ht="9.75" customHeight="1">
      <c r="A3389" s="101"/>
    </row>
    <row r="3390" spans="1:1" ht="9.75" customHeight="1">
      <c r="A3390" s="101"/>
    </row>
    <row r="3391" spans="1:1" ht="9.75" customHeight="1">
      <c r="A3391" s="101"/>
    </row>
    <row r="3392" spans="1:1" ht="9.75" customHeight="1">
      <c r="A3392" s="101"/>
    </row>
    <row r="3393" spans="1:1" ht="9.75" customHeight="1">
      <c r="A3393" s="101"/>
    </row>
    <row r="3394" spans="1:1" ht="9.75" customHeight="1">
      <c r="A3394" s="101"/>
    </row>
    <row r="3395" spans="1:1" ht="9.75" customHeight="1">
      <c r="A3395" s="101"/>
    </row>
    <row r="3396" spans="1:1" ht="9.75" customHeight="1">
      <c r="A3396" s="101"/>
    </row>
    <row r="3397" spans="1:1" ht="9.75" customHeight="1">
      <c r="A3397" s="101"/>
    </row>
    <row r="3398" spans="1:1" ht="9.75" customHeight="1">
      <c r="A3398" s="101"/>
    </row>
    <row r="3399" spans="1:1" ht="9.75" customHeight="1">
      <c r="A3399" s="101"/>
    </row>
    <row r="3400" spans="1:1" ht="9.75" customHeight="1">
      <c r="A3400" s="101"/>
    </row>
    <row r="3401" spans="1:1" ht="9.75" customHeight="1">
      <c r="A3401" s="101"/>
    </row>
    <row r="3402" spans="1:1" ht="9.75" customHeight="1">
      <c r="A3402" s="101"/>
    </row>
    <row r="3403" spans="1:1" ht="9.75" customHeight="1">
      <c r="A3403" s="101"/>
    </row>
    <row r="3404" spans="1:1" ht="9.75" customHeight="1">
      <c r="A3404" s="101"/>
    </row>
    <row r="3405" spans="1:1" ht="9.75" customHeight="1">
      <c r="A3405" s="101"/>
    </row>
    <row r="3406" spans="1:1" ht="9.75" customHeight="1">
      <c r="A3406" s="101"/>
    </row>
    <row r="3407" spans="1:1" ht="9.75" customHeight="1">
      <c r="A3407" s="101"/>
    </row>
    <row r="3408" spans="1:1" ht="9.75" customHeight="1">
      <c r="A3408" s="101"/>
    </row>
    <row r="3409" spans="1:1" ht="9.75" customHeight="1">
      <c r="A3409" s="101"/>
    </row>
    <row r="3410" spans="1:1" ht="9.75" customHeight="1">
      <c r="A3410" s="101"/>
    </row>
    <row r="3411" spans="1:1" ht="9.75" customHeight="1">
      <c r="A3411" s="101"/>
    </row>
    <row r="3412" spans="1:1" ht="9.75" customHeight="1">
      <c r="A3412" s="101"/>
    </row>
    <row r="3413" spans="1:1" ht="9.75" customHeight="1">
      <c r="A3413" s="101"/>
    </row>
    <row r="3414" spans="1:1" ht="9.75" customHeight="1">
      <c r="A3414" s="101"/>
    </row>
    <row r="3415" spans="1:1" ht="9.75" customHeight="1">
      <c r="A3415" s="101"/>
    </row>
    <row r="3416" spans="1:1" ht="9.75" customHeight="1">
      <c r="A3416" s="101"/>
    </row>
    <row r="3417" spans="1:1" ht="9.75" customHeight="1">
      <c r="A3417" s="101"/>
    </row>
    <row r="3418" spans="1:1" ht="9.75" customHeight="1">
      <c r="A3418" s="101"/>
    </row>
    <row r="3419" spans="1:1" ht="9.75" customHeight="1">
      <c r="A3419" s="101"/>
    </row>
    <row r="3420" spans="1:1" ht="9.75" customHeight="1">
      <c r="A3420" s="101"/>
    </row>
    <row r="3421" spans="1:1" ht="9.75" customHeight="1">
      <c r="A3421" s="101"/>
    </row>
    <row r="3422" spans="1:1" ht="9.75" customHeight="1">
      <c r="A3422" s="101"/>
    </row>
    <row r="3423" spans="1:1" ht="9.75" customHeight="1">
      <c r="A3423" s="101"/>
    </row>
    <row r="3424" spans="1:1" ht="9.75" customHeight="1">
      <c r="A3424" s="101"/>
    </row>
    <row r="3425" spans="1:1" ht="9.75" customHeight="1">
      <c r="A3425" s="101"/>
    </row>
    <row r="3426" spans="1:1" ht="9.75" customHeight="1">
      <c r="A3426" s="101"/>
    </row>
    <row r="3427" spans="1:1" ht="9.75" customHeight="1">
      <c r="A3427" s="101"/>
    </row>
    <row r="3428" spans="1:1" ht="9.75" customHeight="1">
      <c r="A3428" s="101"/>
    </row>
    <row r="3429" spans="1:1" ht="9.75" customHeight="1">
      <c r="A3429" s="101"/>
    </row>
    <row r="3430" spans="1:1" ht="9.75" customHeight="1">
      <c r="A3430" s="101"/>
    </row>
    <row r="3431" spans="1:1" ht="9.75" customHeight="1">
      <c r="A3431" s="101"/>
    </row>
    <row r="3432" spans="1:1" ht="9.75" customHeight="1">
      <c r="A3432" s="101"/>
    </row>
    <row r="3433" spans="1:1" ht="9.75" customHeight="1">
      <c r="A3433" s="101"/>
    </row>
    <row r="3434" spans="1:1" ht="9.75" customHeight="1">
      <c r="A3434" s="101"/>
    </row>
    <row r="3435" spans="1:1" ht="9.75" customHeight="1">
      <c r="A3435" s="101"/>
    </row>
    <row r="3436" spans="1:1" ht="9.75" customHeight="1">
      <c r="A3436" s="101"/>
    </row>
    <row r="3437" spans="1:1" ht="9.75" customHeight="1">
      <c r="A3437" s="101"/>
    </row>
    <row r="3438" spans="1:1" ht="9.75" customHeight="1">
      <c r="A3438" s="101"/>
    </row>
    <row r="3439" spans="1:1" ht="9.75" customHeight="1">
      <c r="A3439" s="101"/>
    </row>
    <row r="3440" spans="1:1" ht="9.75" customHeight="1">
      <c r="A3440" s="101"/>
    </row>
    <row r="3441" spans="1:1" ht="9.75" customHeight="1">
      <c r="A3441" s="101"/>
    </row>
    <row r="3442" spans="1:1" ht="9.75" customHeight="1">
      <c r="A3442" s="101"/>
    </row>
    <row r="3443" spans="1:1" ht="9.75" customHeight="1">
      <c r="A3443" s="101"/>
    </row>
    <row r="3444" spans="1:1" ht="9.75" customHeight="1">
      <c r="A3444" s="101"/>
    </row>
    <row r="3445" spans="1:1" ht="9.75" customHeight="1">
      <c r="A3445" s="101"/>
    </row>
    <row r="3446" spans="1:1" ht="9.75" customHeight="1">
      <c r="A3446" s="101"/>
    </row>
    <row r="3447" spans="1:1" ht="9.75" customHeight="1">
      <c r="A3447" s="101"/>
    </row>
    <row r="3448" spans="1:1" ht="9.75" customHeight="1">
      <c r="A3448" s="101"/>
    </row>
    <row r="3449" spans="1:1" ht="9.75" customHeight="1">
      <c r="A3449" s="101"/>
    </row>
    <row r="3450" spans="1:1" ht="9.75" customHeight="1">
      <c r="A3450" s="101"/>
    </row>
    <row r="3451" spans="1:1" ht="9.75" customHeight="1">
      <c r="A3451" s="101"/>
    </row>
    <row r="3452" spans="1:1" ht="9.75" customHeight="1">
      <c r="A3452" s="101"/>
    </row>
    <row r="3453" spans="1:1" ht="9.75" customHeight="1">
      <c r="A3453" s="101"/>
    </row>
    <row r="3454" spans="1:1" ht="9.75" customHeight="1">
      <c r="A3454" s="101"/>
    </row>
    <row r="3455" spans="1:1" ht="9.75" customHeight="1">
      <c r="A3455" s="101"/>
    </row>
    <row r="3456" spans="1:1" ht="9.75" customHeight="1">
      <c r="A3456" s="101"/>
    </row>
    <row r="3457" spans="1:1" ht="9.75" customHeight="1">
      <c r="A3457" s="101"/>
    </row>
    <row r="3458" spans="1:1" ht="9.75" customHeight="1">
      <c r="A3458" s="101"/>
    </row>
    <row r="3459" spans="1:1" ht="9.75" customHeight="1">
      <c r="A3459" s="101"/>
    </row>
    <row r="3460" spans="1:1" ht="9.75" customHeight="1">
      <c r="A3460" s="101"/>
    </row>
    <row r="3461" spans="1:1" ht="9.75" customHeight="1">
      <c r="A3461" s="101"/>
    </row>
    <row r="3462" spans="1:1" ht="9.75" customHeight="1">
      <c r="A3462" s="101"/>
    </row>
    <row r="3463" spans="1:1" ht="9.75" customHeight="1">
      <c r="A3463" s="101"/>
    </row>
    <row r="3464" spans="1:1" ht="9.75" customHeight="1">
      <c r="A3464" s="101"/>
    </row>
    <row r="3465" spans="1:1" ht="9.75" customHeight="1">
      <c r="A3465" s="101"/>
    </row>
    <row r="3466" spans="1:1" ht="9.75" customHeight="1">
      <c r="A3466" s="101"/>
    </row>
    <row r="3467" spans="1:1" ht="9.75" customHeight="1">
      <c r="A3467" s="101"/>
    </row>
    <row r="3468" spans="1:1" ht="9.75" customHeight="1">
      <c r="A3468" s="101"/>
    </row>
    <row r="3469" spans="1:1" ht="9.75" customHeight="1">
      <c r="A3469" s="101"/>
    </row>
    <row r="3470" spans="1:1" ht="9.75" customHeight="1">
      <c r="A3470" s="101"/>
    </row>
    <row r="3471" spans="1:1" ht="9.75" customHeight="1">
      <c r="A3471" s="101"/>
    </row>
    <row r="3472" spans="1:1" ht="9.75" customHeight="1">
      <c r="A3472" s="101"/>
    </row>
    <row r="3473" spans="1:1" ht="9.75" customHeight="1">
      <c r="A3473" s="101"/>
    </row>
    <row r="3474" spans="1:1" ht="9.75" customHeight="1">
      <c r="A3474" s="101"/>
    </row>
    <row r="3475" spans="1:1" ht="9.75" customHeight="1">
      <c r="A3475" s="101"/>
    </row>
    <row r="3476" spans="1:1" ht="9.75" customHeight="1">
      <c r="A3476" s="101"/>
    </row>
    <row r="3477" spans="1:1" ht="9.75" customHeight="1">
      <c r="A3477" s="101"/>
    </row>
    <row r="3478" spans="1:1" ht="9.75" customHeight="1">
      <c r="A3478" s="101"/>
    </row>
    <row r="3479" spans="1:1" ht="9.75" customHeight="1">
      <c r="A3479" s="101"/>
    </row>
    <row r="3480" spans="1:1" ht="9.75" customHeight="1">
      <c r="A3480" s="101"/>
    </row>
    <row r="3481" spans="1:1" ht="9.75" customHeight="1">
      <c r="A3481" s="101"/>
    </row>
    <row r="3482" spans="1:1" ht="9.75" customHeight="1">
      <c r="A3482" s="101"/>
    </row>
    <row r="3483" spans="1:1" ht="9.75" customHeight="1">
      <c r="A3483" s="101"/>
    </row>
    <row r="3484" spans="1:1" ht="9.75" customHeight="1">
      <c r="A3484" s="101"/>
    </row>
    <row r="3485" spans="1:1" ht="9.75" customHeight="1">
      <c r="A3485" s="101"/>
    </row>
    <row r="3486" spans="1:1" ht="9.75" customHeight="1">
      <c r="A3486" s="101"/>
    </row>
    <row r="3487" spans="1:1" ht="9.75" customHeight="1">
      <c r="A3487" s="101"/>
    </row>
    <row r="3488" spans="1:1" ht="9.75" customHeight="1">
      <c r="A3488" s="101"/>
    </row>
    <row r="3489" spans="1:1" ht="9.75" customHeight="1">
      <c r="A3489" s="101"/>
    </row>
    <row r="3490" spans="1:1" ht="9.75" customHeight="1">
      <c r="A3490" s="101"/>
    </row>
    <row r="3491" spans="1:1" ht="9.75" customHeight="1">
      <c r="A3491" s="101"/>
    </row>
    <row r="3492" spans="1:1" ht="9.75" customHeight="1">
      <c r="A3492" s="101"/>
    </row>
    <row r="3493" spans="1:1" ht="9.75" customHeight="1">
      <c r="A3493" s="101"/>
    </row>
    <row r="3494" spans="1:1" ht="9.75" customHeight="1">
      <c r="A3494" s="101"/>
    </row>
    <row r="3495" spans="1:1" ht="9.75" customHeight="1">
      <c r="A3495" s="101"/>
    </row>
    <row r="3496" spans="1:1" ht="9.75" customHeight="1">
      <c r="A3496" s="101"/>
    </row>
    <row r="3497" spans="1:1" ht="9.75" customHeight="1">
      <c r="A3497" s="101"/>
    </row>
    <row r="3498" spans="1:1" ht="9.75" customHeight="1">
      <c r="A3498" s="101"/>
    </row>
    <row r="3499" spans="1:1" ht="9.75" customHeight="1">
      <c r="A3499" s="101"/>
    </row>
    <row r="3500" spans="1:1" ht="9.75" customHeight="1">
      <c r="A3500" s="101"/>
    </row>
    <row r="3501" spans="1:1" ht="9.75" customHeight="1">
      <c r="A3501" s="101"/>
    </row>
    <row r="3502" spans="1:1" ht="9.75" customHeight="1">
      <c r="A3502" s="101"/>
    </row>
    <row r="3503" spans="1:1" ht="9.75" customHeight="1">
      <c r="A3503" s="101"/>
    </row>
    <row r="3504" spans="1:1" ht="9.75" customHeight="1">
      <c r="A3504" s="101"/>
    </row>
    <row r="3505" spans="1:1" ht="9.75" customHeight="1">
      <c r="A3505" s="101"/>
    </row>
    <row r="3506" spans="1:1" ht="9.75" customHeight="1">
      <c r="A3506" s="101"/>
    </row>
    <row r="3507" spans="1:1" ht="9.75" customHeight="1">
      <c r="A3507" s="101"/>
    </row>
    <row r="3508" spans="1:1" ht="9.75" customHeight="1">
      <c r="A3508" s="101"/>
    </row>
    <row r="3509" spans="1:1" ht="9.75" customHeight="1">
      <c r="A3509" s="101"/>
    </row>
    <row r="3510" spans="1:1" ht="9.75" customHeight="1">
      <c r="A3510" s="101"/>
    </row>
    <row r="3511" spans="1:1" ht="9.75" customHeight="1">
      <c r="A3511" s="101"/>
    </row>
    <row r="3512" spans="1:1" ht="9.75" customHeight="1">
      <c r="A3512" s="101"/>
    </row>
    <row r="3513" spans="1:1" ht="9.75" customHeight="1">
      <c r="A3513" s="101"/>
    </row>
    <row r="3514" spans="1:1" ht="9.75" customHeight="1">
      <c r="A3514" s="101"/>
    </row>
    <row r="3515" spans="1:1" ht="9.75" customHeight="1">
      <c r="A3515" s="101"/>
    </row>
    <row r="3516" spans="1:1" ht="9.75" customHeight="1">
      <c r="A3516" s="101"/>
    </row>
    <row r="3517" spans="1:1" ht="9.75" customHeight="1">
      <c r="A3517" s="101"/>
    </row>
    <row r="3518" spans="1:1" ht="9.75" customHeight="1">
      <c r="A3518" s="101"/>
    </row>
    <row r="3519" spans="1:1" ht="9.75" customHeight="1">
      <c r="A3519" s="101"/>
    </row>
    <row r="3520" spans="1:1" ht="9.75" customHeight="1">
      <c r="A3520" s="101"/>
    </row>
  </sheetData>
  <phoneticPr fontId="1"/>
  <conditionalFormatting sqref="C24">
    <cfRule type="expression" dxfId="5" priority="1">
      <formula>$C$24="読込済"</formula>
    </cfRule>
    <cfRule type="expression" dxfId="4" priority="2">
      <formula>$C$24="要読込"</formula>
    </cfRule>
  </conditionalFormatting>
  <conditionalFormatting sqref="G3:G22">
    <cfRule type="expression" dxfId="3" priority="4">
      <formula>G3="L2"</formula>
    </cfRule>
    <cfRule type="expression" dxfId="2" priority="5">
      <formula>G3="L1"</formula>
    </cfRule>
    <cfRule type="expression" dxfId="1" priority="6">
      <formula>G3="L1&amp;L2"</formula>
    </cfRule>
  </conditionalFormatting>
  <conditionalFormatting sqref="D3:H22">
    <cfRule type="expression" dxfId="0" priority="3">
      <formula>$G3="除外"</formula>
    </cfRule>
  </conditionalFormatting>
  <dataValidations count="4">
    <dataValidation type="list" allowBlank="1" showInputMessage="1" showErrorMessage="1" sqref="T2" xr:uid="{445ADBEC-F7BB-47CF-85C7-92B774A6E3B6}">
      <formula1>"加速度,速度,変位,Sf,Sp"</formula1>
    </dataValidation>
    <dataValidation type="list" allowBlank="1" showInputMessage="1" showErrorMessage="1" sqref="E3:E22" xr:uid="{2C8AB1CE-B078-4036-84EF-968E2A5FEB6B}">
      <formula1>"10,20"</formula1>
    </dataValidation>
    <dataValidation type="list" allowBlank="1" showInputMessage="1" sqref="G3:G22" xr:uid="{3BC35D0A-ACE4-4626-9F79-3C0CFA675371}">
      <formula1>"L1&amp;L2,L1,L2,L1.5,L3"</formula1>
    </dataValidation>
    <dataValidation type="list" allowBlank="1" showInputMessage="1" showErrorMessage="1" sqref="D3:D22" xr:uid="{166BD4EA-9746-4741-8375-7565CB9FFF80}">
      <formula1>"0.01,0.02"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tn_conv">
              <controlPr defaultSize="0" print="0" autoFill="0" autoPict="0" macro="[0]!地震波フォーマット作成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tn_trsf">
              <controlPr defaultSize="0" print="0" autoFill="0" autoPict="0" macro="[0]!地震波フォーマット転送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ShowWaveAscendingOrder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7" name="Button 7">
              <controlPr defaultSize="0" print="0" autoFill="0" autoPict="0" macro="[0]!ShowWaveDescendingOrder">
                <anchor moveWithCells="1" siz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4CF67-CDA7-49D0-8E6A-5704955FA254}">
  <sheetPr codeName="Sheet19"/>
  <dimension ref="A1"/>
  <sheetViews>
    <sheetView workbookViewId="0"/>
  </sheetViews>
  <sheetFormatPr defaultColWidth="8.7109375" defaultRowHeight="9.75" customHeight="1"/>
  <sheetData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643D4-08B4-43B7-9FCB-4EF4015EAE56}">
  <sheetPr codeName="Sheet20"/>
  <dimension ref="A1:CY64"/>
  <sheetViews>
    <sheetView workbookViewId="0"/>
  </sheetViews>
  <sheetFormatPr defaultColWidth="8.7109375" defaultRowHeight="9.75" customHeight="1"/>
  <cols>
    <col min="1" max="13" width="8.7109375" style="13"/>
  </cols>
  <sheetData>
    <row r="1" spans="1:103" s="13" customFormat="1" ht="9.75" customHeight="1">
      <c r="A1" s="95" t="s">
        <v>154</v>
      </c>
      <c r="B1" s="95" t="s">
        <v>158</v>
      </c>
      <c r="C1" s="95" t="s">
        <v>158</v>
      </c>
      <c r="D1" s="95" t="s">
        <v>153</v>
      </c>
      <c r="E1" s="95" t="s">
        <v>153</v>
      </c>
      <c r="F1" s="95" t="s">
        <v>152</v>
      </c>
      <c r="G1" s="95" t="s">
        <v>158</v>
      </c>
      <c r="H1" s="95" t="s">
        <v>158</v>
      </c>
      <c r="I1" s="95" t="s">
        <v>153</v>
      </c>
      <c r="J1" s="95" t="s">
        <v>153</v>
      </c>
      <c r="K1" s="96" t="s">
        <v>158</v>
      </c>
      <c r="L1" s="96" t="s">
        <v>157</v>
      </c>
      <c r="M1" s="96" t="s">
        <v>156</v>
      </c>
      <c r="O1" s="13" t="s">
        <v>155</v>
      </c>
      <c r="AK1" s="13" t="s">
        <v>154</v>
      </c>
      <c r="BG1" s="13" t="s">
        <v>153</v>
      </c>
      <c r="CC1" s="13" t="s">
        <v>152</v>
      </c>
      <c r="CY1" s="13" t="s">
        <v>151</v>
      </c>
    </row>
    <row r="2" spans="1:103" ht="9.75" customHeight="1">
      <c r="A2" s="95">
        <v>0.1</v>
      </c>
      <c r="B2" s="97">
        <f t="shared" ref="B2:B33" si="0">10^(LOG(D2)+LOG(2*PI())-LOG(A2))</f>
        <v>6.2831853071795871</v>
      </c>
      <c r="C2" s="97">
        <v>10</v>
      </c>
      <c r="D2" s="97">
        <v>0.1</v>
      </c>
      <c r="E2" s="97">
        <f t="shared" ref="E2:E33" si="1">10^(LOG(A2)-LOG(2*PI())+LOG(C2))</f>
        <v>0.15915494309189537</v>
      </c>
      <c r="F2" s="96">
        <v>2.0000000000000001E-4</v>
      </c>
      <c r="G2" s="97">
        <v>0.01</v>
      </c>
      <c r="H2" s="97">
        <f t="shared" ref="H2:H33" si="2">10^(LOG(F2)-LOG(J2)+LOG(2*PI()))</f>
        <v>1.2566370614359163E-2</v>
      </c>
      <c r="I2" s="97">
        <f t="shared" ref="I2:I33" si="3">10^(LOG(F2)+LOG(2*PI())-LOG(G2))</f>
        <v>0.12566370614359165</v>
      </c>
      <c r="J2" s="97">
        <v>0.1</v>
      </c>
      <c r="K2" s="98">
        <v>0.01</v>
      </c>
      <c r="L2" s="98">
        <f>IF(K2&lt;=0.16,(0.64+6*K2)*SeismicWaves!C$28,
IF(K2&lt;=0.64,1.6*SeismicWaves!C$28,
(1.024/K2)*SeismicWaves!C$28))*K2/(2*PI())*100</f>
        <v>0.11140846016432673</v>
      </c>
      <c r="M2" s="98">
        <f t="shared" ref="M2:M19" si="4">L2*5</f>
        <v>0.55704230082163364</v>
      </c>
    </row>
    <row r="3" spans="1:103" ht="9.75" customHeight="1">
      <c r="A3" s="96">
        <v>0.2</v>
      </c>
      <c r="B3" s="97">
        <f t="shared" si="0"/>
        <v>3.1415926535897931</v>
      </c>
      <c r="C3" s="97">
        <v>10</v>
      </c>
      <c r="D3" s="97">
        <v>0.1</v>
      </c>
      <c r="E3" s="97">
        <f t="shared" si="1"/>
        <v>0.31830988618379075</v>
      </c>
      <c r="F3" s="96">
        <v>3.0000000000000003E-4</v>
      </c>
      <c r="G3" s="97">
        <v>0.01</v>
      </c>
      <c r="H3" s="97">
        <f t="shared" si="2"/>
        <v>1.8849555921538759E-2</v>
      </c>
      <c r="I3" s="97">
        <f t="shared" si="3"/>
        <v>0.18849555921538758</v>
      </c>
      <c r="J3" s="97">
        <v>0.1</v>
      </c>
      <c r="K3" s="98">
        <v>0.02</v>
      </c>
      <c r="L3" s="98">
        <f>IF(K3&lt;=0.16,(0.64+6*K3)*SeismicWaves!C$28,
IF(K3&lt;=0.64,1.6*SeismicWaves!C$28,
(1.024/K3)*SeismicWaves!C$28))*K3/(2*PI())*100</f>
        <v>0.24191551349968093</v>
      </c>
      <c r="M3" s="98">
        <f t="shared" si="4"/>
        <v>1.2095775674984046</v>
      </c>
    </row>
    <row r="4" spans="1:103" ht="9.75" customHeight="1">
      <c r="A4" s="96">
        <v>0.30000000000000004</v>
      </c>
      <c r="B4" s="97">
        <f t="shared" si="0"/>
        <v>2.0943951023931953</v>
      </c>
      <c r="C4" s="97">
        <v>10</v>
      </c>
      <c r="D4" s="97">
        <v>0.1</v>
      </c>
      <c r="E4" s="97">
        <f t="shared" si="1"/>
        <v>0.47746482927568606</v>
      </c>
      <c r="F4" s="96">
        <v>4.0000000000000002E-4</v>
      </c>
      <c r="G4" s="97">
        <v>0.01</v>
      </c>
      <c r="H4" s="97">
        <f t="shared" si="2"/>
        <v>2.513274122871834E-2</v>
      </c>
      <c r="I4" s="97">
        <f t="shared" si="3"/>
        <v>0.25132741228718342</v>
      </c>
      <c r="J4" s="97">
        <v>0.1</v>
      </c>
      <c r="K4" s="98">
        <v>0.03</v>
      </c>
      <c r="L4" s="98">
        <f>IF(K4&lt;=0.16,(0.64+6*K4)*SeismicWaves!C$28,
IF(K4&lt;=0.64,1.6*SeismicWaves!C$28,
(1.024/K4)*SeismicWaves!C$28))*K4/(2*PI())*100</f>
        <v>0.39152116000606252</v>
      </c>
      <c r="M4" s="98">
        <f t="shared" si="4"/>
        <v>1.9576058000303127</v>
      </c>
    </row>
    <row r="5" spans="1:103" ht="9.75" customHeight="1">
      <c r="A5" s="96">
        <v>0.4</v>
      </c>
      <c r="B5" s="97">
        <f t="shared" si="0"/>
        <v>1.5707963267948966</v>
      </c>
      <c r="C5" s="97">
        <v>10</v>
      </c>
      <c r="D5" s="97">
        <v>0.1</v>
      </c>
      <c r="E5" s="97">
        <f t="shared" si="1"/>
        <v>0.63661977236758138</v>
      </c>
      <c r="F5" s="96">
        <v>5.0000000000000001E-4</v>
      </c>
      <c r="G5" s="97">
        <v>0.01</v>
      </c>
      <c r="H5" s="97">
        <f t="shared" si="2"/>
        <v>3.1415926535897913E-2</v>
      </c>
      <c r="I5" s="97">
        <f t="shared" si="3"/>
        <v>0.31415926535897915</v>
      </c>
      <c r="J5" s="97">
        <v>0.1</v>
      </c>
      <c r="K5" s="98">
        <v>0.04</v>
      </c>
      <c r="L5" s="98">
        <f>IF(K5&lt;=0.16,(0.64+6*K5)*SeismicWaves!C$28,
IF(K5&lt;=0.64,1.6*SeismicWaves!C$28,
(1.024/K5)*SeismicWaves!C$28))*K5/(2*PI())*100</f>
        <v>0.56022539968347163</v>
      </c>
      <c r="M5" s="98">
        <f t="shared" si="4"/>
        <v>2.8011269984173581</v>
      </c>
    </row>
    <row r="6" spans="1:103" ht="9.75" customHeight="1">
      <c r="A6" s="96">
        <v>0.5</v>
      </c>
      <c r="B6" s="97">
        <f t="shared" si="0"/>
        <v>1.2566370614359172</v>
      </c>
      <c r="C6" s="97">
        <v>10</v>
      </c>
      <c r="D6" s="97">
        <v>0.1</v>
      </c>
      <c r="E6" s="97">
        <f t="shared" si="1"/>
        <v>0.79577471545947676</v>
      </c>
      <c r="F6" s="96">
        <v>6.0000000000000006E-4</v>
      </c>
      <c r="G6" s="97">
        <v>0.01</v>
      </c>
      <c r="H6" s="97">
        <f t="shared" si="2"/>
        <v>3.7699111843077518E-2</v>
      </c>
      <c r="I6" s="97">
        <f t="shared" si="3"/>
        <v>0.37699111843077526</v>
      </c>
      <c r="J6" s="97">
        <v>0.1</v>
      </c>
      <c r="K6" s="98">
        <v>0.05</v>
      </c>
      <c r="L6" s="98">
        <f>IF(K6&lt;=0.16,(0.64+6*K6)*SeismicWaves!C$28,
IF(K6&lt;=0.64,1.6*SeismicWaves!C$28,
(1.024/K6)*SeismicWaves!C$28))*K6/(2*PI())*100</f>
        <v>0.7480282325319082</v>
      </c>
      <c r="M6" s="98">
        <f t="shared" si="4"/>
        <v>3.7401411626595409</v>
      </c>
    </row>
    <row r="7" spans="1:103" ht="9.75" customHeight="1">
      <c r="A7" s="96">
        <v>0.6</v>
      </c>
      <c r="B7" s="97">
        <f t="shared" si="0"/>
        <v>1.0471975511965979</v>
      </c>
      <c r="C7" s="97">
        <v>10</v>
      </c>
      <c r="D7" s="97">
        <v>0.1</v>
      </c>
      <c r="E7" s="97">
        <f t="shared" si="1"/>
        <v>0.95492965855137169</v>
      </c>
      <c r="F7" s="96">
        <v>7.000000000000001E-4</v>
      </c>
      <c r="G7" s="97">
        <v>0.01</v>
      </c>
      <c r="H7" s="97">
        <f t="shared" si="2"/>
        <v>4.3982297150257095E-2</v>
      </c>
      <c r="I7" s="97">
        <f t="shared" si="3"/>
        <v>0.43982297150257099</v>
      </c>
      <c r="J7" s="97">
        <v>0.1</v>
      </c>
      <c r="K7" s="98">
        <v>6.0000000000000005E-2</v>
      </c>
      <c r="L7" s="98">
        <f>IF(K7&lt;=0.16,(0.64+6*K7)*SeismicWaves!C$28,
IF(K7&lt;=0.64,1.6*SeismicWaves!C$28,
(1.024/K7)*SeismicWaves!C$28))*K7/(2*PI())*100</f>
        <v>0.95492965855137213</v>
      </c>
      <c r="M7" s="98">
        <f t="shared" si="4"/>
        <v>4.7746482927568605</v>
      </c>
    </row>
    <row r="8" spans="1:103" ht="9.75" customHeight="1">
      <c r="A8" s="96">
        <v>0.7</v>
      </c>
      <c r="B8" s="97">
        <f t="shared" si="0"/>
        <v>0.89759790102565529</v>
      </c>
      <c r="C8" s="97">
        <v>10</v>
      </c>
      <c r="D8" s="97">
        <v>0.1</v>
      </c>
      <c r="E8" s="97">
        <f t="shared" si="1"/>
        <v>1.1140846016432673</v>
      </c>
      <c r="F8" s="96">
        <v>8.0000000000000015E-4</v>
      </c>
      <c r="G8" s="97">
        <v>0.01</v>
      </c>
      <c r="H8" s="97">
        <f t="shared" si="2"/>
        <v>5.0265482457436686E-2</v>
      </c>
      <c r="I8" s="97">
        <f t="shared" si="3"/>
        <v>0.50265482457436694</v>
      </c>
      <c r="J8" s="97">
        <v>0.1</v>
      </c>
      <c r="K8" s="98">
        <v>7.0000000000000007E-2</v>
      </c>
      <c r="L8" s="98">
        <f>IF(K8&lt;=0.16,(0.64+6*K8)*SeismicWaves!C$28,
IF(K8&lt;=0.64,1.6*SeismicWaves!C$28,
(1.024/K8)*SeismicWaves!C$28))*K8/(2*PI())*100</f>
        <v>1.1809296777418636</v>
      </c>
      <c r="M8" s="98">
        <f t="shared" si="4"/>
        <v>5.904648388709318</v>
      </c>
    </row>
    <row r="9" spans="1:103" ht="9.75" customHeight="1">
      <c r="A9" s="96">
        <v>0.79999999999999993</v>
      </c>
      <c r="B9" s="97">
        <f t="shared" si="0"/>
        <v>0.78539816339744839</v>
      </c>
      <c r="C9" s="97">
        <v>10</v>
      </c>
      <c r="D9" s="97">
        <v>0.1</v>
      </c>
      <c r="E9" s="97">
        <f t="shared" si="1"/>
        <v>1.2732395447351625</v>
      </c>
      <c r="F9" s="96">
        <v>9.0000000000000019E-4</v>
      </c>
      <c r="G9" s="97">
        <v>0.01</v>
      </c>
      <c r="H9" s="97">
        <f t="shared" si="2"/>
        <v>5.6548667764616249E-2</v>
      </c>
      <c r="I9" s="97">
        <f t="shared" si="3"/>
        <v>0.56548667764616245</v>
      </c>
      <c r="J9" s="97">
        <v>0.1</v>
      </c>
      <c r="K9" s="98">
        <v>0.08</v>
      </c>
      <c r="L9" s="98">
        <f>IF(K9&lt;=0.16,(0.64+6*K9)*SeismicWaves!C$28,
IF(K9&lt;=0.64,1.6*SeismicWaves!C$28,
(1.024/K9)*SeismicWaves!C$28))*K9/(2*PI())*100</f>
        <v>1.4260282901033825</v>
      </c>
      <c r="M9" s="98">
        <f t="shared" si="4"/>
        <v>7.1301414505169127</v>
      </c>
    </row>
    <row r="10" spans="1:103" ht="9.75" customHeight="1">
      <c r="A10" s="96">
        <v>0.89999999999999991</v>
      </c>
      <c r="B10" s="97">
        <f t="shared" si="0"/>
        <v>0.6981317007977319</v>
      </c>
      <c r="C10" s="97">
        <v>10</v>
      </c>
      <c r="D10" s="97">
        <v>0.1</v>
      </c>
      <c r="E10" s="97">
        <f t="shared" si="1"/>
        <v>1.432394487827058</v>
      </c>
      <c r="F10" s="96">
        <v>1.0000000000000002E-3</v>
      </c>
      <c r="G10" s="97">
        <v>0.01</v>
      </c>
      <c r="H10" s="97">
        <f t="shared" si="2"/>
        <v>6.2831853071795826E-2</v>
      </c>
      <c r="I10" s="97">
        <f t="shared" si="3"/>
        <v>0.6283185307179584</v>
      </c>
      <c r="J10" s="97">
        <v>0.1</v>
      </c>
      <c r="K10" s="98">
        <v>0.09</v>
      </c>
      <c r="L10" s="98">
        <f>IF(K10&lt;=0.16,(0.64+6*K10)*SeismicWaves!C$28,
IF(K10&lt;=0.64,1.6*SeismicWaves!C$28,
(1.024/K10)*SeismicWaves!C$28))*K10/(2*PI())*100</f>
        <v>1.6902254956359288</v>
      </c>
      <c r="M10" s="98">
        <f t="shared" si="4"/>
        <v>8.4511274781796448</v>
      </c>
    </row>
    <row r="11" spans="1:103" ht="9.75" customHeight="1">
      <c r="A11" s="95">
        <v>0.99999999999999989</v>
      </c>
      <c r="B11" s="97">
        <f t="shared" si="0"/>
        <v>0.62831853071795862</v>
      </c>
      <c r="C11" s="97">
        <v>10</v>
      </c>
      <c r="D11" s="97">
        <v>0.1</v>
      </c>
      <c r="E11" s="97">
        <f t="shared" si="1"/>
        <v>1.5915494309189535</v>
      </c>
      <c r="F11" s="96">
        <v>2E-3</v>
      </c>
      <c r="G11" s="97">
        <v>0.01</v>
      </c>
      <c r="H11" s="97">
        <f t="shared" si="2"/>
        <v>0.12566370614359171</v>
      </c>
      <c r="I11" s="97">
        <f t="shared" si="3"/>
        <v>1.2566370614359172</v>
      </c>
      <c r="J11" s="97">
        <v>0.1</v>
      </c>
      <c r="K11" s="98">
        <v>9.9999999999999992E-2</v>
      </c>
      <c r="L11" s="98">
        <f>IF(K11&lt;=0.16,(0.64+6*K11)*SeismicWaves!C$28,
IF(K11&lt;=0.64,1.6*SeismicWaves!C$28,
(1.024/K11)*SeismicWaves!C$28))*K11/(2*PI())*100</f>
        <v>1.973521294339502</v>
      </c>
      <c r="M11" s="98">
        <f t="shared" si="4"/>
        <v>9.8676064716975098</v>
      </c>
    </row>
    <row r="12" spans="1:103" ht="9.75" customHeight="1">
      <c r="A12" s="96">
        <v>2</v>
      </c>
      <c r="B12" s="97">
        <f t="shared" si="0"/>
        <v>0.31415926535897931</v>
      </c>
      <c r="C12" s="97">
        <v>10</v>
      </c>
      <c r="D12" s="97">
        <v>0.1</v>
      </c>
      <c r="E12" s="97">
        <f t="shared" si="1"/>
        <v>3.1830988618379066</v>
      </c>
      <c r="F12" s="96">
        <v>3.0000000000000001E-3</v>
      </c>
      <c r="G12" s="97">
        <v>0.01</v>
      </c>
      <c r="H12" s="97">
        <f t="shared" si="2"/>
        <v>0.18849555921538763</v>
      </c>
      <c r="I12" s="97">
        <f t="shared" si="3"/>
        <v>1.8849555921538763</v>
      </c>
      <c r="J12" s="97">
        <v>0.1</v>
      </c>
      <c r="K12" s="98">
        <v>0.10999999999999999</v>
      </c>
      <c r="L12" s="98">
        <f>IF(K12&lt;=0.16,(0.64+6*K12)*SeismicWaves!C$28,
IF(K12&lt;=0.64,1.6*SeismicWaves!C$28,
(1.024/K12)*SeismicWaves!C$28))*K12/(2*PI())*100</f>
        <v>2.2759156862141028</v>
      </c>
      <c r="M12" s="98">
        <f t="shared" si="4"/>
        <v>11.379578431070513</v>
      </c>
    </row>
    <row r="13" spans="1:103" ht="9.75" customHeight="1">
      <c r="A13" s="96">
        <v>3</v>
      </c>
      <c r="B13" s="97">
        <f t="shared" si="0"/>
        <v>0.20943951023931948</v>
      </c>
      <c r="C13" s="97">
        <v>10</v>
      </c>
      <c r="D13" s="97">
        <v>0.1</v>
      </c>
      <c r="E13" s="97">
        <f t="shared" si="1"/>
        <v>4.7746482927568614</v>
      </c>
      <c r="F13" s="96">
        <v>4.0000000000000001E-3</v>
      </c>
      <c r="G13" s="97">
        <v>0.01</v>
      </c>
      <c r="H13" s="97">
        <f t="shared" si="2"/>
        <v>0.25132741228718347</v>
      </c>
      <c r="I13" s="97">
        <f t="shared" si="3"/>
        <v>2.5132741228718349</v>
      </c>
      <c r="J13" s="97">
        <v>0.1</v>
      </c>
      <c r="K13" s="98">
        <v>0.11999999999999998</v>
      </c>
      <c r="L13" s="98">
        <f>IF(K13&lt;=0.16,(0.64+6*K13)*SeismicWaves!C$28,
IF(K13&lt;=0.64,1.6*SeismicWaves!C$28,
(1.024/K13)*SeismicWaves!C$28))*K13/(2*PI())*100</f>
        <v>2.5974086712597311</v>
      </c>
      <c r="M13" s="98">
        <f t="shared" si="4"/>
        <v>12.987043356298656</v>
      </c>
    </row>
    <row r="14" spans="1:103" ht="9.75" customHeight="1">
      <c r="A14" s="96">
        <v>4</v>
      </c>
      <c r="B14" s="97">
        <f t="shared" si="0"/>
        <v>0.15707963267948966</v>
      </c>
      <c r="C14" s="97">
        <v>10</v>
      </c>
      <c r="D14" s="97">
        <v>0.1</v>
      </c>
      <c r="E14" s="97">
        <f t="shared" si="1"/>
        <v>6.366197723675814</v>
      </c>
      <c r="F14" s="96">
        <v>5.0000000000000001E-3</v>
      </c>
      <c r="G14" s="97">
        <v>0.01</v>
      </c>
      <c r="H14" s="97">
        <f t="shared" si="2"/>
        <v>0.31415926535897926</v>
      </c>
      <c r="I14" s="97">
        <f t="shared" si="3"/>
        <v>3.1415926535897927</v>
      </c>
      <c r="J14" s="97">
        <v>0.1</v>
      </c>
      <c r="K14" s="98">
        <v>0.12999999999999998</v>
      </c>
      <c r="L14" s="98">
        <f>IF(K14&lt;=0.16,(0.64+6*K14)*SeismicWaves!C$28,
IF(K14&lt;=0.64,1.6*SeismicWaves!C$28,
(1.024/K14)*SeismicWaves!C$28))*K14/(2*PI())*100</f>
        <v>2.9380002494763873</v>
      </c>
      <c r="M14" s="98">
        <f t="shared" si="4"/>
        <v>14.690001247381936</v>
      </c>
    </row>
    <row r="15" spans="1:103" ht="9.75" customHeight="1">
      <c r="A15" s="96">
        <v>5</v>
      </c>
      <c r="B15" s="97">
        <f t="shared" si="0"/>
        <v>0.12566370614359165</v>
      </c>
      <c r="C15" s="97">
        <v>10</v>
      </c>
      <c r="D15" s="97">
        <v>0.1</v>
      </c>
      <c r="E15" s="97">
        <f t="shared" si="1"/>
        <v>7.9577471545947711</v>
      </c>
      <c r="F15" s="96">
        <v>6.0000000000000001E-3</v>
      </c>
      <c r="G15" s="97">
        <v>0.01</v>
      </c>
      <c r="H15" s="97">
        <f t="shared" si="2"/>
        <v>0.37699111843077532</v>
      </c>
      <c r="I15" s="97">
        <f t="shared" si="3"/>
        <v>3.7699111843077535</v>
      </c>
      <c r="J15" s="97">
        <v>0.1</v>
      </c>
      <c r="K15" s="98">
        <v>0.13999999999999999</v>
      </c>
      <c r="L15" s="98">
        <f>IF(K15&lt;=0.16,(0.64+6*K15)*SeismicWaves!C$28,
IF(K15&lt;=0.64,1.6*SeismicWaves!C$28,
(1.024/K15)*SeismicWaves!C$28))*K15/(2*PI())*100</f>
        <v>3.2976904208640709</v>
      </c>
      <c r="M15" s="98">
        <f t="shared" si="4"/>
        <v>16.488452104320356</v>
      </c>
    </row>
    <row r="16" spans="1:103" ht="9.75" customHeight="1">
      <c r="A16" s="96">
        <v>6</v>
      </c>
      <c r="B16" s="97">
        <f t="shared" si="0"/>
        <v>0.10471975511965974</v>
      </c>
      <c r="C16" s="97">
        <v>10</v>
      </c>
      <c r="D16" s="97">
        <v>0.1</v>
      </c>
      <c r="E16" s="97">
        <f t="shared" si="1"/>
        <v>9.5492965855137228</v>
      </c>
      <c r="F16" s="96">
        <v>7.0000000000000001E-3</v>
      </c>
      <c r="G16" s="97">
        <v>0.01</v>
      </c>
      <c r="H16" s="97">
        <f t="shared" si="2"/>
        <v>0.4398229715025711</v>
      </c>
      <c r="I16" s="97">
        <f t="shared" si="3"/>
        <v>4.3982297150257104</v>
      </c>
      <c r="J16" s="97">
        <v>0.1</v>
      </c>
      <c r="K16" s="98">
        <v>0.15</v>
      </c>
      <c r="L16" s="98">
        <f>IF(K16&lt;=0.16,(0.64+6*K16)*SeismicWaves!C$28,
IF(K16&lt;=0.64,1.6*SeismicWaves!C$28,
(1.024/K16)*SeismicWaves!C$28))*K16/(2*PI())*100</f>
        <v>3.6764791854227816</v>
      </c>
      <c r="M16" s="98">
        <f t="shared" si="4"/>
        <v>18.382395927113908</v>
      </c>
    </row>
    <row r="17" spans="1:13" ht="9.75" customHeight="1">
      <c r="A17" s="96">
        <v>7</v>
      </c>
      <c r="B17" s="97">
        <f t="shared" si="0"/>
        <v>8.9759790102565518E-2</v>
      </c>
      <c r="C17" s="97">
        <v>10</v>
      </c>
      <c r="D17" s="97">
        <v>0.1</v>
      </c>
      <c r="E17" s="97">
        <f t="shared" si="1"/>
        <v>11.140846016432674</v>
      </c>
      <c r="F17" s="96">
        <v>8.0000000000000002E-3</v>
      </c>
      <c r="G17" s="97">
        <v>0.01</v>
      </c>
      <c r="H17" s="97">
        <f t="shared" si="2"/>
        <v>0.50265482457436705</v>
      </c>
      <c r="I17" s="97">
        <f t="shared" si="3"/>
        <v>5.0265482457436708</v>
      </c>
      <c r="J17" s="97">
        <v>0.1</v>
      </c>
      <c r="K17" s="98">
        <v>0.16</v>
      </c>
      <c r="L17" s="98">
        <f>IF(K17&lt;=0.16,(0.64+6*K17)*SeismicWaves!C$28,
IF(K17&lt;=0.64,1.6*SeismicWaves!C$28,
(1.024/K17)*SeismicWaves!C$28))*K17/(2*PI())*100</f>
        <v>4.0743665431525207</v>
      </c>
      <c r="M17" s="98">
        <f t="shared" si="4"/>
        <v>20.371832715762604</v>
      </c>
    </row>
    <row r="18" spans="1:13" ht="9.75" customHeight="1">
      <c r="A18" s="96">
        <v>8</v>
      </c>
      <c r="B18" s="97">
        <f t="shared" si="0"/>
        <v>7.8539816339744856E-2</v>
      </c>
      <c r="C18" s="97">
        <v>10</v>
      </c>
      <c r="D18" s="97">
        <v>0.1</v>
      </c>
      <c r="E18" s="97">
        <f t="shared" si="1"/>
        <v>12.732395447351623</v>
      </c>
      <c r="F18" s="96">
        <v>9.0000000000000011E-3</v>
      </c>
      <c r="G18" s="97">
        <v>0.01</v>
      </c>
      <c r="H18" s="97">
        <f t="shared" si="2"/>
        <v>0.56548667764616267</v>
      </c>
      <c r="I18" s="97">
        <f t="shared" si="3"/>
        <v>5.6548667764616258</v>
      </c>
      <c r="J18" s="97">
        <v>0.1</v>
      </c>
      <c r="K18" s="98">
        <v>0.64</v>
      </c>
      <c r="L18" s="98">
        <f>IF(K18&lt;=0.16,(0.64+6*K18)*SeismicWaves!C$28,
IF(K18&lt;=0.64,1.6*SeismicWaves!C$28,
(1.024/K18)*SeismicWaves!C$28))*K18/(2*PI())*100</f>
        <v>16.297466172610083</v>
      </c>
      <c r="M18" s="98">
        <f t="shared" si="4"/>
        <v>81.487330863050417</v>
      </c>
    </row>
    <row r="19" spans="1:13" ht="9.75" customHeight="1">
      <c r="A19" s="96">
        <v>9</v>
      </c>
      <c r="B19" s="97">
        <f t="shared" si="0"/>
        <v>6.9813170079773168E-2</v>
      </c>
      <c r="C19" s="97">
        <v>10</v>
      </c>
      <c r="D19" s="97">
        <v>0.1</v>
      </c>
      <c r="E19" s="97">
        <f t="shared" si="1"/>
        <v>14.323944878270582</v>
      </c>
      <c r="F19" s="96">
        <v>1.0000000000000002E-2</v>
      </c>
      <c r="G19" s="97">
        <v>0.01</v>
      </c>
      <c r="H19" s="97">
        <f t="shared" si="2"/>
        <v>0.62831853071795862</v>
      </c>
      <c r="I19" s="97">
        <f t="shared" si="3"/>
        <v>6.2831853071795853</v>
      </c>
      <c r="J19" s="97">
        <v>0.1</v>
      </c>
      <c r="K19" s="98">
        <v>10</v>
      </c>
      <c r="L19" s="98">
        <f>IF(K19&lt;=0.16,(0.64+6*K19)*SeismicWaves!C$28,
IF(K19&lt;=0.64,1.6*SeismicWaves!C$28,
(1.024/K19)*SeismicWaves!C$28))*K19/(2*PI())*100</f>
        <v>16.297466172610083</v>
      </c>
      <c r="M19" s="98">
        <f t="shared" si="4"/>
        <v>81.487330863050417</v>
      </c>
    </row>
    <row r="20" spans="1:13" ht="9.75" customHeight="1">
      <c r="A20" s="95">
        <v>10</v>
      </c>
      <c r="B20" s="97">
        <f t="shared" si="0"/>
        <v>6.2831853071795826E-2</v>
      </c>
      <c r="C20" s="97">
        <v>10</v>
      </c>
      <c r="D20" s="97">
        <v>0.1</v>
      </c>
      <c r="E20" s="97">
        <f t="shared" si="1"/>
        <v>15.915494309189542</v>
      </c>
      <c r="F20" s="96">
        <v>2.0000000000000004E-2</v>
      </c>
      <c r="G20" s="97">
        <v>0.01</v>
      </c>
      <c r="H20" s="97">
        <f t="shared" si="2"/>
        <v>1.2566370614359175</v>
      </c>
      <c r="I20" s="97">
        <f t="shared" si="3"/>
        <v>12.566370614359172</v>
      </c>
      <c r="J20" s="97">
        <v>0.1</v>
      </c>
      <c r="K20" s="96"/>
      <c r="L20" s="96"/>
      <c r="M20" s="96"/>
    </row>
    <row r="21" spans="1:13" ht="9.75" customHeight="1">
      <c r="A21" s="96">
        <v>20</v>
      </c>
      <c r="B21" s="97">
        <f t="shared" si="0"/>
        <v>3.1415926535897913E-2</v>
      </c>
      <c r="C21" s="97">
        <v>10</v>
      </c>
      <c r="D21" s="97">
        <v>0.1</v>
      </c>
      <c r="E21" s="97">
        <f t="shared" si="1"/>
        <v>31.830988618379088</v>
      </c>
      <c r="F21" s="96">
        <v>3.0000000000000006E-2</v>
      </c>
      <c r="G21" s="97">
        <v>0.01</v>
      </c>
      <c r="H21" s="97">
        <f t="shared" si="2"/>
        <v>1.8849555921538768</v>
      </c>
      <c r="I21" s="97">
        <f t="shared" si="3"/>
        <v>18.849555921538769</v>
      </c>
      <c r="J21" s="97">
        <v>0.1</v>
      </c>
      <c r="K21" s="96"/>
      <c r="L21" s="96"/>
      <c r="M21" s="96"/>
    </row>
    <row r="22" spans="1:13" ht="9.75" customHeight="1">
      <c r="A22" s="96">
        <v>30</v>
      </c>
      <c r="B22" s="97">
        <f t="shared" si="0"/>
        <v>2.0943951023931956E-2</v>
      </c>
      <c r="C22" s="97">
        <v>10</v>
      </c>
      <c r="D22" s="97">
        <v>0.1</v>
      </c>
      <c r="E22" s="97">
        <f t="shared" si="1"/>
        <v>47.7464829275686</v>
      </c>
      <c r="F22" s="96">
        <v>4.0000000000000008E-2</v>
      </c>
      <c r="G22" s="97">
        <v>0.01</v>
      </c>
      <c r="H22" s="97">
        <f t="shared" si="2"/>
        <v>2.5132741228718354</v>
      </c>
      <c r="I22" s="97">
        <f t="shared" si="3"/>
        <v>25.132741228718359</v>
      </c>
      <c r="J22" s="97">
        <v>0.1</v>
      </c>
      <c r="K22" s="96"/>
      <c r="L22" s="96"/>
      <c r="M22" s="96"/>
    </row>
    <row r="23" spans="1:13" ht="9.75" customHeight="1">
      <c r="A23" s="96">
        <v>40</v>
      </c>
      <c r="B23" s="97">
        <f t="shared" si="0"/>
        <v>1.5707963267948967E-2</v>
      </c>
      <c r="C23" s="97">
        <v>10</v>
      </c>
      <c r="D23" s="97">
        <v>0.1</v>
      </c>
      <c r="E23" s="97">
        <f t="shared" si="1"/>
        <v>63.661977236758126</v>
      </c>
      <c r="F23" s="96">
        <v>5.000000000000001E-2</v>
      </c>
      <c r="G23" s="97">
        <v>0.01</v>
      </c>
      <c r="H23" s="97">
        <f t="shared" si="2"/>
        <v>3.1415926535897944</v>
      </c>
      <c r="I23" s="97">
        <f t="shared" si="3"/>
        <v>31.41592653589796</v>
      </c>
      <c r="J23" s="97">
        <v>0.1</v>
      </c>
      <c r="K23" s="96"/>
      <c r="L23" s="96"/>
      <c r="M23" s="96"/>
    </row>
    <row r="24" spans="1:13" ht="9.75" customHeight="1">
      <c r="A24" s="96">
        <v>50</v>
      </c>
      <c r="B24" s="97">
        <f t="shared" si="0"/>
        <v>1.2566370614359163E-2</v>
      </c>
      <c r="C24" s="97">
        <v>10</v>
      </c>
      <c r="D24" s="97">
        <v>0.1</v>
      </c>
      <c r="E24" s="97">
        <f t="shared" si="1"/>
        <v>79.577471545947731</v>
      </c>
      <c r="F24" s="96">
        <v>6.0000000000000012E-2</v>
      </c>
      <c r="G24" s="97">
        <v>0.01</v>
      </c>
      <c r="H24" s="97">
        <f t="shared" si="2"/>
        <v>3.7699111843077522</v>
      </c>
      <c r="I24" s="97">
        <f t="shared" si="3"/>
        <v>37.699111843077546</v>
      </c>
      <c r="J24" s="97">
        <v>0.1</v>
      </c>
      <c r="K24" s="96"/>
      <c r="L24" s="96"/>
      <c r="M24" s="96"/>
    </row>
    <row r="25" spans="1:13" ht="9.75" customHeight="1">
      <c r="A25" s="96">
        <v>60</v>
      </c>
      <c r="B25" s="97">
        <f t="shared" si="0"/>
        <v>1.0471975511965976E-2</v>
      </c>
      <c r="C25" s="97">
        <v>10</v>
      </c>
      <c r="D25" s="97">
        <v>0.1</v>
      </c>
      <c r="E25" s="97">
        <f t="shared" si="1"/>
        <v>95.492965855137214</v>
      </c>
      <c r="F25" s="96">
        <v>7.0000000000000007E-2</v>
      </c>
      <c r="G25" s="97">
        <v>0.01</v>
      </c>
      <c r="H25" s="97">
        <f t="shared" si="2"/>
        <v>4.3982297150257121</v>
      </c>
      <c r="I25" s="97">
        <f t="shared" si="3"/>
        <v>43.982297150257125</v>
      </c>
      <c r="J25" s="97">
        <v>0.1</v>
      </c>
      <c r="K25" s="96"/>
      <c r="L25" s="96"/>
      <c r="M25" s="96"/>
    </row>
    <row r="26" spans="1:13" ht="9.75" customHeight="1">
      <c r="A26" s="96">
        <v>70</v>
      </c>
      <c r="B26" s="97">
        <f t="shared" si="0"/>
        <v>8.9759790102565459E-3</v>
      </c>
      <c r="C26" s="97">
        <v>10</v>
      </c>
      <c r="D26" s="97">
        <v>0.1</v>
      </c>
      <c r="E26" s="97">
        <f t="shared" si="1"/>
        <v>111.40846016432681</v>
      </c>
      <c r="F26" s="96">
        <v>0.08</v>
      </c>
      <c r="G26" s="97">
        <v>0.01</v>
      </c>
      <c r="H26" s="97">
        <f t="shared" si="2"/>
        <v>5.0265482457436699</v>
      </c>
      <c r="I26" s="97">
        <f t="shared" si="3"/>
        <v>50.265482457436718</v>
      </c>
      <c r="J26" s="97">
        <v>0.1</v>
      </c>
      <c r="K26" s="96"/>
      <c r="L26" s="96"/>
      <c r="M26" s="96"/>
    </row>
    <row r="27" spans="1:13" ht="9.75" customHeight="1">
      <c r="A27" s="96">
        <v>80</v>
      </c>
      <c r="B27" s="97">
        <f t="shared" si="0"/>
        <v>7.8539816339744835E-3</v>
      </c>
      <c r="C27" s="97">
        <v>10</v>
      </c>
      <c r="D27" s="97">
        <v>0.1</v>
      </c>
      <c r="E27" s="97">
        <f t="shared" si="1"/>
        <v>127.32395447351627</v>
      </c>
      <c r="F27" s="96">
        <v>0.09</v>
      </c>
      <c r="G27" s="97">
        <v>0.01</v>
      </c>
      <c r="H27" s="97">
        <f t="shared" si="2"/>
        <v>5.6548667764616267</v>
      </c>
      <c r="I27" s="97">
        <f t="shared" si="3"/>
        <v>56.548667764616255</v>
      </c>
      <c r="J27" s="97">
        <v>0.1</v>
      </c>
      <c r="K27" s="96"/>
      <c r="L27" s="96"/>
      <c r="M27" s="96"/>
    </row>
    <row r="28" spans="1:13" ht="9.75" customHeight="1">
      <c r="A28" s="96">
        <v>90</v>
      </c>
      <c r="B28" s="97">
        <f t="shared" si="0"/>
        <v>6.9813170079773166E-3</v>
      </c>
      <c r="C28" s="97">
        <v>10</v>
      </c>
      <c r="D28" s="97">
        <v>0.1</v>
      </c>
      <c r="E28" s="97">
        <f t="shared" si="1"/>
        <v>143.23944878270584</v>
      </c>
      <c r="F28" s="96">
        <v>9.9999999999999992E-2</v>
      </c>
      <c r="G28" s="97">
        <v>0.01</v>
      </c>
      <c r="H28" s="97">
        <f t="shared" si="2"/>
        <v>6.2831853071795871</v>
      </c>
      <c r="I28" s="97">
        <f t="shared" si="3"/>
        <v>62.831853071795869</v>
      </c>
      <c r="J28" s="97">
        <v>0.1</v>
      </c>
      <c r="K28" s="96"/>
      <c r="L28" s="96"/>
      <c r="M28" s="96"/>
    </row>
    <row r="29" spans="1:13" ht="9.75" customHeight="1">
      <c r="A29" s="95">
        <v>100</v>
      </c>
      <c r="B29" s="95">
        <f t="shared" si="0"/>
        <v>6.2831853071795814E-3</v>
      </c>
      <c r="C29" s="95">
        <v>10</v>
      </c>
      <c r="D29" s="95">
        <v>0.1</v>
      </c>
      <c r="E29" s="95">
        <f t="shared" si="1"/>
        <v>159.15494309189546</v>
      </c>
      <c r="F29" s="96">
        <v>0.2</v>
      </c>
      <c r="G29" s="97">
        <v>0.01</v>
      </c>
      <c r="H29" s="97">
        <f t="shared" si="2"/>
        <v>12.566370614359172</v>
      </c>
      <c r="I29" s="97">
        <f t="shared" si="3"/>
        <v>125.66370614359175</v>
      </c>
      <c r="J29" s="97">
        <v>0.1</v>
      </c>
      <c r="K29" s="96"/>
      <c r="L29" s="96"/>
      <c r="M29" s="96"/>
    </row>
    <row r="30" spans="1:13" ht="9.75" customHeight="1">
      <c r="A30" s="96">
        <v>200</v>
      </c>
      <c r="B30" s="97">
        <f t="shared" si="0"/>
        <v>3.1415926535897903E-3</v>
      </c>
      <c r="C30" s="97">
        <v>10</v>
      </c>
      <c r="D30" s="97">
        <v>0.1</v>
      </c>
      <c r="E30" s="97">
        <f t="shared" si="1"/>
        <v>318.30988618379098</v>
      </c>
      <c r="F30" s="96">
        <v>0.30000000000000004</v>
      </c>
      <c r="G30" s="97">
        <v>0.01</v>
      </c>
      <c r="H30" s="97">
        <f t="shared" si="2"/>
        <v>18.849555921538769</v>
      </c>
      <c r="I30" s="97">
        <f t="shared" si="3"/>
        <v>188.49555921538766</v>
      </c>
      <c r="J30" s="97">
        <v>0.1</v>
      </c>
      <c r="K30" s="96"/>
      <c r="L30" s="96"/>
      <c r="M30" s="96"/>
    </row>
    <row r="31" spans="1:13" ht="9.75" customHeight="1">
      <c r="A31" s="96">
        <v>300</v>
      </c>
      <c r="B31" s="97">
        <f t="shared" si="0"/>
        <v>2.0943951023931931E-3</v>
      </c>
      <c r="C31" s="97">
        <v>10</v>
      </c>
      <c r="D31" s="97">
        <v>0.1</v>
      </c>
      <c r="E31" s="97">
        <f t="shared" si="1"/>
        <v>477.46482927568655</v>
      </c>
      <c r="F31" s="96">
        <v>0.4</v>
      </c>
      <c r="G31" s="97">
        <v>0.01</v>
      </c>
      <c r="H31" s="97">
        <f t="shared" si="2"/>
        <v>25.132741228718359</v>
      </c>
      <c r="I31" s="97">
        <f t="shared" si="3"/>
        <v>251.32741228718353</v>
      </c>
      <c r="J31" s="97">
        <v>0.1</v>
      </c>
      <c r="K31" s="96"/>
      <c r="L31" s="96"/>
      <c r="M31" s="96"/>
    </row>
    <row r="32" spans="1:13" ht="9.75" customHeight="1">
      <c r="A32" s="96">
        <v>400</v>
      </c>
      <c r="B32" s="97">
        <f t="shared" si="0"/>
        <v>1.5707963267948951E-3</v>
      </c>
      <c r="C32" s="97">
        <v>10</v>
      </c>
      <c r="D32" s="97">
        <v>0.1</v>
      </c>
      <c r="E32" s="97">
        <f t="shared" si="1"/>
        <v>636.61977236758196</v>
      </c>
      <c r="F32" s="96">
        <v>0.5</v>
      </c>
      <c r="G32" s="97">
        <v>0.01</v>
      </c>
      <c r="H32" s="97">
        <f t="shared" si="2"/>
        <v>31.415926535897931</v>
      </c>
      <c r="I32" s="97">
        <f t="shared" si="3"/>
        <v>314.15926535897938</v>
      </c>
      <c r="J32" s="97">
        <v>0.1</v>
      </c>
      <c r="K32" s="96"/>
      <c r="L32" s="96"/>
      <c r="M32" s="96"/>
    </row>
    <row r="33" spans="1:13" ht="9.75" customHeight="1">
      <c r="A33" s="96">
        <v>500</v>
      </c>
      <c r="B33" s="97">
        <f t="shared" si="0"/>
        <v>1.2566370614359162E-3</v>
      </c>
      <c r="C33" s="97">
        <v>10</v>
      </c>
      <c r="D33" s="97">
        <v>0.1</v>
      </c>
      <c r="E33" s="97">
        <f t="shared" si="1"/>
        <v>795.77471545947742</v>
      </c>
      <c r="F33" s="96">
        <v>0.6</v>
      </c>
      <c r="G33" s="97">
        <v>0.01</v>
      </c>
      <c r="H33" s="97">
        <f t="shared" si="2"/>
        <v>37.699111843077546</v>
      </c>
      <c r="I33" s="97">
        <f t="shared" si="3"/>
        <v>376.99111843077537</v>
      </c>
      <c r="J33" s="97">
        <v>0.1</v>
      </c>
      <c r="K33" s="96"/>
      <c r="L33" s="96"/>
      <c r="M33" s="96"/>
    </row>
    <row r="34" spans="1:13" ht="9.75" customHeight="1">
      <c r="A34" s="96">
        <v>600</v>
      </c>
      <c r="B34" s="97">
        <f t="shared" ref="B34:B60" si="5">10^(LOG(D34)+LOG(2*PI())-LOG(A34))</f>
        <v>1.0471975511965974E-3</v>
      </c>
      <c r="C34" s="97">
        <v>10</v>
      </c>
      <c r="D34" s="97">
        <v>0.1</v>
      </c>
      <c r="E34" s="97">
        <f t="shared" ref="E34:E60" si="6">10^(LOG(A34)-LOG(2*PI())+LOG(C34))</f>
        <v>954.92965855137231</v>
      </c>
      <c r="F34" s="96">
        <v>0.7</v>
      </c>
      <c r="G34" s="97">
        <v>0.01</v>
      </c>
      <c r="H34" s="97">
        <f t="shared" ref="H34:H64" si="7">10^(LOG(F34)-LOG(J34)+LOG(2*PI()))</f>
        <v>43.982297150257125</v>
      </c>
      <c r="I34" s="97">
        <f t="shared" ref="I34:I64" si="8">10^(LOG(F34)+LOG(2*PI())-LOG(G34))</f>
        <v>439.82297150257114</v>
      </c>
      <c r="J34" s="97">
        <v>0.1</v>
      </c>
      <c r="K34" s="96"/>
      <c r="L34" s="96"/>
      <c r="M34" s="96"/>
    </row>
    <row r="35" spans="1:13" ht="9.75" customHeight="1">
      <c r="A35" s="96">
        <v>700</v>
      </c>
      <c r="B35" s="97">
        <f t="shared" si="5"/>
        <v>8.9759790102565446E-4</v>
      </c>
      <c r="C35" s="97">
        <v>10</v>
      </c>
      <c r="D35" s="97">
        <v>0.1</v>
      </c>
      <c r="E35" s="97">
        <f t="shared" si="6"/>
        <v>1114.0846016432683</v>
      </c>
      <c r="F35" s="96">
        <v>0.79999999999999993</v>
      </c>
      <c r="G35" s="97">
        <v>0.01</v>
      </c>
      <c r="H35" s="97">
        <f t="shared" si="7"/>
        <v>50.265482457436718</v>
      </c>
      <c r="I35" s="97">
        <f t="shared" si="8"/>
        <v>502.65482457436707</v>
      </c>
      <c r="J35" s="97">
        <v>0.1</v>
      </c>
      <c r="K35" s="96"/>
      <c r="L35" s="96"/>
      <c r="M35" s="96"/>
    </row>
    <row r="36" spans="1:13" ht="9.75" customHeight="1">
      <c r="A36" s="96">
        <v>800</v>
      </c>
      <c r="B36" s="97">
        <f t="shared" si="5"/>
        <v>7.8539816339744746E-4</v>
      </c>
      <c r="C36" s="97">
        <v>10</v>
      </c>
      <c r="D36" s="97">
        <v>0.1</v>
      </c>
      <c r="E36" s="97">
        <f t="shared" si="6"/>
        <v>1273.2395447351641</v>
      </c>
      <c r="F36" s="96">
        <v>0.89999999999999991</v>
      </c>
      <c r="G36" s="97">
        <v>0.01</v>
      </c>
      <c r="H36" s="97">
        <f t="shared" si="7"/>
        <v>56.548667764616305</v>
      </c>
      <c r="I36" s="97">
        <f t="shared" si="8"/>
        <v>565.48667764616266</v>
      </c>
      <c r="J36" s="97">
        <v>0.1</v>
      </c>
      <c r="K36" s="96"/>
      <c r="L36" s="96"/>
      <c r="M36" s="96"/>
    </row>
    <row r="37" spans="1:13" ht="9.75" customHeight="1">
      <c r="A37" s="96">
        <v>900</v>
      </c>
      <c r="B37" s="97">
        <f t="shared" si="5"/>
        <v>6.9813170079773142E-4</v>
      </c>
      <c r="C37" s="97">
        <v>10</v>
      </c>
      <c r="D37" s="97">
        <v>0.1</v>
      </c>
      <c r="E37" s="97">
        <f t="shared" si="6"/>
        <v>1432.3944878270588</v>
      </c>
      <c r="F37" s="96">
        <v>0.99999999999999989</v>
      </c>
      <c r="G37" s="97">
        <v>0.01</v>
      </c>
      <c r="H37" s="97">
        <f t="shared" si="7"/>
        <v>62.831853071795869</v>
      </c>
      <c r="I37" s="97">
        <f t="shared" si="8"/>
        <v>628.31853071795888</v>
      </c>
      <c r="J37" s="97">
        <v>0.1</v>
      </c>
      <c r="K37" s="96"/>
      <c r="L37" s="96"/>
      <c r="M37" s="96"/>
    </row>
    <row r="38" spans="1:13" ht="9.75" customHeight="1">
      <c r="A38" s="95">
        <v>1000</v>
      </c>
      <c r="B38" s="95">
        <f t="shared" si="5"/>
        <v>6.2831853071795797E-4</v>
      </c>
      <c r="C38" s="95">
        <v>10</v>
      </c>
      <c r="D38" s="95">
        <v>0.1</v>
      </c>
      <c r="E38" s="95">
        <f t="shared" si="6"/>
        <v>1591.5494309189551</v>
      </c>
      <c r="F38" s="96">
        <v>2</v>
      </c>
      <c r="G38" s="97">
        <v>0.01</v>
      </c>
      <c r="H38" s="97">
        <f t="shared" si="7"/>
        <v>125.66370614359175</v>
      </c>
      <c r="I38" s="97">
        <f t="shared" si="8"/>
        <v>1256.6370614359178</v>
      </c>
      <c r="J38" s="97">
        <v>0.1</v>
      </c>
      <c r="K38" s="96"/>
      <c r="L38" s="96"/>
      <c r="M38" s="96"/>
    </row>
    <row r="39" spans="1:13" ht="9.75" customHeight="1">
      <c r="A39" s="96">
        <v>2000</v>
      </c>
      <c r="B39" s="97">
        <f t="shared" si="5"/>
        <v>3.1415926535897871E-4</v>
      </c>
      <c r="C39" s="97">
        <v>10</v>
      </c>
      <c r="D39" s="97">
        <v>0.1</v>
      </c>
      <c r="E39" s="97">
        <f t="shared" si="6"/>
        <v>3183.0988618379129</v>
      </c>
      <c r="F39" s="96">
        <v>3</v>
      </c>
      <c r="G39" s="97">
        <v>0.01</v>
      </c>
      <c r="H39" s="97">
        <f t="shared" si="7"/>
        <v>188.49555921538766</v>
      </c>
      <c r="I39" s="97">
        <f t="shared" si="8"/>
        <v>1884.955592153877</v>
      </c>
      <c r="J39" s="97">
        <v>0.1</v>
      </c>
      <c r="K39" s="96"/>
      <c r="L39" s="96"/>
      <c r="M39" s="96"/>
    </row>
    <row r="40" spans="1:13" ht="9.75" customHeight="1">
      <c r="A40" s="96">
        <v>3000</v>
      </c>
      <c r="B40" s="97">
        <f t="shared" si="5"/>
        <v>2.0943951023931926E-4</v>
      </c>
      <c r="C40" s="97">
        <v>10</v>
      </c>
      <c r="D40" s="97">
        <v>0.1</v>
      </c>
      <c r="E40" s="97">
        <f t="shared" si="6"/>
        <v>4774.6482927568668</v>
      </c>
      <c r="F40" s="96">
        <v>4</v>
      </c>
      <c r="G40" s="97">
        <v>0.01</v>
      </c>
      <c r="H40" s="97">
        <f t="shared" si="7"/>
        <v>251.32741228718353</v>
      </c>
      <c r="I40" s="97">
        <f t="shared" si="8"/>
        <v>2513.274122871836</v>
      </c>
      <c r="J40" s="97">
        <v>0.1</v>
      </c>
      <c r="K40" s="96"/>
      <c r="L40" s="96"/>
      <c r="M40" s="96"/>
    </row>
    <row r="41" spans="1:13" ht="9.75" customHeight="1">
      <c r="A41" s="96">
        <v>4000</v>
      </c>
      <c r="B41" s="97">
        <f t="shared" si="5"/>
        <v>1.5707963267948933E-4</v>
      </c>
      <c r="C41" s="97">
        <v>10</v>
      </c>
      <c r="D41" s="97">
        <v>0.1</v>
      </c>
      <c r="E41" s="97">
        <f t="shared" si="6"/>
        <v>6366.1977236758266</v>
      </c>
      <c r="F41" s="96">
        <v>5</v>
      </c>
      <c r="G41" s="97">
        <v>0.01</v>
      </c>
      <c r="H41" s="97">
        <f t="shared" si="7"/>
        <v>314.15926535897938</v>
      </c>
      <c r="I41" s="97">
        <f t="shared" si="8"/>
        <v>3141.5926535898002</v>
      </c>
      <c r="J41" s="97">
        <v>0.1</v>
      </c>
      <c r="K41" s="96"/>
      <c r="L41" s="96"/>
      <c r="M41" s="96"/>
    </row>
    <row r="42" spans="1:13" ht="9.75" customHeight="1">
      <c r="A42" s="96">
        <v>5000</v>
      </c>
      <c r="B42" s="97">
        <f t="shared" si="5"/>
        <v>1.256637061435916E-4</v>
      </c>
      <c r="C42" s="97">
        <v>10</v>
      </c>
      <c r="D42" s="97">
        <v>0.1</v>
      </c>
      <c r="E42" s="97">
        <f t="shared" si="6"/>
        <v>7957.7471545947756</v>
      </c>
      <c r="F42" s="96">
        <v>6</v>
      </c>
      <c r="G42" s="97">
        <v>0.01</v>
      </c>
      <c r="H42" s="97">
        <f t="shared" si="7"/>
        <v>376.99111843077537</v>
      </c>
      <c r="I42" s="97">
        <f t="shared" si="8"/>
        <v>3769.9111843077544</v>
      </c>
      <c r="J42" s="97">
        <v>0.1</v>
      </c>
      <c r="K42" s="96"/>
      <c r="L42" s="96"/>
      <c r="M42" s="96"/>
    </row>
    <row r="43" spans="1:13" ht="9.75" customHeight="1">
      <c r="A43" s="96">
        <v>6000</v>
      </c>
      <c r="B43" s="97">
        <f t="shared" si="5"/>
        <v>1.0471975511965963E-4</v>
      </c>
      <c r="C43" s="97">
        <v>10</v>
      </c>
      <c r="D43" s="97">
        <v>0.1</v>
      </c>
      <c r="E43" s="97">
        <f t="shared" si="6"/>
        <v>9549.2965855137336</v>
      </c>
      <c r="F43" s="96">
        <v>7</v>
      </c>
      <c r="G43" s="97">
        <v>0.01</v>
      </c>
      <c r="H43" s="97">
        <f t="shared" si="7"/>
        <v>439.82297150257114</v>
      </c>
      <c r="I43" s="97">
        <f t="shared" si="8"/>
        <v>4398.2297150257164</v>
      </c>
      <c r="J43" s="97">
        <v>0.1</v>
      </c>
      <c r="K43" s="96"/>
      <c r="L43" s="96"/>
      <c r="M43" s="96"/>
    </row>
    <row r="44" spans="1:13" ht="9.75" customHeight="1">
      <c r="A44" s="96">
        <v>7000</v>
      </c>
      <c r="B44" s="97">
        <f t="shared" si="5"/>
        <v>8.9759790102565492E-5</v>
      </c>
      <c r="C44" s="97">
        <v>10</v>
      </c>
      <c r="D44" s="97">
        <v>0.1</v>
      </c>
      <c r="E44" s="97">
        <f t="shared" si="6"/>
        <v>11140.846016432677</v>
      </c>
      <c r="F44" s="96">
        <v>8</v>
      </c>
      <c r="G44" s="97">
        <v>0.01</v>
      </c>
      <c r="H44" s="97">
        <f t="shared" si="7"/>
        <v>502.65482457436707</v>
      </c>
      <c r="I44" s="97">
        <f t="shared" si="8"/>
        <v>5026.5482457436765</v>
      </c>
      <c r="J44" s="97">
        <v>0.1</v>
      </c>
      <c r="K44" s="96"/>
      <c r="L44" s="96"/>
      <c r="M44" s="96"/>
    </row>
    <row r="45" spans="1:13" ht="9.75" customHeight="1">
      <c r="A45" s="96">
        <v>8000</v>
      </c>
      <c r="B45" s="97">
        <f t="shared" si="5"/>
        <v>7.85398163397448E-5</v>
      </c>
      <c r="C45" s="97">
        <v>10</v>
      </c>
      <c r="D45" s="97">
        <v>0.1</v>
      </c>
      <c r="E45" s="97">
        <f t="shared" si="6"/>
        <v>12732.395447351631</v>
      </c>
      <c r="F45" s="96">
        <v>9</v>
      </c>
      <c r="G45" s="97">
        <v>0.01</v>
      </c>
      <c r="H45" s="97">
        <f t="shared" si="7"/>
        <v>565.48667764616266</v>
      </c>
      <c r="I45" s="97">
        <f t="shared" si="8"/>
        <v>5654.8667764616284</v>
      </c>
      <c r="J45" s="97">
        <v>0.1</v>
      </c>
      <c r="K45" s="96"/>
      <c r="L45" s="96"/>
      <c r="M45" s="96"/>
    </row>
    <row r="46" spans="1:13" ht="9.75" customHeight="1">
      <c r="A46" s="96">
        <v>9000</v>
      </c>
      <c r="B46" s="97">
        <f t="shared" si="5"/>
        <v>6.9813170079773132E-5</v>
      </c>
      <c r="C46" s="97">
        <v>10</v>
      </c>
      <c r="D46" s="97">
        <v>0.1</v>
      </c>
      <c r="E46" s="97">
        <f t="shared" si="6"/>
        <v>14323.944878270591</v>
      </c>
      <c r="F46" s="95">
        <v>10</v>
      </c>
      <c r="G46" s="95">
        <v>0.01</v>
      </c>
      <c r="H46" s="95">
        <f t="shared" si="7"/>
        <v>628.31853071795888</v>
      </c>
      <c r="I46" s="95">
        <f t="shared" si="8"/>
        <v>6283.1853071795895</v>
      </c>
      <c r="J46" s="95">
        <v>0.1</v>
      </c>
      <c r="K46" s="96"/>
      <c r="L46" s="96"/>
      <c r="M46" s="96"/>
    </row>
    <row r="47" spans="1:13" ht="9.75" customHeight="1">
      <c r="A47" s="95">
        <v>10000</v>
      </c>
      <c r="B47" s="97">
        <f t="shared" si="5"/>
        <v>6.2831853071795897E-5</v>
      </c>
      <c r="C47" s="97">
        <v>10</v>
      </c>
      <c r="D47" s="97">
        <v>0.1</v>
      </c>
      <c r="E47" s="97">
        <f t="shared" si="6"/>
        <v>15915.494309189526</v>
      </c>
      <c r="F47" s="96">
        <v>20</v>
      </c>
      <c r="G47" s="97">
        <v>0.01</v>
      </c>
      <c r="H47" s="97">
        <f t="shared" si="7"/>
        <v>1256.6370614359178</v>
      </c>
      <c r="I47" s="97">
        <f t="shared" si="8"/>
        <v>12566.370614359203</v>
      </c>
      <c r="J47" s="97">
        <v>0.1</v>
      </c>
      <c r="K47" s="96"/>
      <c r="L47" s="96"/>
      <c r="M47" s="96"/>
    </row>
    <row r="48" spans="1:13" ht="9.75" customHeight="1">
      <c r="A48" s="96">
        <v>20000</v>
      </c>
      <c r="B48" s="97">
        <f t="shared" si="5"/>
        <v>3.1415926535897949E-5</v>
      </c>
      <c r="C48" s="97">
        <v>10</v>
      </c>
      <c r="D48" s="97">
        <v>0.1</v>
      </c>
      <c r="E48" s="97">
        <f t="shared" si="6"/>
        <v>31830.988618379051</v>
      </c>
      <c r="F48" s="96">
        <v>30</v>
      </c>
      <c r="G48" s="97">
        <v>0.01</v>
      </c>
      <c r="H48" s="97">
        <f t="shared" si="7"/>
        <v>1884.955592153877</v>
      </c>
      <c r="I48" s="97">
        <f t="shared" si="8"/>
        <v>18849.555921538791</v>
      </c>
      <c r="J48" s="97">
        <v>0.1</v>
      </c>
      <c r="K48" s="96"/>
      <c r="L48" s="96"/>
      <c r="M48" s="96"/>
    </row>
    <row r="49" spans="1:13" ht="9.75" customHeight="1">
      <c r="A49" s="96">
        <v>30000</v>
      </c>
      <c r="B49" s="97">
        <f t="shared" si="5"/>
        <v>2.0943951023931941E-5</v>
      </c>
      <c r="C49" s="97">
        <v>10</v>
      </c>
      <c r="D49" s="97">
        <v>0.1</v>
      </c>
      <c r="E49" s="97">
        <f t="shared" si="6"/>
        <v>47746.482927568635</v>
      </c>
      <c r="F49" s="96">
        <v>40</v>
      </c>
      <c r="G49" s="97">
        <v>0.01</v>
      </c>
      <c r="H49" s="97">
        <f t="shared" si="7"/>
        <v>2513.274122871836</v>
      </c>
      <c r="I49" s="97">
        <f t="shared" si="8"/>
        <v>25132.741228718409</v>
      </c>
      <c r="J49" s="97">
        <v>0.1</v>
      </c>
      <c r="K49" s="96"/>
      <c r="L49" s="96"/>
      <c r="M49" s="96"/>
    </row>
    <row r="50" spans="1:13" ht="9.75" customHeight="1">
      <c r="A50" s="96">
        <v>40000</v>
      </c>
      <c r="B50" s="97">
        <f t="shared" si="5"/>
        <v>1.5707963267948944E-5</v>
      </c>
      <c r="C50" s="97">
        <v>10</v>
      </c>
      <c r="D50" s="97">
        <v>0.1</v>
      </c>
      <c r="E50" s="97">
        <f t="shared" si="6"/>
        <v>63661.977236758226</v>
      </c>
      <c r="F50" s="96">
        <v>50</v>
      </c>
      <c r="G50" s="97">
        <v>0.01</v>
      </c>
      <c r="H50" s="97">
        <f t="shared" si="7"/>
        <v>3141.5926535897947</v>
      </c>
      <c r="I50" s="97">
        <f t="shared" si="8"/>
        <v>31415.926535897979</v>
      </c>
      <c r="J50" s="97">
        <v>0.1</v>
      </c>
      <c r="K50" s="96"/>
      <c r="L50" s="96"/>
      <c r="M50" s="96"/>
    </row>
    <row r="51" spans="1:13" ht="9.75" customHeight="1">
      <c r="A51" s="96">
        <v>50000</v>
      </c>
      <c r="B51" s="97">
        <f t="shared" si="5"/>
        <v>1.2566370614359168E-5</v>
      </c>
      <c r="C51" s="97">
        <v>10</v>
      </c>
      <c r="D51" s="97">
        <v>0.1</v>
      </c>
      <c r="E51" s="97">
        <f t="shared" si="6"/>
        <v>79577.471545947701</v>
      </c>
      <c r="F51" s="96">
        <v>60</v>
      </c>
      <c r="G51" s="97">
        <v>0.01</v>
      </c>
      <c r="H51" s="97">
        <f t="shared" si="7"/>
        <v>3769.9111843077544</v>
      </c>
      <c r="I51" s="97">
        <f t="shared" si="8"/>
        <v>37699.11184307759</v>
      </c>
      <c r="J51" s="97">
        <v>0.1</v>
      </c>
      <c r="K51" s="96"/>
      <c r="L51" s="96"/>
      <c r="M51" s="96"/>
    </row>
    <row r="52" spans="1:13" ht="9.75" customHeight="1">
      <c r="A52" s="96">
        <v>60000</v>
      </c>
      <c r="B52" s="97">
        <f t="shared" si="5"/>
        <v>1.047197551196597E-5</v>
      </c>
      <c r="C52" s="97">
        <v>10</v>
      </c>
      <c r="D52" s="97">
        <v>0.1</v>
      </c>
      <c r="E52" s="97">
        <f t="shared" si="6"/>
        <v>95492.96585513727</v>
      </c>
      <c r="F52" s="96">
        <v>70</v>
      </c>
      <c r="G52" s="97">
        <v>0.01</v>
      </c>
      <c r="H52" s="97">
        <f t="shared" si="7"/>
        <v>4398.2297150257164</v>
      </c>
      <c r="I52" s="97">
        <f t="shared" si="8"/>
        <v>43982.297150257211</v>
      </c>
      <c r="J52" s="97">
        <v>0.1</v>
      </c>
      <c r="K52" s="96"/>
      <c r="L52" s="96"/>
      <c r="M52" s="96"/>
    </row>
    <row r="53" spans="1:13" ht="9.75" customHeight="1">
      <c r="A53" s="96">
        <v>70000</v>
      </c>
      <c r="B53" s="97">
        <f t="shared" si="5"/>
        <v>8.97597901025654E-6</v>
      </c>
      <c r="C53" s="97">
        <v>10</v>
      </c>
      <c r="D53" s="97">
        <v>0.1</v>
      </c>
      <c r="E53" s="97">
        <f t="shared" si="6"/>
        <v>111408.46016432688</v>
      </c>
      <c r="F53" s="96">
        <v>80</v>
      </c>
      <c r="G53" s="97">
        <v>0.01</v>
      </c>
      <c r="H53" s="97">
        <f t="shared" si="7"/>
        <v>5026.5482457436765</v>
      </c>
      <c r="I53" s="97">
        <f t="shared" si="8"/>
        <v>50265.482457436818</v>
      </c>
      <c r="J53" s="97">
        <v>0.1</v>
      </c>
      <c r="K53" s="96"/>
      <c r="L53" s="96"/>
      <c r="M53" s="96"/>
    </row>
    <row r="54" spans="1:13" ht="9.75" customHeight="1">
      <c r="A54" s="96">
        <v>80000</v>
      </c>
      <c r="B54" s="97">
        <f t="shared" si="5"/>
        <v>7.8539816339744719E-6</v>
      </c>
      <c r="C54" s="97">
        <v>10</v>
      </c>
      <c r="D54" s="97">
        <v>0.1</v>
      </c>
      <c r="E54" s="97">
        <f t="shared" si="6"/>
        <v>127323.95447351645</v>
      </c>
      <c r="F54" s="96">
        <v>90</v>
      </c>
      <c r="G54" s="97">
        <v>0.01</v>
      </c>
      <c r="H54" s="97">
        <f t="shared" si="7"/>
        <v>5654.8667764616384</v>
      </c>
      <c r="I54" s="97">
        <f t="shared" si="8"/>
        <v>56548.667764616446</v>
      </c>
      <c r="J54" s="97">
        <v>0.1</v>
      </c>
      <c r="K54" s="96"/>
      <c r="L54" s="96"/>
      <c r="M54" s="96"/>
    </row>
    <row r="55" spans="1:13" ht="9.75" customHeight="1">
      <c r="A55" s="96">
        <v>90000</v>
      </c>
      <c r="B55" s="97">
        <f t="shared" si="5"/>
        <v>6.9813170079773049E-6</v>
      </c>
      <c r="C55" s="97">
        <v>10</v>
      </c>
      <c r="D55" s="97">
        <v>0.1</v>
      </c>
      <c r="E55" s="97">
        <f t="shared" si="6"/>
        <v>143239.44878270608</v>
      </c>
      <c r="F55" s="95">
        <v>100</v>
      </c>
      <c r="G55" s="95">
        <v>0.01</v>
      </c>
      <c r="H55" s="95">
        <f t="shared" si="7"/>
        <v>6283.1853071795895</v>
      </c>
      <c r="I55" s="95">
        <f t="shared" si="8"/>
        <v>62831.853071795966</v>
      </c>
      <c r="J55" s="95">
        <v>0.1</v>
      </c>
      <c r="K55" s="96"/>
      <c r="L55" s="96"/>
      <c r="M55" s="96"/>
    </row>
    <row r="56" spans="1:13" ht="9.75" customHeight="1">
      <c r="A56" s="95">
        <v>100000</v>
      </c>
      <c r="B56" s="97">
        <f t="shared" si="5"/>
        <v>6.2831853071795824E-6</v>
      </c>
      <c r="C56" s="97">
        <v>10</v>
      </c>
      <c r="D56" s="97">
        <v>0.1</v>
      </c>
      <c r="E56" s="97">
        <f t="shared" si="6"/>
        <v>159154.94309189543</v>
      </c>
      <c r="F56" s="96">
        <v>200</v>
      </c>
      <c r="G56" s="97">
        <v>0.01</v>
      </c>
      <c r="H56" s="97">
        <f t="shared" si="7"/>
        <v>12566.370614359203</v>
      </c>
      <c r="I56" s="97">
        <f t="shared" si="8"/>
        <v>125663.70614359195</v>
      </c>
      <c r="J56" s="97">
        <v>0.1</v>
      </c>
      <c r="K56" s="96"/>
      <c r="L56" s="96"/>
      <c r="M56" s="96"/>
    </row>
    <row r="57" spans="1:13" ht="9.75" customHeight="1">
      <c r="A57" s="96">
        <v>200000</v>
      </c>
      <c r="B57" s="97">
        <f t="shared" si="5"/>
        <v>3.1415926535897912E-6</v>
      </c>
      <c r="C57" s="97">
        <v>10</v>
      </c>
      <c r="D57" s="97">
        <v>0.1</v>
      </c>
      <c r="E57" s="97">
        <f t="shared" si="6"/>
        <v>318309.88618379086</v>
      </c>
      <c r="F57" s="96">
        <v>300</v>
      </c>
      <c r="G57" s="97">
        <v>0.01</v>
      </c>
      <c r="H57" s="97">
        <f t="shared" si="7"/>
        <v>18849.555921538791</v>
      </c>
      <c r="I57" s="97">
        <f t="shared" si="8"/>
        <v>188495.55921538812</v>
      </c>
      <c r="J57" s="97">
        <v>0.1</v>
      </c>
      <c r="K57" s="96"/>
      <c r="L57" s="96"/>
      <c r="M57" s="96"/>
    </row>
    <row r="58" spans="1:13" ht="9.75" customHeight="1">
      <c r="A58" s="96">
        <v>300000</v>
      </c>
      <c r="B58" s="97">
        <f t="shared" si="5"/>
        <v>2.0943951023931957E-6</v>
      </c>
      <c r="C58" s="97">
        <v>10</v>
      </c>
      <c r="D58" s="97">
        <v>0.1</v>
      </c>
      <c r="E58" s="97">
        <f t="shared" si="6"/>
        <v>477464.829275686</v>
      </c>
      <c r="F58" s="96">
        <v>400</v>
      </c>
      <c r="G58" s="97">
        <v>0.01</v>
      </c>
      <c r="H58" s="97">
        <f t="shared" si="7"/>
        <v>25132.741228718409</v>
      </c>
      <c r="I58" s="97">
        <f t="shared" si="8"/>
        <v>251327.41228718392</v>
      </c>
      <c r="J58" s="97">
        <v>0.1</v>
      </c>
      <c r="K58" s="96"/>
      <c r="L58" s="96"/>
      <c r="M58" s="96"/>
    </row>
    <row r="59" spans="1:13" ht="9.75" customHeight="1">
      <c r="A59" s="96">
        <v>400000</v>
      </c>
      <c r="B59" s="97">
        <f t="shared" si="5"/>
        <v>1.5707963267948954E-6</v>
      </c>
      <c r="C59" s="97">
        <v>10</v>
      </c>
      <c r="D59" s="97">
        <v>0.1</v>
      </c>
      <c r="E59" s="97">
        <f t="shared" si="6"/>
        <v>636619.77236758184</v>
      </c>
      <c r="F59" s="96">
        <v>500</v>
      </c>
      <c r="G59" s="97">
        <v>0.01</v>
      </c>
      <c r="H59" s="97">
        <f t="shared" si="7"/>
        <v>31415.926535897979</v>
      </c>
      <c r="I59" s="97">
        <f t="shared" si="8"/>
        <v>314159.26535898016</v>
      </c>
      <c r="J59" s="97">
        <v>0.1</v>
      </c>
      <c r="K59" s="96"/>
      <c r="L59" s="96"/>
      <c r="M59" s="96"/>
    </row>
    <row r="60" spans="1:13" ht="9.75" customHeight="1">
      <c r="A60" s="96">
        <v>500000</v>
      </c>
      <c r="B60" s="97">
        <f t="shared" si="5"/>
        <v>1.2566370614359175E-6</v>
      </c>
      <c r="C60" s="97">
        <v>10</v>
      </c>
      <c r="D60" s="97">
        <v>0.1</v>
      </c>
      <c r="E60" s="97">
        <f t="shared" si="6"/>
        <v>795774.71545947657</v>
      </c>
      <c r="F60" s="96">
        <v>600</v>
      </c>
      <c r="G60" s="97">
        <v>0.01</v>
      </c>
      <c r="H60" s="97">
        <f t="shared" si="7"/>
        <v>37699.111843077517</v>
      </c>
      <c r="I60" s="97">
        <f t="shared" si="8"/>
        <v>376991.11843077559</v>
      </c>
      <c r="J60" s="97">
        <v>0.1</v>
      </c>
      <c r="K60" s="96"/>
      <c r="L60" s="96"/>
      <c r="M60" s="96"/>
    </row>
    <row r="61" spans="1:13" ht="9.75" customHeight="1">
      <c r="A61" s="96"/>
      <c r="B61" s="96"/>
      <c r="C61" s="96"/>
      <c r="D61" s="96"/>
      <c r="E61" s="96"/>
      <c r="F61" s="96">
        <v>700</v>
      </c>
      <c r="G61" s="97">
        <v>0.01</v>
      </c>
      <c r="H61" s="97">
        <f t="shared" si="7"/>
        <v>43982.297150257211</v>
      </c>
      <c r="I61" s="97">
        <f t="shared" si="8"/>
        <v>439822.97150257183</v>
      </c>
      <c r="J61" s="97">
        <v>0.1</v>
      </c>
      <c r="K61" s="96"/>
      <c r="L61" s="96"/>
      <c r="M61" s="96"/>
    </row>
    <row r="62" spans="1:13" ht="9.75" customHeight="1">
      <c r="A62" s="96"/>
      <c r="B62" s="96"/>
      <c r="C62" s="96"/>
      <c r="D62" s="96"/>
      <c r="E62" s="96"/>
      <c r="F62" s="96">
        <v>800</v>
      </c>
      <c r="G62" s="97">
        <v>0.01</v>
      </c>
      <c r="H62" s="97">
        <f t="shared" si="7"/>
        <v>50265.482457436818</v>
      </c>
      <c r="I62" s="97">
        <f t="shared" si="8"/>
        <v>502654.82457436784</v>
      </c>
      <c r="J62" s="97">
        <v>0.1</v>
      </c>
      <c r="K62" s="96"/>
      <c r="L62" s="96"/>
      <c r="M62" s="96"/>
    </row>
    <row r="63" spans="1:13" ht="9.75" customHeight="1">
      <c r="A63" s="96"/>
      <c r="B63" s="96"/>
      <c r="C63" s="96"/>
      <c r="D63" s="96"/>
      <c r="E63" s="96"/>
      <c r="F63" s="96">
        <v>900</v>
      </c>
      <c r="G63" s="97">
        <v>0.01</v>
      </c>
      <c r="H63" s="97">
        <f t="shared" si="7"/>
        <v>56548.667764616344</v>
      </c>
      <c r="I63" s="97">
        <f t="shared" si="8"/>
        <v>565486.67764616304</v>
      </c>
      <c r="J63" s="97">
        <v>0.1</v>
      </c>
      <c r="K63" s="96"/>
      <c r="L63" s="96"/>
      <c r="M63" s="96"/>
    </row>
    <row r="64" spans="1:13" ht="9.75" customHeight="1">
      <c r="A64" s="96"/>
      <c r="B64" s="96"/>
      <c r="C64" s="96"/>
      <c r="D64" s="96"/>
      <c r="E64" s="96"/>
      <c r="F64" s="96">
        <v>1000</v>
      </c>
      <c r="G64" s="97">
        <v>0.01</v>
      </c>
      <c r="H64" s="97">
        <f t="shared" si="7"/>
        <v>62831.853071795966</v>
      </c>
      <c r="I64" s="97">
        <f t="shared" si="8"/>
        <v>628318.53071796033</v>
      </c>
      <c r="J64" s="97">
        <v>0.1</v>
      </c>
      <c r="K64" s="96"/>
      <c r="L64" s="96"/>
      <c r="M64" s="96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AA057-1CB8-46D0-A453-80097FA8F597}">
  <sheetPr codeName="Sheet21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style="140" customWidth="1"/>
    <col min="133" max="16384" width="8.7109375" style="140"/>
  </cols>
  <sheetData>
    <row r="1" spans="2:105" ht="9.75" customHeight="1">
      <c r="B1" s="139" t="str">
        <f>IF(ISBLANK(SeismicWaves!H3),"･",
IF(OR(DA$1="L1",DA$1="L1.5"),IF(OR(SeismicWaves!G3="L1",SeismicWaves!G3="L1&amp;L2"),"Wave1","対象外"),
IF(OR(DA$1="L2",DA$1="L3"),IF(OR(SeismicWaves!G3="L2",SeismicWaves!G3="L1&amp;L2"),"Wave1","対象外"),
IF(DA$1=SeismicWaves!G3,"Wave1","対象外"))))</f>
        <v>･</v>
      </c>
      <c r="DA1" s="162" t="s">
        <v>262</v>
      </c>
    </row>
    <row r="2" spans="2:105" ht="9.75" customHeight="1">
      <c r="B2" s="139" t="str">
        <f>IF(ISBLANK(SeismicWaves!H4),"･",
IF(OR(DA$1="L1",DA$1="L1.5"),IF(OR(SeismicWaves!G4="L1",SeismicWaves!G4="L1&amp;L2"),"Wave2","対象外"),
IF(OR(DA$1="L2",DA$1="L3"),IF(OR(SeismicWaves!G4="L2",SeismicWaves!G4="L1&amp;L2"),"Wave2","対象外"),
IF(DA$1=SeismicWaves!G4,"Wave2","対象外"))))</f>
        <v>･</v>
      </c>
      <c r="DA2" s="163"/>
    </row>
    <row r="3" spans="2:105" ht="9.75" customHeight="1">
      <c r="B3" s="139" t="str">
        <f>IF(ISBLANK(SeismicWaves!H5),"･",
IF(OR(DA$1="L1",DA$1="L1.5"),IF(OR(SeismicWaves!G5="L1",SeismicWaves!G5="L1&amp;L2"),"Wave3","対象外"),
IF(OR(DA$1="L2",DA$1="L3"),IF(OR(SeismicWaves!G5="L2",SeismicWaves!G5="L1&amp;L2"),"Wave3","対象外"),
IF(DA$1=SeismicWaves!G5,"Wave3","対象外"))))</f>
        <v>･</v>
      </c>
      <c r="DA3" s="162" t="s">
        <v>263</v>
      </c>
    </row>
    <row r="4" spans="2:105" ht="9.75" customHeight="1">
      <c r="B4" s="139" t="str">
        <f>IF(ISBLANK(SeismicWaves!H6),"･",
IF(OR(DA$1="L1",DA$1="L1.5"),IF(OR(SeismicWaves!G6="L1",SeismicWaves!G6="L1&amp;L2"),"Wave4","対象外"),
IF(OR(DA$1="L2",DA$1="L3"),IF(OR(SeismicWaves!G6="L2",SeismicWaves!G6="L1&amp;L2"),"Wave4","対象外"),
IF(DA$1=SeismicWaves!G6,"Wave4","対象外"))))</f>
        <v>･</v>
      </c>
      <c r="DA4" s="163"/>
    </row>
    <row r="5" spans="2:105" ht="9.75" customHeight="1">
      <c r="B5" s="139" t="str">
        <f>IF(ISBLANK(SeismicWaves!H7),"･",
IF(OR(DA$1="L1",DA$1="L1.5"),IF(OR(SeismicWaves!G7="L1",SeismicWaves!G7="L1&amp;L2"),"Wave5","対象外"),
IF(OR(DA$1="L2",DA$1="L3"),IF(OR(SeismicWaves!G7="L2",SeismicWaves!G7="L1&amp;L2"),"Wave5","対象外"),
IF(DA$1=SeismicWaves!G7,"Wave5","対象外"))))</f>
        <v>･</v>
      </c>
      <c r="DA5" s="141"/>
    </row>
    <row r="6" spans="2:105" ht="9.75" customHeight="1">
      <c r="B6" s="139" t="str">
        <f>IF(ISBLANK(SeismicWaves!H8),"･",
IF(OR(DA$1="L1",DA$1="L1.5"),IF(OR(SeismicWaves!G8="L1",SeismicWaves!G8="L1&amp;L2"),"Wave6","対象外"),
IF(OR(DA$1="L2",DA$1="L3"),IF(OR(SeismicWaves!G8="L2",SeismicWaves!G8="L1&amp;L2"),"Wave6","対象外"),
IF(DA$1=SeismicWaves!G8,"Wave6","対象外"))))</f>
        <v>･</v>
      </c>
      <c r="DA6" s="141"/>
    </row>
    <row r="7" spans="2:105" ht="9.75" customHeight="1">
      <c r="B7" s="139" t="str">
        <f>IF(ISBLANK(SeismicWaves!H9),"･",
IF(OR(DA$1="L1",DA$1="L1.5"),IF(OR(SeismicWaves!G9="L1",SeismicWaves!G9="L1&amp;L2"),"Wave7","対象外"),
IF(OR(DA$1="L2",DA$1="L3"),IF(OR(SeismicWaves!G9="L2",SeismicWaves!G9="L1&amp;L2"),"Wave7","対象外"),
IF(DA$1=SeismicWaves!G9,"Wave7","対象外"))))</f>
        <v>･</v>
      </c>
      <c r="DA7" s="141"/>
    </row>
    <row r="8" spans="2:105" ht="9.75" customHeight="1">
      <c r="B8" s="139" t="str">
        <f>IF(ISBLANK(SeismicWaves!H10),"･",
IF(OR(DA$1="L1",DA$1="L1.5"),IF(OR(SeismicWaves!G10="L1",SeismicWaves!G10="L1&amp;L2"),"Wave8","対象外"),
IF(OR(DA$1="L2",DA$1="L3"),IF(OR(SeismicWaves!G10="L2",SeismicWaves!G10="L1&amp;L2"),"Wave8","対象外"),
IF(DA$1=SeismicWaves!G10,"Wave8","対象外"))))</f>
        <v>･</v>
      </c>
      <c r="DA8" s="141"/>
    </row>
    <row r="9" spans="2:105" ht="9.75" customHeight="1">
      <c r="B9" s="139" t="str">
        <f>IF(ISBLANK(SeismicWaves!H11),"･",
IF(OR(DA$1="L1",DA$1="L1.5"),IF(OR(SeismicWaves!G11="L1",SeismicWaves!G11="L1&amp;L2"),"Wave9","対象外"),
IF(OR(DA$1="L2",DA$1="L3"),IF(OR(SeismicWaves!G11="L2",SeismicWaves!G11="L1&amp;L2"),"Wave9","対象外"),
IF(DA$1=SeismicWaves!G11,"Wave9","対象外"))))</f>
        <v>･</v>
      </c>
      <c r="DA9" s="141"/>
    </row>
    <row r="10" spans="2:105" ht="9.75" customHeight="1">
      <c r="B10" s="139" t="str">
        <f>IF(ISBLANK(SeismicWaves!H12),"･",
IF(OR(DA$1="L1",DA$1="L1.5"),IF(OR(SeismicWaves!G12="L1",SeismicWaves!G12="L1&amp;L2"),"Wave10","対象外"),
IF(OR(DA$1="L2",DA$1="L3"),IF(OR(SeismicWaves!G12="L2",SeismicWaves!G12="L1&amp;L2"),"Wave10","対象外"),
IF(DA$1=SeismicWaves!G12,"Wave10","対象外"))))</f>
        <v>･</v>
      </c>
      <c r="DA10" s="141"/>
    </row>
    <row r="11" spans="2:105" ht="9.75" customHeight="1">
      <c r="B11" s="139" t="str">
        <f>IF(ISBLANK(SeismicWaves!H13),"･",
IF(OR(DA$1="L1",DA$1="L1.5"),IF(OR(SeismicWaves!G13="L1",SeismicWaves!G13="L1&amp;L2"),"Wave11","対象外"),
IF(OR(DA$1="L2",DA$1="L3"),IF(OR(SeismicWaves!G13="L2",SeismicWaves!G13="L1&amp;L2"),"Wave11","対象外"),
IF(DA$1=SeismicWaves!G13,"Wave11","対象外"))))</f>
        <v>･</v>
      </c>
      <c r="DA11" s="141"/>
    </row>
    <row r="12" spans="2:105" ht="9.75" customHeight="1">
      <c r="B12" s="139" t="str">
        <f>IF(ISBLANK(SeismicWaves!H14),"･",
IF(OR(DA$1="L1",DA$1="L1.5"),IF(OR(SeismicWaves!G14="L1",SeismicWaves!G14="L1&amp;L2"),"Wave12","対象外"),
IF(OR(DA$1="L2",DA$1="L3"),IF(OR(SeismicWaves!G14="L2",SeismicWaves!G14="L1&amp;L2"),"Wave12","対象外"),
IF(DA$1=SeismicWaves!G14,"Wave12","対象外"))))</f>
        <v>･</v>
      </c>
      <c r="DA12" s="141"/>
    </row>
    <row r="13" spans="2:105" ht="9.75" customHeight="1">
      <c r="B13" s="139" t="str">
        <f>IF(ISBLANK(SeismicWaves!H15),"･",
IF(OR(DA$1="L1",DA$1="L1.5"),IF(OR(SeismicWaves!G15="L1",SeismicWaves!G15="L1&amp;L2"),"Wave13","対象外"),
IF(OR(DA$1="L2",DA$1="L3"),IF(OR(SeismicWaves!G15="L2",SeismicWaves!G15="L1&amp;L2"),"Wave13","対象外"),
IF(DA$1=SeismicWaves!G15,"Wave13","対象外"))))</f>
        <v>･</v>
      </c>
      <c r="DA13" s="141"/>
    </row>
    <row r="14" spans="2:105" ht="9.75" customHeight="1">
      <c r="B14" s="139" t="str">
        <f>IF(ISBLANK(SeismicWaves!H16),"･",
IF(OR(DA$1="L1",DA$1="L1.5"),IF(OR(SeismicWaves!G16="L1",SeismicWaves!G16="L1&amp;L2"),"Wave14","対象外"),
IF(OR(DA$1="L2",DA$1="L3"),IF(OR(SeismicWaves!G16="L2",SeismicWaves!G16="L1&amp;L2"),"Wave14","対象外"),
IF(DA$1=SeismicWaves!G16,"Wave14","対象外"))))</f>
        <v>･</v>
      </c>
      <c r="DA14" s="141"/>
    </row>
    <row r="15" spans="2:105" ht="9.75" customHeight="1">
      <c r="B15" s="139" t="str">
        <f>IF(ISBLANK(SeismicWaves!H17),"･",
IF(OR(DA$1="L1",DA$1="L1.5"),IF(OR(SeismicWaves!G17="L1",SeismicWaves!G17="L1&amp;L2"),"Wave15","対象外"),
IF(OR(DA$1="L2",DA$1="L3"),IF(OR(SeismicWaves!G17="L2",SeismicWaves!G17="L1&amp;L2"),"Wave15","対象外"),
IF(DA$1=SeismicWaves!G17,"Wave15","対象外"))))</f>
        <v>･</v>
      </c>
      <c r="DA15" s="141"/>
    </row>
    <row r="16" spans="2:105" ht="9.75" customHeight="1">
      <c r="B16" s="139" t="str">
        <f>IF(ISBLANK(SeismicWaves!H18),"･",
IF(OR(DA$1="L1",DA$1="L1.5"),IF(OR(SeismicWaves!G18="L1",SeismicWaves!G18="L1&amp;L2"),"Wave16","対象外"),
IF(OR(DA$1="L2",DA$1="L3"),IF(OR(SeismicWaves!G18="L2",SeismicWaves!G18="L1&amp;L2"),"Wave16","対象外"),
IF(DA$1=SeismicWaves!G18,"Wave16","対象外"))))</f>
        <v>･</v>
      </c>
      <c r="DA16" s="141"/>
    </row>
    <row r="17" spans="1:105" ht="9.75" customHeight="1">
      <c r="B17" s="139" t="str">
        <f>IF(ISBLANK(SeismicWaves!H19),"･",
IF(OR(DA$1="L1",DA$1="L1.5"),IF(OR(SeismicWaves!G19="L1",SeismicWaves!G19="L1&amp;L2"),"Wave17","対象外"),
IF(OR(DA$1="L2",DA$1="L3"),IF(OR(SeismicWaves!G19="L2",SeismicWaves!G19="L1&amp;L2"),"Wave17","対象外"),
IF(DA$1=SeismicWaves!G19,"Wave17","対象外"))))</f>
        <v>･</v>
      </c>
      <c r="DA17" s="141"/>
    </row>
    <row r="18" spans="1:105" ht="9.75" customHeight="1">
      <c r="B18" s="139" t="str">
        <f>IF(ISBLANK(SeismicWaves!H20),"･",
IF(OR(DA$1="L1",DA$1="L1.5"),IF(OR(SeismicWaves!G20="L1",SeismicWaves!G20="L1&amp;L2"),"Wave18","対象外"),
IF(OR(DA$1="L2",DA$1="L3"),IF(OR(SeismicWaves!G20="L2",SeismicWaves!G20="L1&amp;L2"),"Wave18","対象外"),
IF(DA$1=SeismicWaves!G20,"Wave18","対象外"))))</f>
        <v>･</v>
      </c>
      <c r="DA18" s="141"/>
    </row>
    <row r="19" spans="1:105" ht="9.75" customHeight="1">
      <c r="B19" s="139" t="str">
        <f>IF(ISBLANK(SeismicWaves!H21),"･",
IF(OR(DA$1="L1",DA$1="L1.5"),IF(OR(SeismicWaves!G21="L1",SeismicWaves!G21="L1&amp;L2"),"Wave19","対象外"),
IF(OR(DA$1="L2",DA$1="L3"),IF(OR(SeismicWaves!G21="L2",SeismicWaves!G21="L1&amp;L2"),"Wave19","対象外"),
IF(DA$1=SeismicWaves!G21,"Wave19","対象外"))))</f>
        <v>･</v>
      </c>
      <c r="DA19" s="141"/>
    </row>
    <row r="20" spans="1:105" ht="9.75" customHeight="1">
      <c r="B20" s="139" t="str">
        <f>IF(ISBLANK(SeismicWaves!H22),"･",
IF(OR(DA$1="L1",DA$1="L1.5"),IF(OR(SeismicWaves!G22="L1",SeismicWaves!G22="L1&amp;L2"),"Wave20","対象外"),
IF(OR(DA$1="L2",DA$1="L3"),IF(OR(SeismicWaves!G22="L2",SeismicWaves!G22="L1&amp;L2"),"Wave20","対象外"),
IF(DA$1=SeismicWaves!G22,"Wave20","対象外"))))</f>
        <v>･</v>
      </c>
      <c r="DA20" s="141"/>
    </row>
    <row r="21" spans="1:105" ht="9.75" customHeight="1">
      <c r="DA21" s="141"/>
    </row>
    <row r="22" spans="1:105" ht="9.75" customHeight="1">
      <c r="DA22" s="141"/>
    </row>
    <row r="23" spans="1:105" ht="9.75" customHeight="1">
      <c r="A23" s="161" t="s">
        <v>168</v>
      </c>
      <c r="B23" s="161" t="s">
        <v>159</v>
      </c>
      <c r="DA23" s="141"/>
    </row>
    <row r="24" spans="1:105" ht="9.75" customHeight="1">
      <c r="A24" s="161"/>
      <c r="B24" s="161"/>
      <c r="DA24" s="141"/>
    </row>
    <row r="26" spans="1:105" ht="9.75" customHeight="1">
      <c r="DA26" s="115"/>
    </row>
    <row r="41" spans="1:105" ht="9.75" customHeight="1">
      <c r="A41" s="161" t="str">
        <f>"(1) 加速度(cm/sec"&amp;_xlfn.UNICHAR(178)&amp;")"</f>
        <v>(1) 加速度(cm/sec²)</v>
      </c>
      <c r="B41" s="161" t="s">
        <v>230</v>
      </c>
      <c r="C41" s="161" t="s">
        <v>161</v>
      </c>
      <c r="D41" s="161" t="s">
        <v>162</v>
      </c>
    </row>
    <row r="42" spans="1:105" ht="9.75" customHeight="1">
      <c r="A42" s="161"/>
      <c r="B42" s="161"/>
      <c r="C42" s="161"/>
      <c r="D42" s="161"/>
    </row>
    <row r="47" spans="1:105" ht="9.75" customHeight="1">
      <c r="DA47" s="115"/>
    </row>
    <row r="48" spans="1:105" ht="9.75" customHeight="1">
      <c r="DA48" s="115"/>
    </row>
    <row r="49" spans="1:105" ht="9.75" customHeight="1">
      <c r="DA49" s="115"/>
    </row>
    <row r="59" spans="1:105" ht="9.75" customHeight="1">
      <c r="A59" s="161" t="s">
        <v>161</v>
      </c>
      <c r="B59" s="161" t="s">
        <v>163</v>
      </c>
    </row>
    <row r="60" spans="1:105" ht="9.75" customHeight="1">
      <c r="A60" s="161"/>
      <c r="B60" s="161"/>
    </row>
    <row r="77" spans="1:4" ht="9.75" customHeight="1">
      <c r="A77" s="161" t="s">
        <v>231</v>
      </c>
      <c r="B77" s="161" t="s">
        <v>160</v>
      </c>
      <c r="C77" s="161" t="s">
        <v>164</v>
      </c>
      <c r="D77" s="161" t="s">
        <v>165</v>
      </c>
    </row>
    <row r="78" spans="1:4" ht="9.75" customHeight="1">
      <c r="A78" s="161"/>
      <c r="B78" s="161"/>
      <c r="C78" s="161"/>
      <c r="D78" s="161"/>
    </row>
    <row r="79" spans="1:4" ht="9.75" customHeight="1">
      <c r="A79" s="161" t="str">
        <f>"X方向最大応答 ("&amp;IF(MID(DA1,1,1)="L","レベル"&amp;MID(DA1,2,LEN(DA1)-1),DA1)&amp;"地震時｜"&amp;DA3&amp;")"</f>
        <v>X方向最大応答 (レベル2地震時｜状態1)</v>
      </c>
      <c r="B79" s="161"/>
      <c r="C79" s="161" t="str">
        <f>A79</f>
        <v>X方向最大応答 (レベル2地震時｜状態1)</v>
      </c>
      <c r="D79" s="161"/>
    </row>
    <row r="80" spans="1:4" ht="9.75" customHeight="1">
      <c r="A80" s="161"/>
      <c r="B80" s="161"/>
      <c r="C80" s="161"/>
      <c r="D80" s="161"/>
    </row>
  </sheetData>
  <sheetProtection formatCells="0" formatColumns="0" formatRows="0" insertColumns="0" insertRows="0" insertHyperlinks="0" deleteColumns="0" deleteRows="0" sort="0" autoFilter="0" pivotTables="0"/>
  <mergeCells count="16">
    <mergeCell ref="A79:B80"/>
    <mergeCell ref="A59:A60"/>
    <mergeCell ref="B59:B60"/>
    <mergeCell ref="A77:A78"/>
    <mergeCell ref="B77:B78"/>
    <mergeCell ref="A23:A24"/>
    <mergeCell ref="B23:B24"/>
    <mergeCell ref="A41:A42"/>
    <mergeCell ref="B41:B42"/>
    <mergeCell ref="C41:C42"/>
    <mergeCell ref="C79:D80"/>
    <mergeCell ref="C77:C78"/>
    <mergeCell ref="D77:D78"/>
    <mergeCell ref="DA1:DA2"/>
    <mergeCell ref="DA3:DA4"/>
    <mergeCell ref="D41:D42"/>
  </mergeCells>
  <phoneticPr fontId="1"/>
  <dataValidations count="2">
    <dataValidation type="list" allowBlank="1" showInputMessage="1" showErrorMessage="1" sqref="DA3" xr:uid="{E6CDF5F3-049C-46A8-ABED-9FCB8E568216}">
      <formula1>"状態1,状態2,状態3"</formula1>
    </dataValidation>
    <dataValidation type="list" allowBlank="1" showInputMessage="1" showErrorMessage="1" sqref="DA1:DA2" xr:uid="{E853BECC-C25F-484F-8B39-A27EF116F918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D31F7-6748-440E-ABD8-DF0CC26CAAAE}">
  <sheetPr codeName="Sheet22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customWidth="1"/>
  </cols>
  <sheetData>
    <row r="1" spans="2:105" ht="9.75" customHeight="1">
      <c r="B1" s="139" t="str">
        <f>IF(ISBLANK(SeismicWaves!H3),"･",
IF(OR(DA$1="L1",DA$1="L1.5"),IF(OR(SeismicWaves!G3="L1",SeismicWaves!G3="L1&amp;L2"),"Wave1","対象外"),
IF(OR(DA$1="L2",DA$1="L3"),IF(OR(SeismicWaves!G3="L2",SeismicWaves!G3="L1&amp;L2"),"Wave1","対象外"),
IF(DA$1=SeismicWaves!G3,"Wave1","対象外"))))</f>
        <v>･</v>
      </c>
      <c r="DA1" s="162" t="s">
        <v>262</v>
      </c>
    </row>
    <row r="2" spans="2:105" ht="9.75" customHeight="1">
      <c r="B2" s="139" t="str">
        <f>IF(ISBLANK(SeismicWaves!H4),"･",
IF(OR(DA$1="L1",DA$1="L1.5"),IF(OR(SeismicWaves!G4="L1",SeismicWaves!G4="L1&amp;L2"),"Wave2","対象外"),
IF(OR(DA$1="L2",DA$1="L3"),IF(OR(SeismicWaves!G4="L2",SeismicWaves!G4="L1&amp;L2"),"Wave2","対象外"),
IF(DA$1=SeismicWaves!G4,"Wave2","対象外"))))</f>
        <v>･</v>
      </c>
      <c r="DA2" s="163"/>
    </row>
    <row r="3" spans="2:105" ht="9.75" customHeight="1">
      <c r="B3" s="139" t="str">
        <f>IF(ISBLANK(SeismicWaves!H5),"･",
IF(OR(DA$1="L1",DA$1="L1.5"),IF(OR(SeismicWaves!G5="L1",SeismicWaves!G5="L1&amp;L2"),"Wave3","対象外"),
IF(OR(DA$1="L2",DA$1="L3"),IF(OR(SeismicWaves!G5="L2",SeismicWaves!G5="L1&amp;L2"),"Wave3","対象外"),
IF(DA$1=SeismicWaves!G5,"Wave3","対象外"))))</f>
        <v>･</v>
      </c>
      <c r="DA3" s="162" t="s">
        <v>263</v>
      </c>
    </row>
    <row r="4" spans="2:105" ht="9.75" customHeight="1">
      <c r="B4" s="139" t="str">
        <f>IF(ISBLANK(SeismicWaves!H6),"･",
IF(OR(DA$1="L1",DA$1="L1.5"),IF(OR(SeismicWaves!G6="L1",SeismicWaves!G6="L1&amp;L2"),"Wave4","対象外"),
IF(OR(DA$1="L2",DA$1="L3"),IF(OR(SeismicWaves!G6="L2",SeismicWaves!G6="L1&amp;L2"),"Wave4","対象外"),
IF(DA$1=SeismicWaves!G6,"Wave4","対象外"))))</f>
        <v>･</v>
      </c>
      <c r="DA4" s="163"/>
    </row>
    <row r="5" spans="2:105" ht="9.75" customHeight="1">
      <c r="B5" s="139" t="str">
        <f>IF(ISBLANK(SeismicWaves!H7),"･",
IF(OR(DA$1="L1",DA$1="L1.5"),IF(OR(SeismicWaves!G7="L1",SeismicWaves!G7="L1&amp;L2"),"Wave5","対象外"),
IF(OR(DA$1="L2",DA$1="L3"),IF(OR(SeismicWaves!G7="L2",SeismicWaves!G7="L1&amp;L2"),"Wave5","対象外"),
IF(DA$1=SeismicWaves!G7,"Wave5","対象外"))))</f>
        <v>･</v>
      </c>
      <c r="DA5" s="141"/>
    </row>
    <row r="6" spans="2:105" ht="9.75" customHeight="1">
      <c r="B6" s="139" t="str">
        <f>IF(ISBLANK(SeismicWaves!H8),"･",
IF(OR(DA$1="L1",DA$1="L1.5"),IF(OR(SeismicWaves!G8="L1",SeismicWaves!G8="L1&amp;L2"),"Wave6","対象外"),
IF(OR(DA$1="L2",DA$1="L3"),IF(OR(SeismicWaves!G8="L2",SeismicWaves!G8="L1&amp;L2"),"Wave6","対象外"),
IF(DA$1=SeismicWaves!G8,"Wave6","対象外"))))</f>
        <v>･</v>
      </c>
      <c r="DA6" s="141"/>
    </row>
    <row r="7" spans="2:105" ht="9.75" customHeight="1">
      <c r="B7" s="139" t="str">
        <f>IF(ISBLANK(SeismicWaves!H9),"･",
IF(OR(DA$1="L1",DA$1="L1.5"),IF(OR(SeismicWaves!G9="L1",SeismicWaves!G9="L1&amp;L2"),"Wave7","対象外"),
IF(OR(DA$1="L2",DA$1="L3"),IF(OR(SeismicWaves!G9="L2",SeismicWaves!G9="L1&amp;L2"),"Wave7","対象外"),
IF(DA$1=SeismicWaves!G9,"Wave7","対象外"))))</f>
        <v>･</v>
      </c>
      <c r="DA7" s="141"/>
    </row>
    <row r="8" spans="2:105" ht="9.75" customHeight="1">
      <c r="B8" s="139" t="str">
        <f>IF(ISBLANK(SeismicWaves!H10),"･",
IF(OR(DA$1="L1",DA$1="L1.5"),IF(OR(SeismicWaves!G10="L1",SeismicWaves!G10="L1&amp;L2"),"Wave8","対象外"),
IF(OR(DA$1="L2",DA$1="L3"),IF(OR(SeismicWaves!G10="L2",SeismicWaves!G10="L1&amp;L2"),"Wave8","対象外"),
IF(DA$1=SeismicWaves!G10,"Wave8","対象外"))))</f>
        <v>･</v>
      </c>
      <c r="DA8" s="141"/>
    </row>
    <row r="9" spans="2:105" ht="9.75" customHeight="1">
      <c r="B9" s="139" t="str">
        <f>IF(ISBLANK(SeismicWaves!H11),"･",
IF(OR(DA$1="L1",DA$1="L1.5"),IF(OR(SeismicWaves!G11="L1",SeismicWaves!G11="L1&amp;L2"),"Wave9","対象外"),
IF(OR(DA$1="L2",DA$1="L3"),IF(OR(SeismicWaves!G11="L2",SeismicWaves!G11="L1&amp;L2"),"Wave9","対象外"),
IF(DA$1=SeismicWaves!G11,"Wave9","対象外"))))</f>
        <v>･</v>
      </c>
      <c r="DA9" s="141"/>
    </row>
    <row r="10" spans="2:105" ht="9.75" customHeight="1">
      <c r="B10" s="139" t="str">
        <f>IF(ISBLANK(SeismicWaves!H12),"･",
IF(OR(DA$1="L1",DA$1="L1.5"),IF(OR(SeismicWaves!G12="L1",SeismicWaves!G12="L1&amp;L2"),"Wave10","対象外"),
IF(OR(DA$1="L2",DA$1="L3"),IF(OR(SeismicWaves!G12="L2",SeismicWaves!G12="L1&amp;L2"),"Wave10","対象外"),
IF(DA$1=SeismicWaves!G12,"Wave10","対象外"))))</f>
        <v>･</v>
      </c>
      <c r="DA10" s="141"/>
    </row>
    <row r="11" spans="2:105" ht="9.75" customHeight="1">
      <c r="B11" s="139" t="str">
        <f>IF(ISBLANK(SeismicWaves!H13),"･",
IF(OR(DA$1="L1",DA$1="L1.5"),IF(OR(SeismicWaves!G13="L1",SeismicWaves!G13="L1&amp;L2"),"Wave11","対象外"),
IF(OR(DA$1="L2",DA$1="L3"),IF(OR(SeismicWaves!G13="L2",SeismicWaves!G13="L1&amp;L2"),"Wave11","対象外"),
IF(DA$1=SeismicWaves!G13,"Wave11","対象外"))))</f>
        <v>･</v>
      </c>
      <c r="DA11" s="141"/>
    </row>
    <row r="12" spans="2:105" ht="9.75" customHeight="1">
      <c r="B12" s="139" t="str">
        <f>IF(ISBLANK(SeismicWaves!H14),"･",
IF(OR(DA$1="L1",DA$1="L1.5"),IF(OR(SeismicWaves!G14="L1",SeismicWaves!G14="L1&amp;L2"),"Wave12","対象外"),
IF(OR(DA$1="L2",DA$1="L3"),IF(OR(SeismicWaves!G14="L2",SeismicWaves!G14="L1&amp;L2"),"Wave12","対象外"),
IF(DA$1=SeismicWaves!G14,"Wave12","対象外"))))</f>
        <v>･</v>
      </c>
      <c r="DA12" s="141"/>
    </row>
    <row r="13" spans="2:105" ht="9.75" customHeight="1">
      <c r="B13" s="139" t="str">
        <f>IF(ISBLANK(SeismicWaves!H15),"･",
IF(OR(DA$1="L1",DA$1="L1.5"),IF(OR(SeismicWaves!G15="L1",SeismicWaves!G15="L1&amp;L2"),"Wave13","対象外"),
IF(OR(DA$1="L2",DA$1="L3"),IF(OR(SeismicWaves!G15="L2",SeismicWaves!G15="L1&amp;L2"),"Wave13","対象外"),
IF(DA$1=SeismicWaves!G15,"Wave13","対象外"))))</f>
        <v>･</v>
      </c>
      <c r="DA13" s="141"/>
    </row>
    <row r="14" spans="2:105" ht="9.75" customHeight="1">
      <c r="B14" s="139" t="str">
        <f>IF(ISBLANK(SeismicWaves!H16),"･",
IF(OR(DA$1="L1",DA$1="L1.5"),IF(OR(SeismicWaves!G16="L1",SeismicWaves!G16="L1&amp;L2"),"Wave14","対象外"),
IF(OR(DA$1="L2",DA$1="L3"),IF(OR(SeismicWaves!G16="L2",SeismicWaves!G16="L1&amp;L2"),"Wave14","対象外"),
IF(DA$1=SeismicWaves!G16,"Wave14","対象外"))))</f>
        <v>･</v>
      </c>
      <c r="DA14" s="141"/>
    </row>
    <row r="15" spans="2:105" ht="9.75" customHeight="1">
      <c r="B15" s="139" t="str">
        <f>IF(ISBLANK(SeismicWaves!H17),"･",
IF(OR(DA$1="L1",DA$1="L1.5"),IF(OR(SeismicWaves!G17="L1",SeismicWaves!G17="L1&amp;L2"),"Wave15","対象外"),
IF(OR(DA$1="L2",DA$1="L3"),IF(OR(SeismicWaves!G17="L2",SeismicWaves!G17="L1&amp;L2"),"Wave15","対象外"),
IF(DA$1=SeismicWaves!G17,"Wave15","対象外"))))</f>
        <v>･</v>
      </c>
      <c r="DA15" s="141"/>
    </row>
    <row r="16" spans="2:105" ht="9.75" customHeight="1">
      <c r="B16" s="139" t="str">
        <f>IF(ISBLANK(SeismicWaves!H18),"･",
IF(OR(DA$1="L1",DA$1="L1.5"),IF(OR(SeismicWaves!G18="L1",SeismicWaves!G18="L1&amp;L2"),"Wave16","対象外"),
IF(OR(DA$1="L2",DA$1="L3"),IF(OR(SeismicWaves!G18="L2",SeismicWaves!G18="L1&amp;L2"),"Wave16","対象外"),
IF(DA$1=SeismicWaves!G18,"Wave16","対象外"))))</f>
        <v>･</v>
      </c>
      <c r="DA16" s="141"/>
    </row>
    <row r="17" spans="1:105" ht="9.75" customHeight="1">
      <c r="B17" s="139" t="str">
        <f>IF(ISBLANK(SeismicWaves!H19),"･",
IF(OR(DA$1="L1",DA$1="L1.5"),IF(OR(SeismicWaves!G19="L1",SeismicWaves!G19="L1&amp;L2"),"Wave17","対象外"),
IF(OR(DA$1="L2",DA$1="L3"),IF(OR(SeismicWaves!G19="L2",SeismicWaves!G19="L1&amp;L2"),"Wave17","対象外"),
IF(DA$1=SeismicWaves!G19,"Wave17","対象外"))))</f>
        <v>･</v>
      </c>
      <c r="DA17" s="141"/>
    </row>
    <row r="18" spans="1:105" ht="9.75" customHeight="1">
      <c r="B18" s="139" t="str">
        <f>IF(ISBLANK(SeismicWaves!H20),"･",
IF(OR(DA$1="L1",DA$1="L1.5"),IF(OR(SeismicWaves!G20="L1",SeismicWaves!G20="L1&amp;L2"),"Wave18","対象外"),
IF(OR(DA$1="L2",DA$1="L3"),IF(OR(SeismicWaves!G20="L2",SeismicWaves!G20="L1&amp;L2"),"Wave18","対象外"),
IF(DA$1=SeismicWaves!G20,"Wave18","対象外"))))</f>
        <v>･</v>
      </c>
      <c r="DA18" s="141"/>
    </row>
    <row r="19" spans="1:105" ht="9.75" customHeight="1">
      <c r="B19" s="139" t="str">
        <f>IF(ISBLANK(SeismicWaves!H21),"･",
IF(OR(DA$1="L1",DA$1="L1.5"),IF(OR(SeismicWaves!G21="L1",SeismicWaves!G21="L1&amp;L2"),"Wave19","対象外"),
IF(OR(DA$1="L2",DA$1="L3"),IF(OR(SeismicWaves!G21="L2",SeismicWaves!G21="L1&amp;L2"),"Wave19","対象外"),
IF(DA$1=SeismicWaves!G21,"Wave19","対象外"))))</f>
        <v>･</v>
      </c>
      <c r="DA19" s="141"/>
    </row>
    <row r="20" spans="1:105" ht="9.75" customHeight="1">
      <c r="B20" s="139" t="str">
        <f>IF(ISBLANK(SeismicWaves!H22),"･",
IF(OR(DA$1="L1",DA$1="L1.5"),IF(OR(SeismicWaves!G22="L1",SeismicWaves!G22="L1&amp;L2"),"Wave20","対象外"),
IF(OR(DA$1="L2",DA$1="L3"),IF(OR(SeismicWaves!G22="L2",SeismicWaves!G22="L1&amp;L2"),"Wave20","対象外"),
IF(DA$1=SeismicWaves!G22,"Wave20","対象外"))))</f>
        <v>･</v>
      </c>
      <c r="DA20" s="141"/>
    </row>
    <row r="21" spans="1:105" ht="9.75" customHeight="1">
      <c r="DA21" s="141"/>
    </row>
    <row r="22" spans="1:105" ht="9.75" customHeight="1">
      <c r="DA22" s="141"/>
    </row>
    <row r="23" spans="1:105" ht="9.75" customHeight="1">
      <c r="A23" s="161" t="s">
        <v>168</v>
      </c>
      <c r="B23" s="161" t="s">
        <v>159</v>
      </c>
      <c r="DA23" s="141"/>
    </row>
    <row r="24" spans="1:105" ht="9.75" customHeight="1">
      <c r="A24" s="161"/>
      <c r="B24" s="161"/>
      <c r="DA24" s="141"/>
    </row>
    <row r="26" spans="1:105" ht="9.75" customHeight="1">
      <c r="DA26" s="115"/>
    </row>
    <row r="41" spans="1:105" ht="9.75" customHeight="1">
      <c r="A41" s="161" t="str">
        <f>"(1) 加速度(cm/sec"&amp;_xlfn.UNICHAR(178)&amp;")"</f>
        <v>(1) 加速度(cm/sec²)</v>
      </c>
      <c r="B41" s="161" t="s">
        <v>230</v>
      </c>
      <c r="C41" s="161" t="s">
        <v>161</v>
      </c>
      <c r="D41" s="161" t="s">
        <v>162</v>
      </c>
    </row>
    <row r="42" spans="1:105" ht="9.75" customHeight="1">
      <c r="A42" s="161"/>
      <c r="B42" s="161"/>
      <c r="C42" s="161"/>
      <c r="D42" s="161"/>
    </row>
    <row r="47" spans="1:105" ht="9.75" customHeight="1">
      <c r="DA47" s="115"/>
    </row>
    <row r="48" spans="1:105" ht="9.75" customHeight="1">
      <c r="DA48" s="115"/>
    </row>
    <row r="49" spans="1:105" ht="9.75" customHeight="1">
      <c r="DA49" s="115"/>
    </row>
    <row r="59" spans="1:105" ht="9.75" customHeight="1">
      <c r="A59" s="161" t="s">
        <v>161</v>
      </c>
      <c r="B59" s="161" t="s">
        <v>163</v>
      </c>
    </row>
    <row r="60" spans="1:105" ht="9.75" customHeight="1">
      <c r="A60" s="161"/>
      <c r="B60" s="161"/>
    </row>
    <row r="77" spans="1:4" ht="9.75" customHeight="1">
      <c r="A77" s="161" t="s">
        <v>231</v>
      </c>
      <c r="B77" s="161" t="s">
        <v>160</v>
      </c>
      <c r="C77" s="161" t="s">
        <v>164</v>
      </c>
      <c r="D77" s="161" t="s">
        <v>165</v>
      </c>
    </row>
    <row r="78" spans="1:4" ht="9.75" customHeight="1">
      <c r="A78" s="161"/>
      <c r="B78" s="161"/>
      <c r="C78" s="161"/>
      <c r="D78" s="161"/>
    </row>
    <row r="79" spans="1:4" ht="9.75" customHeight="1">
      <c r="A79" s="161" t="str">
        <f>"Y方向最大応答 ("&amp;IF(MID(DA1,1,1)="L","レベル"&amp;MID(DA1,2,LEN(DA1)-1),DA1)&amp;"地震時｜"&amp;DA3&amp;")"</f>
        <v>Y方向最大応答 (レベル2地震時｜状態1)</v>
      </c>
      <c r="B79" s="161"/>
      <c r="C79" s="161" t="str">
        <f>A79</f>
        <v>Y方向最大応答 (レベル2地震時｜状態1)</v>
      </c>
      <c r="D79" s="161"/>
    </row>
    <row r="80" spans="1:4" ht="9.75" customHeight="1">
      <c r="A80" s="161"/>
      <c r="B80" s="161"/>
      <c r="C80" s="161"/>
      <c r="D80" s="161"/>
    </row>
  </sheetData>
  <sheetProtection formatCells="0" formatColumns="0" formatRows="0" insertColumns="0" insertRows="0" insertHyperlinks="0" deleteColumns="0" deleteRows="0" sort="0" autoFilter="0" pivotTables="0"/>
  <mergeCells count="16">
    <mergeCell ref="A79:B80"/>
    <mergeCell ref="A59:A60"/>
    <mergeCell ref="B59:B60"/>
    <mergeCell ref="A77:A78"/>
    <mergeCell ref="B77:B78"/>
    <mergeCell ref="A23:A24"/>
    <mergeCell ref="B23:B24"/>
    <mergeCell ref="A41:A42"/>
    <mergeCell ref="B41:B42"/>
    <mergeCell ref="C41:C42"/>
    <mergeCell ref="C79:D80"/>
    <mergeCell ref="C77:C78"/>
    <mergeCell ref="D77:D78"/>
    <mergeCell ref="DA1:DA2"/>
    <mergeCell ref="DA3:DA4"/>
    <mergeCell ref="D41:D42"/>
  </mergeCells>
  <phoneticPr fontId="1"/>
  <dataValidations count="2">
    <dataValidation type="list" allowBlank="1" showInputMessage="1" showErrorMessage="1" sqref="DA3" xr:uid="{9A1F5238-BDB4-45E1-AF45-45C876B23ECC}">
      <formula1>"状態1,状態2,状態3"</formula1>
    </dataValidation>
    <dataValidation type="list" allowBlank="1" showInputMessage="1" showErrorMessage="1" sqref="DA1:DA2" xr:uid="{DC57FCD7-DC92-46F8-897E-BB85AF579A2E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4B825-B29A-4DBE-9F25-E7C06B5AD3A3}">
  <sheetPr codeName="Sheet23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customWidth="1"/>
  </cols>
  <sheetData>
    <row r="1" spans="2:105" ht="9.75" customHeight="1">
      <c r="B1" s="139" t="str">
        <f>IF(ISBLANK(SeismicWaves!H3),"･",
IF(OR(DA$1="L1",DA$1="L1.5"),IF(OR(SeismicWaves!G3="L1",SeismicWaves!G3="L1&amp;L2"),"Wave1","対象外"),
IF(OR(DA$1="L2",DA$1="L3"),IF(OR(SeismicWaves!G3="L2",SeismicWaves!G3="L1&amp;L2"),"Wave1","対象外"),
IF(DA$1=SeismicWaves!G3,"Wave1","対象外"))))</f>
        <v>･</v>
      </c>
      <c r="DA1" s="162" t="s">
        <v>262</v>
      </c>
    </row>
    <row r="2" spans="2:105" ht="9.75" customHeight="1">
      <c r="B2" s="139" t="str">
        <f>IF(ISBLANK(SeismicWaves!H4),"･",
IF(OR(DA$1="L1",DA$1="L1.5"),IF(OR(SeismicWaves!G4="L1",SeismicWaves!G4="L1&amp;L2"),"Wave2","対象外"),
IF(OR(DA$1="L2",DA$1="L3"),IF(OR(SeismicWaves!G4="L2",SeismicWaves!G4="L1&amp;L2"),"Wave2","対象外"),
IF(DA$1=SeismicWaves!G4,"Wave2","対象外"))))</f>
        <v>･</v>
      </c>
      <c r="DA2" s="163"/>
    </row>
    <row r="3" spans="2:105" ht="9.75" customHeight="1">
      <c r="B3" s="139" t="str">
        <f>IF(ISBLANK(SeismicWaves!H5),"･",
IF(OR(DA$1="L1",DA$1="L1.5"),IF(OR(SeismicWaves!G5="L1",SeismicWaves!G5="L1&amp;L2"),"Wave3","対象外"),
IF(OR(DA$1="L2",DA$1="L3"),IF(OR(SeismicWaves!G5="L2",SeismicWaves!G5="L1&amp;L2"),"Wave3","対象外"),
IF(DA$1=SeismicWaves!G5,"Wave3","対象外"))))</f>
        <v>･</v>
      </c>
      <c r="DA3" s="162" t="s">
        <v>263</v>
      </c>
    </row>
    <row r="4" spans="2:105" ht="9.75" customHeight="1">
      <c r="B4" s="139" t="str">
        <f>IF(ISBLANK(SeismicWaves!H6),"･",
IF(OR(DA$1="L1",DA$1="L1.5"),IF(OR(SeismicWaves!G6="L1",SeismicWaves!G6="L1&amp;L2"),"Wave4","対象外"),
IF(OR(DA$1="L2",DA$1="L3"),IF(OR(SeismicWaves!G6="L2",SeismicWaves!G6="L1&amp;L2"),"Wave4","対象外"),
IF(DA$1=SeismicWaves!G6,"Wave4","対象外"))))</f>
        <v>･</v>
      </c>
      <c r="DA4" s="163"/>
    </row>
    <row r="5" spans="2:105" ht="9.75" customHeight="1">
      <c r="B5" s="139" t="str">
        <f>IF(ISBLANK(SeismicWaves!H7),"･",
IF(OR(DA$1="L1",DA$1="L1.5"),IF(OR(SeismicWaves!G7="L1",SeismicWaves!G7="L1&amp;L2"),"Wave5","対象外"),
IF(OR(DA$1="L2",DA$1="L3"),IF(OR(SeismicWaves!G7="L2",SeismicWaves!G7="L1&amp;L2"),"Wave5","対象外"),
IF(DA$1=SeismicWaves!G7,"Wave5","対象外"))))</f>
        <v>･</v>
      </c>
      <c r="DA5" s="141"/>
    </row>
    <row r="6" spans="2:105" ht="9.75" customHeight="1">
      <c r="B6" s="139" t="str">
        <f>IF(ISBLANK(SeismicWaves!H8),"･",
IF(OR(DA$1="L1",DA$1="L1.5"),IF(OR(SeismicWaves!G8="L1",SeismicWaves!G8="L1&amp;L2"),"Wave6","対象外"),
IF(OR(DA$1="L2",DA$1="L3"),IF(OR(SeismicWaves!G8="L2",SeismicWaves!G8="L1&amp;L2"),"Wave6","対象外"),
IF(DA$1=SeismicWaves!G8,"Wave6","対象外"))))</f>
        <v>･</v>
      </c>
      <c r="DA6" s="141"/>
    </row>
    <row r="7" spans="2:105" ht="9.75" customHeight="1">
      <c r="B7" s="139" t="str">
        <f>IF(ISBLANK(SeismicWaves!H9),"･",
IF(OR(DA$1="L1",DA$1="L1.5"),IF(OR(SeismicWaves!G9="L1",SeismicWaves!G9="L1&amp;L2"),"Wave7","対象外"),
IF(OR(DA$1="L2",DA$1="L3"),IF(OR(SeismicWaves!G9="L2",SeismicWaves!G9="L1&amp;L2"),"Wave7","対象外"),
IF(DA$1=SeismicWaves!G9,"Wave7","対象外"))))</f>
        <v>･</v>
      </c>
      <c r="DA7" s="141"/>
    </row>
    <row r="8" spans="2:105" ht="9.75" customHeight="1">
      <c r="B8" s="139" t="str">
        <f>IF(ISBLANK(SeismicWaves!H10),"･",
IF(OR(DA$1="L1",DA$1="L1.5"),IF(OR(SeismicWaves!G10="L1",SeismicWaves!G10="L1&amp;L2"),"Wave8","対象外"),
IF(OR(DA$1="L2",DA$1="L3"),IF(OR(SeismicWaves!G10="L2",SeismicWaves!G10="L1&amp;L2"),"Wave8","対象外"),
IF(DA$1=SeismicWaves!G10,"Wave8","対象外"))))</f>
        <v>･</v>
      </c>
      <c r="DA8" s="141"/>
    </row>
    <row r="9" spans="2:105" ht="9.75" customHeight="1">
      <c r="B9" s="139" t="str">
        <f>IF(ISBLANK(SeismicWaves!H11),"･",
IF(OR(DA$1="L1",DA$1="L1.5"),IF(OR(SeismicWaves!G11="L1",SeismicWaves!G11="L1&amp;L2"),"Wave9","対象外"),
IF(OR(DA$1="L2",DA$1="L3"),IF(OR(SeismicWaves!G11="L2",SeismicWaves!G11="L1&amp;L2"),"Wave9","対象外"),
IF(DA$1=SeismicWaves!G11,"Wave9","対象外"))))</f>
        <v>･</v>
      </c>
      <c r="DA9" s="141"/>
    </row>
    <row r="10" spans="2:105" ht="9.75" customHeight="1">
      <c r="B10" s="139" t="str">
        <f>IF(ISBLANK(SeismicWaves!H12),"･",
IF(OR(DA$1="L1",DA$1="L1.5"),IF(OR(SeismicWaves!G12="L1",SeismicWaves!G12="L1&amp;L2"),"Wave10","対象外"),
IF(OR(DA$1="L2",DA$1="L3"),IF(OR(SeismicWaves!G12="L2",SeismicWaves!G12="L1&amp;L2"),"Wave10","対象外"),
IF(DA$1=SeismicWaves!G12,"Wave10","対象外"))))</f>
        <v>･</v>
      </c>
      <c r="DA10" s="141"/>
    </row>
    <row r="11" spans="2:105" ht="9.75" customHeight="1">
      <c r="B11" s="139" t="str">
        <f>IF(ISBLANK(SeismicWaves!H13),"･",
IF(OR(DA$1="L1",DA$1="L1.5"),IF(OR(SeismicWaves!G13="L1",SeismicWaves!G13="L1&amp;L2"),"Wave11","対象外"),
IF(OR(DA$1="L2",DA$1="L3"),IF(OR(SeismicWaves!G13="L2",SeismicWaves!G13="L1&amp;L2"),"Wave11","対象外"),
IF(DA$1=SeismicWaves!G13,"Wave11","対象外"))))</f>
        <v>･</v>
      </c>
      <c r="DA11" s="141"/>
    </row>
    <row r="12" spans="2:105" ht="9.75" customHeight="1">
      <c r="B12" s="139" t="str">
        <f>IF(ISBLANK(SeismicWaves!H14),"･",
IF(OR(DA$1="L1",DA$1="L1.5"),IF(OR(SeismicWaves!G14="L1",SeismicWaves!G14="L1&amp;L2"),"Wave12","対象外"),
IF(OR(DA$1="L2",DA$1="L3"),IF(OR(SeismicWaves!G14="L2",SeismicWaves!G14="L1&amp;L2"),"Wave12","対象外"),
IF(DA$1=SeismicWaves!G14,"Wave12","対象外"))))</f>
        <v>･</v>
      </c>
      <c r="DA12" s="141"/>
    </row>
    <row r="13" spans="2:105" ht="9.75" customHeight="1">
      <c r="B13" s="139" t="str">
        <f>IF(ISBLANK(SeismicWaves!H15),"･",
IF(OR(DA$1="L1",DA$1="L1.5"),IF(OR(SeismicWaves!G15="L1",SeismicWaves!G15="L1&amp;L2"),"Wave13","対象外"),
IF(OR(DA$1="L2",DA$1="L3"),IF(OR(SeismicWaves!G15="L2",SeismicWaves!G15="L1&amp;L2"),"Wave13","対象外"),
IF(DA$1=SeismicWaves!G15,"Wave13","対象外"))))</f>
        <v>･</v>
      </c>
      <c r="DA13" s="141"/>
    </row>
    <row r="14" spans="2:105" ht="9.75" customHeight="1">
      <c r="B14" s="139" t="str">
        <f>IF(ISBLANK(SeismicWaves!H16),"･",
IF(OR(DA$1="L1",DA$1="L1.5"),IF(OR(SeismicWaves!G16="L1",SeismicWaves!G16="L1&amp;L2"),"Wave14","対象外"),
IF(OR(DA$1="L2",DA$1="L3"),IF(OR(SeismicWaves!G16="L2",SeismicWaves!G16="L1&amp;L2"),"Wave14","対象外"),
IF(DA$1=SeismicWaves!G16,"Wave14","対象外"))))</f>
        <v>･</v>
      </c>
      <c r="DA14" s="141"/>
    </row>
    <row r="15" spans="2:105" ht="9.75" customHeight="1">
      <c r="B15" s="139" t="str">
        <f>IF(ISBLANK(SeismicWaves!H17),"･",
IF(OR(DA$1="L1",DA$1="L1.5"),IF(OR(SeismicWaves!G17="L1",SeismicWaves!G17="L1&amp;L2"),"Wave15","対象外"),
IF(OR(DA$1="L2",DA$1="L3"),IF(OR(SeismicWaves!G17="L2",SeismicWaves!G17="L1&amp;L2"),"Wave15","対象外"),
IF(DA$1=SeismicWaves!G17,"Wave15","対象外"))))</f>
        <v>･</v>
      </c>
      <c r="DA15" s="141"/>
    </row>
    <row r="16" spans="2:105" ht="9.75" customHeight="1">
      <c r="B16" s="139" t="str">
        <f>IF(ISBLANK(SeismicWaves!H18),"･",
IF(OR(DA$1="L1",DA$1="L1.5"),IF(OR(SeismicWaves!G18="L1",SeismicWaves!G18="L1&amp;L2"),"Wave16","対象外"),
IF(OR(DA$1="L2",DA$1="L3"),IF(OR(SeismicWaves!G18="L2",SeismicWaves!G18="L1&amp;L2"),"Wave16","対象外"),
IF(DA$1=SeismicWaves!G18,"Wave16","対象外"))))</f>
        <v>･</v>
      </c>
      <c r="DA16" s="141"/>
    </row>
    <row r="17" spans="1:105" ht="9.75" customHeight="1">
      <c r="B17" s="139" t="str">
        <f>IF(ISBLANK(SeismicWaves!H19),"･",
IF(OR(DA$1="L1",DA$1="L1.5"),IF(OR(SeismicWaves!G19="L1",SeismicWaves!G19="L1&amp;L2"),"Wave17","対象外"),
IF(OR(DA$1="L2",DA$1="L3"),IF(OR(SeismicWaves!G19="L2",SeismicWaves!G19="L1&amp;L2"),"Wave17","対象外"),
IF(DA$1=SeismicWaves!G19,"Wave17","対象外"))))</f>
        <v>･</v>
      </c>
      <c r="DA17" s="141"/>
    </row>
    <row r="18" spans="1:105" ht="9.75" customHeight="1">
      <c r="B18" s="139" t="str">
        <f>IF(ISBLANK(SeismicWaves!H20),"･",
IF(OR(DA$1="L1",DA$1="L1.5"),IF(OR(SeismicWaves!G20="L1",SeismicWaves!G20="L1&amp;L2"),"Wave18","対象外"),
IF(OR(DA$1="L2",DA$1="L3"),IF(OR(SeismicWaves!G20="L2",SeismicWaves!G20="L1&amp;L2"),"Wave18","対象外"),
IF(DA$1=SeismicWaves!G20,"Wave18","対象外"))))</f>
        <v>･</v>
      </c>
      <c r="DA18" s="141"/>
    </row>
    <row r="19" spans="1:105" ht="9.75" customHeight="1">
      <c r="B19" s="139" t="str">
        <f>IF(ISBLANK(SeismicWaves!H21),"･",
IF(OR(DA$1="L1",DA$1="L1.5"),IF(OR(SeismicWaves!G21="L1",SeismicWaves!G21="L1&amp;L2"),"Wave19","対象外"),
IF(OR(DA$1="L2",DA$1="L3"),IF(OR(SeismicWaves!G21="L2",SeismicWaves!G21="L1&amp;L2"),"Wave19","対象外"),
IF(DA$1=SeismicWaves!G21,"Wave19","対象外"))))</f>
        <v>･</v>
      </c>
      <c r="DA19" s="141"/>
    </row>
    <row r="20" spans="1:105" ht="9.75" customHeight="1">
      <c r="B20" s="139" t="str">
        <f>IF(ISBLANK(SeismicWaves!H22),"･",
IF(OR(DA$1="L1",DA$1="L1.5"),IF(OR(SeismicWaves!G22="L1",SeismicWaves!G22="L1&amp;L2"),"Wave20","対象外"),
IF(OR(DA$1="L2",DA$1="L3"),IF(OR(SeismicWaves!G22="L2",SeismicWaves!G22="L1&amp;L2"),"Wave20","対象外"),
IF(DA$1=SeismicWaves!G22,"Wave20","対象外"))))</f>
        <v>･</v>
      </c>
      <c r="DA20" s="141"/>
    </row>
    <row r="21" spans="1:105" ht="9.75" customHeight="1">
      <c r="DA21" s="141"/>
    </row>
    <row r="22" spans="1:105" ht="9.75" customHeight="1">
      <c r="DA22" s="141"/>
    </row>
    <row r="23" spans="1:105" ht="9.75" customHeight="1">
      <c r="A23" s="161" t="s">
        <v>168</v>
      </c>
      <c r="B23" s="161" t="s">
        <v>159</v>
      </c>
      <c r="DA23" s="141"/>
    </row>
    <row r="24" spans="1:105" ht="9.75" customHeight="1">
      <c r="A24" s="161"/>
      <c r="B24" s="161"/>
      <c r="DA24" s="141"/>
    </row>
    <row r="26" spans="1:105" ht="9.75" customHeight="1">
      <c r="DA26" s="115"/>
    </row>
    <row r="41" spans="1:105" ht="9.75" customHeight="1">
      <c r="A41" s="161" t="str">
        <f>"(1) 加速度(cm/sec"&amp;_xlfn.UNICHAR(178)&amp;")"</f>
        <v>(1) 加速度(cm/sec²)</v>
      </c>
      <c r="B41" s="161" t="s">
        <v>230</v>
      </c>
      <c r="C41" s="161" t="s">
        <v>161</v>
      </c>
      <c r="D41" s="161" t="s">
        <v>162</v>
      </c>
    </row>
    <row r="42" spans="1:105" ht="9.75" customHeight="1">
      <c r="A42" s="161"/>
      <c r="B42" s="161"/>
      <c r="C42" s="161"/>
      <c r="D42" s="161"/>
    </row>
    <row r="47" spans="1:105" ht="9.75" customHeight="1">
      <c r="DA47" s="115"/>
    </row>
    <row r="48" spans="1:105" ht="9.75" customHeight="1">
      <c r="DA48" s="115"/>
    </row>
    <row r="49" spans="1:105" ht="9.75" customHeight="1">
      <c r="DA49" s="115"/>
    </row>
    <row r="59" spans="1:105" ht="9.75" customHeight="1">
      <c r="A59" s="161" t="s">
        <v>161</v>
      </c>
      <c r="B59" s="161" t="s">
        <v>163</v>
      </c>
    </row>
    <row r="60" spans="1:105" ht="9.75" customHeight="1">
      <c r="A60" s="161"/>
      <c r="B60" s="161"/>
    </row>
    <row r="77" spans="1:4" ht="9.75" customHeight="1">
      <c r="A77" s="161" t="s">
        <v>231</v>
      </c>
      <c r="B77" s="161" t="s">
        <v>160</v>
      </c>
      <c r="C77" s="161" t="s">
        <v>164</v>
      </c>
      <c r="D77" s="161" t="s">
        <v>165</v>
      </c>
    </row>
    <row r="78" spans="1:4" ht="9.75" customHeight="1">
      <c r="A78" s="161"/>
      <c r="B78" s="161"/>
      <c r="C78" s="161"/>
      <c r="D78" s="161"/>
    </row>
    <row r="79" spans="1:4" ht="9.75" customHeight="1">
      <c r="A79" s="161" t="str">
        <f>"U方向最大応答 ("&amp;IF(MID(DA1,1,1)="L","レベル"&amp;MID(DA1,2,LEN(DA1)-1),DA1)&amp;"地震時｜"&amp;DA3&amp;")"</f>
        <v>U方向最大応答 (レベル2地震時｜状態1)</v>
      </c>
      <c r="B79" s="161"/>
      <c r="C79" s="161" t="str">
        <f>A79</f>
        <v>U方向最大応答 (レベル2地震時｜状態1)</v>
      </c>
      <c r="D79" s="161"/>
    </row>
    <row r="80" spans="1:4" ht="9.75" customHeight="1">
      <c r="A80" s="161"/>
      <c r="B80" s="161"/>
      <c r="C80" s="161"/>
      <c r="D80" s="161"/>
    </row>
  </sheetData>
  <sheetProtection formatCells="0" formatColumns="0" formatRows="0" insertColumns="0" insertRows="0" insertHyperlinks="0" deleteColumns="0" deleteRows="0" sort="0" autoFilter="0" pivotTables="0"/>
  <mergeCells count="16">
    <mergeCell ref="A79:B80"/>
    <mergeCell ref="A59:A60"/>
    <mergeCell ref="B59:B60"/>
    <mergeCell ref="A77:A78"/>
    <mergeCell ref="B77:B78"/>
    <mergeCell ref="A23:A24"/>
    <mergeCell ref="B23:B24"/>
    <mergeCell ref="A41:A42"/>
    <mergeCell ref="B41:B42"/>
    <mergeCell ref="C41:C42"/>
    <mergeCell ref="C79:D80"/>
    <mergeCell ref="C77:C78"/>
    <mergeCell ref="D77:D78"/>
    <mergeCell ref="DA1:DA2"/>
    <mergeCell ref="DA3:DA4"/>
    <mergeCell ref="D41:D42"/>
  </mergeCells>
  <phoneticPr fontId="1"/>
  <dataValidations count="2">
    <dataValidation type="list" allowBlank="1" showInputMessage="1" showErrorMessage="1" sqref="DA3" xr:uid="{2BA70049-64CE-4326-9B13-27AE78F30505}">
      <formula1>"状態1,状態2,状態3"</formula1>
    </dataValidation>
    <dataValidation type="list" allowBlank="1" showInputMessage="1" showErrorMessage="1" sqref="DA1:DA2" xr:uid="{C86D9DB4-FF13-4CD3-B747-7CB7557B5BF9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9D98D-7CA2-41F3-A0EB-9768924A217F}">
  <sheetPr codeName="Sheet24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style="140" customWidth="1"/>
    <col min="133" max="16384" width="8.7109375" style="140"/>
  </cols>
  <sheetData>
    <row r="1" spans="2:105" ht="9.75" customHeight="1">
      <c r="B1" s="139" t="str">
        <f>IF(ISBLANK(SeismicWaves!H3),"･",
IF(OR(DA$1="L1",DA$1="L1.5"),IF(OR(SeismicWaves!G3="L1",SeismicWaves!G3="L1&amp;L2"),"Wave1","対象外"),
IF(OR(DA$1="L2",DA$1="L3"),IF(OR(SeismicWaves!G3="L2",SeismicWaves!G3="L1&amp;L2"),"Wave1","対象外"),
IF(DA$1=SeismicWaves!G3,"Wave1","対象外"))))</f>
        <v>･</v>
      </c>
      <c r="DA1" s="162" t="s">
        <v>262</v>
      </c>
    </row>
    <row r="2" spans="2:105" ht="9.75" customHeight="1">
      <c r="B2" s="139" t="str">
        <f>IF(ISBLANK(SeismicWaves!H4),"･",
IF(OR(DA$1="L1",DA$1="L1.5"),IF(OR(SeismicWaves!G4="L1",SeismicWaves!G4="L1&amp;L2"),"Wave2","対象外"),
IF(OR(DA$1="L2",DA$1="L3"),IF(OR(SeismicWaves!G4="L2",SeismicWaves!G4="L1&amp;L2"),"Wave2","対象外"),
IF(DA$1=SeismicWaves!G4,"Wave2","対象外"))))</f>
        <v>･</v>
      </c>
      <c r="DA2" s="163"/>
    </row>
    <row r="3" spans="2:105" ht="9.75" customHeight="1">
      <c r="B3" s="139" t="str">
        <f>IF(ISBLANK(SeismicWaves!H5),"･",
IF(OR(DA$1="L1",DA$1="L1.5"),IF(OR(SeismicWaves!G5="L1",SeismicWaves!G5="L1&amp;L2"),"Wave3","対象外"),
IF(OR(DA$1="L2",DA$1="L3"),IF(OR(SeismicWaves!G5="L2",SeismicWaves!G5="L1&amp;L2"),"Wave3","対象外"),
IF(DA$1=SeismicWaves!G5,"Wave3","対象外"))))</f>
        <v>･</v>
      </c>
      <c r="DA3" s="162" t="s">
        <v>263</v>
      </c>
    </row>
    <row r="4" spans="2:105" ht="9.75" customHeight="1">
      <c r="B4" s="139" t="str">
        <f>IF(ISBLANK(SeismicWaves!H6),"･",
IF(OR(DA$1="L1",DA$1="L1.5"),IF(OR(SeismicWaves!G6="L1",SeismicWaves!G6="L1&amp;L2"),"Wave4","対象外"),
IF(OR(DA$1="L2",DA$1="L3"),IF(OR(SeismicWaves!G6="L2",SeismicWaves!G6="L1&amp;L2"),"Wave4","対象外"),
IF(DA$1=SeismicWaves!G6,"Wave4","対象外"))))</f>
        <v>･</v>
      </c>
      <c r="DA4" s="163"/>
    </row>
    <row r="5" spans="2:105" ht="9.75" customHeight="1">
      <c r="B5" s="139" t="str">
        <f>IF(ISBLANK(SeismicWaves!H7),"･",
IF(OR(DA$1="L1",DA$1="L1.5"),IF(OR(SeismicWaves!G7="L1",SeismicWaves!G7="L1&amp;L2"),"Wave5","対象外"),
IF(OR(DA$1="L2",DA$1="L3"),IF(OR(SeismicWaves!G7="L2",SeismicWaves!G7="L1&amp;L2"),"Wave5","対象外"),
IF(DA$1=SeismicWaves!G7,"Wave5","対象外"))))</f>
        <v>･</v>
      </c>
      <c r="DA5" s="141"/>
    </row>
    <row r="6" spans="2:105" ht="9.75" customHeight="1">
      <c r="B6" s="139" t="str">
        <f>IF(ISBLANK(SeismicWaves!H8),"･",
IF(OR(DA$1="L1",DA$1="L1.5"),IF(OR(SeismicWaves!G8="L1",SeismicWaves!G8="L1&amp;L2"),"Wave6","対象外"),
IF(OR(DA$1="L2",DA$1="L3"),IF(OR(SeismicWaves!G8="L2",SeismicWaves!G8="L1&amp;L2"),"Wave6","対象外"),
IF(DA$1=SeismicWaves!G8,"Wave6","対象外"))))</f>
        <v>･</v>
      </c>
      <c r="DA6" s="141"/>
    </row>
    <row r="7" spans="2:105" ht="9.75" customHeight="1">
      <c r="B7" s="139" t="str">
        <f>IF(ISBLANK(SeismicWaves!H9),"･",
IF(OR(DA$1="L1",DA$1="L1.5"),IF(OR(SeismicWaves!G9="L1",SeismicWaves!G9="L1&amp;L2"),"Wave7","対象外"),
IF(OR(DA$1="L2",DA$1="L3"),IF(OR(SeismicWaves!G9="L2",SeismicWaves!G9="L1&amp;L2"),"Wave7","対象外"),
IF(DA$1=SeismicWaves!G9,"Wave7","対象外"))))</f>
        <v>･</v>
      </c>
      <c r="DA7" s="141"/>
    </row>
    <row r="8" spans="2:105" ht="9.75" customHeight="1">
      <c r="B8" s="139" t="str">
        <f>IF(ISBLANK(SeismicWaves!H10),"･",
IF(OR(DA$1="L1",DA$1="L1.5"),IF(OR(SeismicWaves!G10="L1",SeismicWaves!G10="L1&amp;L2"),"Wave8","対象外"),
IF(OR(DA$1="L2",DA$1="L3"),IF(OR(SeismicWaves!G10="L2",SeismicWaves!G10="L1&amp;L2"),"Wave8","対象外"),
IF(DA$1=SeismicWaves!G10,"Wave8","対象外"))))</f>
        <v>･</v>
      </c>
      <c r="DA8" s="141"/>
    </row>
    <row r="9" spans="2:105" ht="9.75" customHeight="1">
      <c r="B9" s="139" t="str">
        <f>IF(ISBLANK(SeismicWaves!H11),"･",
IF(OR(DA$1="L1",DA$1="L1.5"),IF(OR(SeismicWaves!G11="L1",SeismicWaves!G11="L1&amp;L2"),"Wave9","対象外"),
IF(OR(DA$1="L2",DA$1="L3"),IF(OR(SeismicWaves!G11="L2",SeismicWaves!G11="L1&amp;L2"),"Wave9","対象外"),
IF(DA$1=SeismicWaves!G11,"Wave9","対象外"))))</f>
        <v>･</v>
      </c>
      <c r="DA9" s="141"/>
    </row>
    <row r="10" spans="2:105" ht="9.75" customHeight="1">
      <c r="B10" s="139" t="str">
        <f>IF(ISBLANK(SeismicWaves!H12),"･",
IF(OR(DA$1="L1",DA$1="L1.5"),IF(OR(SeismicWaves!G12="L1",SeismicWaves!G12="L1&amp;L2"),"Wave10","対象外"),
IF(OR(DA$1="L2",DA$1="L3"),IF(OR(SeismicWaves!G12="L2",SeismicWaves!G12="L1&amp;L2"),"Wave10","対象外"),
IF(DA$1=SeismicWaves!G12,"Wave10","対象外"))))</f>
        <v>･</v>
      </c>
      <c r="DA10" s="141"/>
    </row>
    <row r="11" spans="2:105" ht="9.75" customHeight="1">
      <c r="B11" s="139" t="str">
        <f>IF(ISBLANK(SeismicWaves!H13),"･",
IF(OR(DA$1="L1",DA$1="L1.5"),IF(OR(SeismicWaves!G13="L1",SeismicWaves!G13="L1&amp;L2"),"Wave11","対象外"),
IF(OR(DA$1="L2",DA$1="L3"),IF(OR(SeismicWaves!G13="L2",SeismicWaves!G13="L1&amp;L2"),"Wave11","対象外"),
IF(DA$1=SeismicWaves!G13,"Wave11","対象外"))))</f>
        <v>･</v>
      </c>
      <c r="DA11" s="141"/>
    </row>
    <row r="12" spans="2:105" ht="9.75" customHeight="1">
      <c r="B12" s="139" t="str">
        <f>IF(ISBLANK(SeismicWaves!H14),"･",
IF(OR(DA$1="L1",DA$1="L1.5"),IF(OR(SeismicWaves!G14="L1",SeismicWaves!G14="L1&amp;L2"),"Wave12","対象外"),
IF(OR(DA$1="L2",DA$1="L3"),IF(OR(SeismicWaves!G14="L2",SeismicWaves!G14="L1&amp;L2"),"Wave12","対象外"),
IF(DA$1=SeismicWaves!G14,"Wave12","対象外"))))</f>
        <v>･</v>
      </c>
      <c r="DA12" s="141"/>
    </row>
    <row r="13" spans="2:105" ht="9.75" customHeight="1">
      <c r="B13" s="139" t="str">
        <f>IF(ISBLANK(SeismicWaves!H15),"･",
IF(OR(DA$1="L1",DA$1="L1.5"),IF(OR(SeismicWaves!G15="L1",SeismicWaves!G15="L1&amp;L2"),"Wave13","対象外"),
IF(OR(DA$1="L2",DA$1="L3"),IF(OR(SeismicWaves!G15="L2",SeismicWaves!G15="L1&amp;L2"),"Wave13","対象外"),
IF(DA$1=SeismicWaves!G15,"Wave13","対象外"))))</f>
        <v>･</v>
      </c>
      <c r="DA13" s="141"/>
    </row>
    <row r="14" spans="2:105" ht="9.75" customHeight="1">
      <c r="B14" s="139" t="str">
        <f>IF(ISBLANK(SeismicWaves!H16),"･",
IF(OR(DA$1="L1",DA$1="L1.5"),IF(OR(SeismicWaves!G16="L1",SeismicWaves!G16="L1&amp;L2"),"Wave14","対象外"),
IF(OR(DA$1="L2",DA$1="L3"),IF(OR(SeismicWaves!G16="L2",SeismicWaves!G16="L1&amp;L2"),"Wave14","対象外"),
IF(DA$1=SeismicWaves!G16,"Wave14","対象外"))))</f>
        <v>･</v>
      </c>
      <c r="DA14" s="141"/>
    </row>
    <row r="15" spans="2:105" ht="9.75" customHeight="1">
      <c r="B15" s="139" t="str">
        <f>IF(ISBLANK(SeismicWaves!H17),"･",
IF(OR(DA$1="L1",DA$1="L1.5"),IF(OR(SeismicWaves!G17="L1",SeismicWaves!G17="L1&amp;L2"),"Wave15","対象外"),
IF(OR(DA$1="L2",DA$1="L3"),IF(OR(SeismicWaves!G17="L2",SeismicWaves!G17="L1&amp;L2"),"Wave15","対象外"),
IF(DA$1=SeismicWaves!G17,"Wave15","対象外"))))</f>
        <v>･</v>
      </c>
      <c r="DA15" s="141"/>
    </row>
    <row r="16" spans="2:105" ht="9.75" customHeight="1">
      <c r="B16" s="139" t="str">
        <f>IF(ISBLANK(SeismicWaves!H18),"･",
IF(OR(DA$1="L1",DA$1="L1.5"),IF(OR(SeismicWaves!G18="L1",SeismicWaves!G18="L1&amp;L2"),"Wave16","対象外"),
IF(OR(DA$1="L2",DA$1="L3"),IF(OR(SeismicWaves!G18="L2",SeismicWaves!G18="L1&amp;L2"),"Wave16","対象外"),
IF(DA$1=SeismicWaves!G18,"Wave16","対象外"))))</f>
        <v>･</v>
      </c>
      <c r="DA16" s="141"/>
    </row>
    <row r="17" spans="1:105" ht="9.75" customHeight="1">
      <c r="B17" s="139" t="str">
        <f>IF(ISBLANK(SeismicWaves!H19),"･",
IF(OR(DA$1="L1",DA$1="L1.5"),IF(OR(SeismicWaves!G19="L1",SeismicWaves!G19="L1&amp;L2"),"Wave17","対象外"),
IF(OR(DA$1="L2",DA$1="L3"),IF(OR(SeismicWaves!G19="L2",SeismicWaves!G19="L1&amp;L2"),"Wave17","対象外"),
IF(DA$1=SeismicWaves!G19,"Wave17","対象外"))))</f>
        <v>･</v>
      </c>
      <c r="DA17" s="141"/>
    </row>
    <row r="18" spans="1:105" ht="9.75" customHeight="1">
      <c r="B18" s="139" t="str">
        <f>IF(ISBLANK(SeismicWaves!H20),"･",
IF(OR(DA$1="L1",DA$1="L1.5"),IF(OR(SeismicWaves!G20="L1",SeismicWaves!G20="L1&amp;L2"),"Wave18","対象外"),
IF(OR(DA$1="L2",DA$1="L3"),IF(OR(SeismicWaves!G20="L2",SeismicWaves!G20="L1&amp;L2"),"Wave18","対象外"),
IF(DA$1=SeismicWaves!G20,"Wave18","対象外"))))</f>
        <v>･</v>
      </c>
      <c r="DA18" s="141"/>
    </row>
    <row r="19" spans="1:105" ht="9.75" customHeight="1">
      <c r="B19" s="139" t="str">
        <f>IF(ISBLANK(SeismicWaves!H21),"･",
IF(OR(DA$1="L1",DA$1="L1.5"),IF(OR(SeismicWaves!G21="L1",SeismicWaves!G21="L1&amp;L2"),"Wave19","対象外"),
IF(OR(DA$1="L2",DA$1="L3"),IF(OR(SeismicWaves!G21="L2",SeismicWaves!G21="L1&amp;L2"),"Wave19","対象外"),
IF(DA$1=SeismicWaves!G21,"Wave19","対象外"))))</f>
        <v>･</v>
      </c>
      <c r="DA19" s="141"/>
    </row>
    <row r="20" spans="1:105" ht="9.75" customHeight="1">
      <c r="B20" s="139" t="str">
        <f>IF(ISBLANK(SeismicWaves!H22),"･",
IF(OR(DA$1="L1",DA$1="L1.5"),IF(OR(SeismicWaves!G22="L1",SeismicWaves!G22="L1&amp;L2"),"Wave20","対象外"),
IF(OR(DA$1="L2",DA$1="L3"),IF(OR(SeismicWaves!G22="L2",SeismicWaves!G22="L1&amp;L2"),"Wave20","対象外"),
IF(DA$1=SeismicWaves!G22,"Wave20","対象外"))))</f>
        <v>･</v>
      </c>
      <c r="DA20" s="141"/>
    </row>
    <row r="21" spans="1:105" ht="9.75" customHeight="1">
      <c r="DA21" s="141"/>
    </row>
    <row r="22" spans="1:105" ht="9.75" customHeight="1">
      <c r="DA22" s="141"/>
    </row>
    <row r="23" spans="1:105" ht="9.75" customHeight="1">
      <c r="A23" s="161" t="s">
        <v>168</v>
      </c>
      <c r="B23" s="161" t="s">
        <v>159</v>
      </c>
      <c r="DA23" s="141"/>
    </row>
    <row r="24" spans="1:105" ht="9.75" customHeight="1">
      <c r="A24" s="161"/>
      <c r="B24" s="161"/>
      <c r="DA24" s="141"/>
    </row>
    <row r="26" spans="1:105" ht="9.75" customHeight="1">
      <c r="DA26" s="115"/>
    </row>
    <row r="41" spans="1:105" ht="9.75" customHeight="1">
      <c r="A41" s="161" t="str">
        <f>"(1) 加速度(cm/sec"&amp;_xlfn.UNICHAR(178)&amp;")"</f>
        <v>(1) 加速度(cm/sec²)</v>
      </c>
      <c r="B41" s="161" t="s">
        <v>230</v>
      </c>
      <c r="C41" s="161" t="s">
        <v>161</v>
      </c>
      <c r="D41" s="161" t="s">
        <v>162</v>
      </c>
    </row>
    <row r="42" spans="1:105" ht="9.75" customHeight="1">
      <c r="A42" s="161"/>
      <c r="B42" s="161"/>
      <c r="C42" s="161"/>
      <c r="D42" s="161"/>
    </row>
    <row r="47" spans="1:105" ht="9.75" customHeight="1">
      <c r="DA47" s="115"/>
    </row>
    <row r="48" spans="1:105" ht="9.75" customHeight="1">
      <c r="DA48" s="115"/>
    </row>
    <row r="49" spans="1:105" ht="9.75" customHeight="1">
      <c r="DA49" s="115"/>
    </row>
    <row r="59" spans="1:105" ht="9.75" customHeight="1">
      <c r="A59" s="161" t="s">
        <v>161</v>
      </c>
      <c r="B59" s="161" t="s">
        <v>163</v>
      </c>
    </row>
    <row r="60" spans="1:105" ht="9.75" customHeight="1">
      <c r="A60" s="161"/>
      <c r="B60" s="161"/>
    </row>
    <row r="77" spans="1:4" ht="9.75" customHeight="1">
      <c r="A77" s="161" t="s">
        <v>231</v>
      </c>
      <c r="B77" s="161" t="s">
        <v>160</v>
      </c>
      <c r="C77" s="161" t="s">
        <v>164</v>
      </c>
      <c r="D77" s="161" t="s">
        <v>165</v>
      </c>
    </row>
    <row r="78" spans="1:4" ht="9.75" customHeight="1">
      <c r="A78" s="161"/>
      <c r="B78" s="161"/>
      <c r="C78" s="161"/>
      <c r="D78" s="161"/>
    </row>
    <row r="79" spans="1:4" ht="9.75" customHeight="1">
      <c r="A79" s="161" t="str">
        <f>"V方向最大応答 ("&amp;IF(MID(DA1,1,1)="L","レベル"&amp;MID(DA1,2,LEN(DA1)-1),DA1)&amp;"地震時｜"&amp;DA3&amp;")"</f>
        <v>V方向最大応答 (レベル2地震時｜状態1)</v>
      </c>
      <c r="B79" s="161"/>
      <c r="C79" s="161" t="str">
        <f>A79</f>
        <v>V方向最大応答 (レベル2地震時｜状態1)</v>
      </c>
      <c r="D79" s="161"/>
    </row>
    <row r="80" spans="1:4" ht="9.75" customHeight="1">
      <c r="A80" s="161"/>
      <c r="B80" s="161"/>
      <c r="C80" s="161"/>
      <c r="D80" s="161"/>
    </row>
  </sheetData>
  <sheetProtection formatCells="0" formatColumns="0" formatRows="0" insertColumns="0" insertRows="0" insertHyperlinks="0" deleteColumns="0" deleteRows="0" sort="0" autoFilter="0" pivotTables="0"/>
  <mergeCells count="16">
    <mergeCell ref="A79:B80"/>
    <mergeCell ref="A59:A60"/>
    <mergeCell ref="B59:B60"/>
    <mergeCell ref="A77:A78"/>
    <mergeCell ref="B77:B78"/>
    <mergeCell ref="A23:A24"/>
    <mergeCell ref="B23:B24"/>
    <mergeCell ref="A41:A42"/>
    <mergeCell ref="B41:B42"/>
    <mergeCell ref="C41:C42"/>
    <mergeCell ref="C79:D80"/>
    <mergeCell ref="C77:C78"/>
    <mergeCell ref="D77:D78"/>
    <mergeCell ref="DA1:DA2"/>
    <mergeCell ref="DA3:DA4"/>
    <mergeCell ref="D41:D42"/>
  </mergeCells>
  <phoneticPr fontId="1"/>
  <dataValidations count="2">
    <dataValidation type="list" allowBlank="1" showInputMessage="1" showErrorMessage="1" sqref="DA3" xr:uid="{DCB43725-9333-4695-89D2-73BD95911F91}">
      <formula1>"状態1,状態2,状態3"</formula1>
    </dataValidation>
    <dataValidation type="list" allowBlank="1" showInputMessage="1" showErrorMessage="1" sqref="DA1:DA2" xr:uid="{22E3C7BC-E0B3-406C-8CF0-7CCFCB1BCFBE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customUI/_rels/customUI14.xml.rels><?xml version="1.0" encoding="UTF-8" standalone="yes"?>
<Relationships xmlns="http://schemas.openxmlformats.org/package/2006/relationships"><Relationship Id="F3T" Type="http://schemas.openxmlformats.org/officeDocument/2006/relationships/image" Target="images/de898479ec50df78d8d859b7f851a5f6_xo.ico"/></Relationships>
</file>

<file path=customUI/customUI14.xml><?xml version="1.0" encoding="utf-8"?>
<customUI xmlns="http://schemas.microsoft.com/office/2009/07/customui">
  <ribbon startFromScratch="false">
    <tabs>
      <tab id="Analysis" label="Analysis">
        <group id="EigenvalueAnalysisGroup" label="Eigenvalue Analysis">
          <button id="EigenvalueAnalysis" label="Run" imageMso="MacroPlay" size="large" onAction="EigenvalueAnalysis"/>
        </group>
        <group id="SetupWaveGroup" label="Load Seismic Waves">
          <button id="SetupWave" label="Run" imageMso="MacroPlay" size="large" onAction="SetupWave"/>
        </group>
        <group id="ResponseAnalysisGroup" label="Time-History Analysis">
          <button id="ResponseAnalysis" label="Run" imageMso="MacroPlay" size="large" onAction="ResponseAnalysis"/>
          <button id="AdjustGraphForLowBuilding" label="Adjust Graph (Low-rise)" imageMso="ShapeLeftArrow" size="large" onAction="AdjustGraphForLowBuilding"/>
          <button id="AdjustGraphForHighBuilding" label="Adjust Graph (High-rise)" imageMso="ShapeRightArrow" size="large" onAction="AdjustGraphForHighBuilding"/>
        </group>
        <group id="ProgramGroup" label="Generate Input File">
          <button id="RunSequenceF3T" label="Run" image="F3T" size="large" onAction="RunSequenceF3T"/>
        </group>
        <group id="ImportExportGroup" label="Excel Input Data">
          <button id="ImportCsv" label="csv&#10;→ Excel" imageMso="Import" size="large" onAction="ImportCsv"/>
          <button id="ExportCsv" label="Excel&#10;→ csv" imageMso="Export" size="large" onAction="ExportCsv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5</vt:i4>
      </vt:variant>
    </vt:vector>
  </HeadingPairs>
  <TitlesOfParts>
    <vt:vector size="14" baseType="lpstr">
      <vt:lpstr>Overview</vt:lpstr>
      <vt:lpstr>Eigenvalue</vt:lpstr>
      <vt:lpstr>AnalysisConditions</vt:lpstr>
      <vt:lpstr>IsolationDevices</vt:lpstr>
      <vt:lpstr>SeismicWaves</vt:lpstr>
      <vt:lpstr>X-Direction</vt:lpstr>
      <vt:lpstr>Y-Direction</vt:lpstr>
      <vt:lpstr>U-Direction</vt:lpstr>
      <vt:lpstr>V-Direction</vt:lpstr>
      <vt:lpstr>Eigenvalue!Print_Area</vt:lpstr>
      <vt:lpstr>'U-Direction'!Print_Area</vt:lpstr>
      <vt:lpstr>'V-Direction'!Print_Area</vt:lpstr>
      <vt:lpstr>'X-Direction'!Print_Area</vt:lpstr>
      <vt:lpstr>'Y-Direction'!Print_Area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excel-dynamic-analysis.com</dc:creator>
  <cp:lastModifiedBy>柳濟晟</cp:lastModifiedBy>
  <cp:lastPrinted>2026-10-11T00:49:19Z</cp:lastPrinted>
  <dcterms:created xsi:type="dcterms:W3CDTF">2026-10-02T03:50:24Z</dcterms:created>
  <dcterms:modified xsi:type="dcterms:W3CDTF">2026-10-18T01:11:32Z</dcterms:modified>
</cp:coreProperties>
</file>