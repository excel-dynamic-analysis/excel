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01DF9E6E-A69E-4AAF-B660-01EA327F4D10}" xr6:coauthVersionLast="47" xr6:coauthVersionMax="47" xr10:uidLastSave="{00000000-0000-0000-0000-000000000000}"/>
  <bookViews>
    <workbookView xWindow="-120" yWindow="-120" windowWidth="29040" windowHeight="15720" tabRatio="714" firstSheet="1" activeTab="1" xr2:uid="{8E062090-D553-4F64-8723-BE6601269431}"/>
  </bookViews>
  <sheets>
    <sheet name="概要" sheetId="1" state="veryHidden" r:id="rId1"/>
    <sheet name="Overview" sheetId="19" r:id="rId2"/>
    <sheet name="Eigenvalue" sheetId="2" r:id="rId3"/>
    <sheet name="AnalysisConditions" sheetId="3" r:id="rId4"/>
    <sheet name="IsolationDevices" sheetId="4" r:id="rId5"/>
    <sheet name="DeviceList" sheetId="17" state="veryHidden" r:id="rId6"/>
    <sheet name="DampingDevices" sheetId="13" state="veryHidden" r:id="rId7"/>
    <sheet name="SeismicWaves" sheetId="6" r:id="rId8"/>
    <sheet name="Wave" sheetId="7" state="veryHidden" r:id="rId9"/>
    <sheet name="Spectrum" sheetId="8" state="veryHidden" r:id="rId10"/>
    <sheet name="X-Direction" sheetId="9" r:id="rId11"/>
    <sheet name="Y-Direction" sheetId="14" r:id="rId12"/>
    <sheet name="U-Direction" sheetId="15" r:id="rId13"/>
    <sheet name="V-Direction" sheetId="16" r:id="rId14"/>
  </sheets>
  <functionGroups builtInGroupCount="19"/>
  <definedNames>
    <definedName name="_xleta.IF" hidden="1" xlm="1">#NAME?</definedName>
    <definedName name="_xleta.IMPORTCSV" hidden="1" xlm="1">#NAME?</definedName>
    <definedName name="_xleta.ISNUMBER" hidden="1" xlm="1">#NAME?</definedName>
    <definedName name="_xlnm.Print_Area" localSheetId="2">Eigenvalue!$A$1:$B$480</definedName>
    <definedName name="_xlnm.Print_Area" localSheetId="12">'U-Direction'!$A$1:$D$80</definedName>
    <definedName name="_xlnm.Print_Area" localSheetId="13">'V-Direction'!$A$1:$D$80</definedName>
    <definedName name="_xlnm.Print_Area" localSheetId="10">'X-Direction'!$A$1:$D$80</definedName>
    <definedName name="_xlnm.Print_Area" localSheetId="11">'Y-Direction'!$A$1:$D$80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U57" i="4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24" i="6"/>
  <c r="C4" i="2" l="1"/>
  <c r="C3" i="2"/>
  <c r="A3" i="3" s="1"/>
  <c r="A5" i="19"/>
  <c r="A11" i="19"/>
  <c r="C5" i="2" l="1"/>
  <c r="A4" i="3" s="1"/>
  <c r="A11" i="1"/>
  <c r="A5" i="1"/>
  <c r="A41" i="9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6" i="2" l="1"/>
  <c r="A6" i="3" s="1"/>
  <c r="A5" i="3"/>
  <c r="C7" i="2" l="1"/>
  <c r="C8" i="2" s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209" i="3"/>
  <c r="X7" i="3"/>
  <c r="A7" i="3" l="1"/>
  <c r="C9" i="2"/>
  <c r="A106" i="3"/>
  <c r="A8" i="3" l="1"/>
  <c r="C10" i="2"/>
  <c r="A9" i="3" l="1"/>
  <c r="C11" i="2"/>
  <c r="C12" i="2" s="1"/>
  <c r="C13" i="2" s="1"/>
  <c r="A211" i="3"/>
  <c r="A108" i="3"/>
  <c r="A210" i="3"/>
  <c r="A107" i="3"/>
  <c r="A10" i="3" l="1"/>
  <c r="A11" i="3"/>
  <c r="A12" i="3"/>
  <c r="C14" i="2"/>
  <c r="A13" i="3" s="1"/>
  <c r="A109" i="3"/>
  <c r="A212" i="3"/>
  <c r="C15" i="2" l="1"/>
  <c r="C16" i="2" s="1"/>
  <c r="A214" i="3"/>
  <c r="A111" i="3"/>
  <c r="A14" i="3" l="1"/>
  <c r="C17" i="2"/>
  <c r="A15" i="3"/>
  <c r="A216" i="3"/>
  <c r="A213" i="3"/>
  <c r="A110" i="3"/>
  <c r="A112" i="3"/>
  <c r="A215" i="3"/>
  <c r="A16" i="3" l="1"/>
  <c r="C18" i="2"/>
  <c r="A113" i="3"/>
  <c r="A17" i="3" l="1"/>
  <c r="C19" i="2"/>
  <c r="A217" i="3"/>
  <c r="A115" i="3"/>
  <c r="A218" i="3"/>
  <c r="A18" i="3" l="1"/>
  <c r="C20" i="2"/>
  <c r="C21" i="2" s="1"/>
  <c r="A114" i="3"/>
  <c r="A116" i="3"/>
  <c r="A219" i="3"/>
  <c r="A20" i="3" l="1"/>
  <c r="A19" i="3"/>
  <c r="C22" i="2"/>
  <c r="A21" i="3" s="1"/>
  <c r="A117" i="3"/>
  <c r="A220" i="3"/>
  <c r="C23" i="2" l="1"/>
  <c r="A22" i="3" s="1"/>
  <c r="A118" i="3"/>
  <c r="A221" i="3"/>
  <c r="C24" i="2" l="1"/>
  <c r="A23" i="3"/>
  <c r="A222" i="3"/>
  <c r="A119" i="3"/>
  <c r="C25" i="2" l="1"/>
  <c r="A24" i="3"/>
  <c r="A223" i="3"/>
  <c r="A120" i="3"/>
  <c r="C26" i="2" l="1"/>
  <c r="A25" i="3"/>
  <c r="A224" i="3"/>
  <c r="A121" i="3"/>
  <c r="C27" i="2" l="1"/>
  <c r="A26" i="3"/>
  <c r="A225" i="3"/>
  <c r="A122" i="3"/>
  <c r="C28" i="2" l="1"/>
  <c r="A27" i="3"/>
  <c r="A226" i="3"/>
  <c r="A123" i="3"/>
  <c r="C29" i="2" l="1"/>
  <c r="A28" i="3"/>
  <c r="A227" i="3"/>
  <c r="A124" i="3"/>
  <c r="C30" i="2" l="1"/>
  <c r="A29" i="3"/>
  <c r="A228" i="3"/>
  <c r="A125" i="3"/>
  <c r="C31" i="2" l="1"/>
  <c r="A30" i="3"/>
  <c r="A126" i="3"/>
  <c r="A229" i="3"/>
  <c r="C32" i="2" l="1"/>
  <c r="A31" i="3"/>
  <c r="A230" i="3"/>
  <c r="A127" i="3"/>
  <c r="C33" i="2" l="1"/>
  <c r="A32" i="3"/>
  <c r="A128" i="3"/>
  <c r="A231" i="3"/>
  <c r="C34" i="2" l="1"/>
  <c r="A33" i="3"/>
  <c r="A232" i="3"/>
  <c r="A129" i="3"/>
  <c r="C35" i="2" l="1"/>
  <c r="A34" i="3"/>
  <c r="A130" i="3"/>
  <c r="A233" i="3"/>
  <c r="C36" i="2" l="1"/>
  <c r="A35" i="3"/>
  <c r="A234" i="3"/>
  <c r="A131" i="3"/>
  <c r="C37" i="2" l="1"/>
  <c r="A36" i="3"/>
  <c r="A235" i="3"/>
  <c r="A132" i="3"/>
  <c r="C38" i="2" l="1"/>
  <c r="A37" i="3"/>
  <c r="A133" i="3"/>
  <c r="A236" i="3"/>
  <c r="C39" i="2" l="1"/>
  <c r="A38" i="3"/>
  <c r="A237" i="3"/>
  <c r="A134" i="3"/>
  <c r="C40" i="2" l="1"/>
  <c r="A39" i="3"/>
  <c r="A135" i="3"/>
  <c r="A238" i="3"/>
  <c r="C41" i="2" l="1"/>
  <c r="A40" i="3"/>
  <c r="A136" i="3"/>
  <c r="A239" i="3"/>
  <c r="C42" i="2" l="1"/>
  <c r="A41" i="3"/>
  <c r="A137" i="3"/>
  <c r="A240" i="3"/>
  <c r="C43" i="2" l="1"/>
  <c r="A42" i="3"/>
  <c r="A241" i="3"/>
  <c r="A138" i="3"/>
  <c r="C44" i="2" l="1"/>
  <c r="A43" i="3"/>
  <c r="A242" i="3"/>
  <c r="A139" i="3"/>
  <c r="C45" i="2" l="1"/>
  <c r="A44" i="3"/>
  <c r="A243" i="3"/>
  <c r="A140" i="3"/>
  <c r="C46" i="2" l="1"/>
  <c r="A45" i="3"/>
  <c r="A244" i="3"/>
  <c r="A141" i="3"/>
  <c r="C47" i="2" l="1"/>
  <c r="A46" i="3"/>
  <c r="A245" i="3"/>
  <c r="A142" i="3"/>
  <c r="C48" i="2" l="1"/>
  <c r="A47" i="3"/>
  <c r="A246" i="3"/>
  <c r="A143" i="3"/>
  <c r="C49" i="2" l="1"/>
  <c r="A48" i="3"/>
  <c r="A247" i="3"/>
  <c r="A144" i="3"/>
  <c r="C50" i="2" l="1"/>
  <c r="A49" i="3"/>
  <c r="A145" i="3"/>
  <c r="A248" i="3"/>
  <c r="C51" i="2" l="1"/>
  <c r="A50" i="3"/>
  <c r="A249" i="3"/>
  <c r="A146" i="3"/>
  <c r="C52" i="2" l="1"/>
  <c r="A51" i="3"/>
  <c r="A250" i="3"/>
  <c r="A147" i="3"/>
  <c r="A251" i="3" l="1"/>
  <c r="A148" i="3"/>
  <c r="A149" i="3" l="1"/>
  <c r="A252" i="3"/>
  <c r="A253" i="3" l="1"/>
  <c r="A150" i="3"/>
  <c r="A254" i="3" l="1"/>
  <c r="A151" i="3"/>
  <c r="A255" i="3" l="1"/>
  <c r="A152" i="3"/>
  <c r="A256" i="3" l="1"/>
  <c r="A153" i="3"/>
  <c r="D54" i="2"/>
  <c r="Q54" i="2"/>
  <c r="I54" i="2"/>
  <c r="G54" i="2"/>
  <c r="P54" i="2"/>
  <c r="O54" i="2"/>
  <c r="F54" i="2"/>
  <c r="N54" i="2"/>
  <c r="H54" i="2"/>
  <c r="A257" i="3" l="1"/>
  <c r="A154" i="3"/>
  <c r="D53" i="2"/>
  <c r="A52" i="3" s="1"/>
  <c r="N53" i="2"/>
  <c r="O53" i="2"/>
  <c r="I53" i="2"/>
  <c r="Q53" i="2"/>
  <c r="P53" i="2"/>
  <c r="F53" i="2"/>
  <c r="H53" i="2"/>
  <c r="G53" i="2"/>
  <c r="S22" i="2" l="1"/>
  <c r="A155" i="3"/>
  <c r="A258" i="3"/>
  <c r="S26" i="2" l="1"/>
  <c r="S23" i="2"/>
  <c r="S24" i="2"/>
  <c r="S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<sst xmlns="http://schemas.openxmlformats.org/spreadsheetml/2006/main" count="620" uniqueCount="374">
  <si>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</si>
  <si>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</si>
  <si>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</si>
  <si>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</si>
  <si>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</si>
  <si>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</si>
  <si>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</si>
  <si>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</si>
  <si>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</si>
  <si>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</si>
  <si>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</si>
  <si>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</si>
  <si>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</si>
  <si>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</si>
  <si>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スウェイ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</si>
  <si>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</si>
  <si>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</si>
  <si>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</si>
  <si>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</si>
  <si>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</si>
  <si>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</si>
  <si>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</si>
  <si>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</si>
  <si>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</si>
  <si>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</si>
  <si>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</si>
  <si>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</si>
  <si>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</si>
  <si>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</si>
  <si>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</si>
  <si>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</si>
  <si>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</si>
  <si>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</si>
  <si>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</si>
  <si>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</si>
  <si>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</si>
  <si>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</si>
  <si>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</si>
  <si>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</si>
  <si>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</si>
  <si>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</si>
  <si>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</si>
  <si>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</si>
  <si>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</si>
  <si>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</si>
  <si>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</si>
  <si>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</si>
  <si>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</si>
  <si>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</si>
  <si>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</si>
  <si>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</si>
  <si>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</si>
  <si>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</si>
  <si>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</si>
  <si>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</si>
  <si>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</si>
  <si>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</si>
  <si>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</si>
  <si>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</si>
  <si>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</si>
  <si>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</si>
  <si>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</si>
  <si>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</si>
  <si>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</si>
  <si>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</si>
  <si>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</si>
  <si>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</si>
  <si>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</si>
  <si>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</si>
  <si>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</si>
  <si>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</si>
  <si>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</si>
  <si>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</si>
  <si>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</si>
  <si>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</si>
  <si>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</si>
  <si>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</si>
  <si>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</si>
  <si>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</si>
  <si>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</si>
  <si>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</si>
  <si>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</si>
  <si>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</si>
  <si>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</si>
  <si>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</si>
  <si>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</si>
  <si>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</si>
  <si>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</si>
  <si>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</si>
  <si>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</si>
  <si>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</si>
  <si>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</si>
  <si>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</si>
  <si>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</si>
  <si>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</si>
  <si>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</si>
  <si>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</si>
  <si>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</si>
  <si>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</si>
  <si>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</si>
  <si>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</si>
  <si>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</si>
  <si>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</si>
  <si>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</si>
  <si>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</si>
  <si>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</si>
  <si>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</si>
  <si>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</si>
  <si>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</si>
  <si>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</si>
  <si>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</si>
  <si>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</si>
  <si>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</si>
  <si>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</si>
  <si>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</si>
  <si>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</si>
  <si>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</si>
  <si>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</si>
  <si>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</si>
  <si>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</si>
  <si>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</si>
  <si>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</si>
  <si>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</si>
  <si>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</si>
  <si>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</si>
  <si>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</si>
  <si>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</si>
  <si>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</si>
  <si>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</si>
  <si>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</si>
  <si>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</si>
  <si>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</si>
  <si>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</si>
  <si>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</si>
  <si>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</si>
  <si>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</si>
  <si>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</si>
  <si>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</si>
  <si>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</si>
  <si>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</si>
  <si>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</si>
  <si>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</si>
  <si>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</si>
  <si>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</si>
  <si>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</si>
  <si>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</si>
  <si>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</si>
  <si>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</si>
  <si>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</si>
  <si>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</si>
  <si>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</si>
  <si>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</si>
  <si>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</si>
  <si>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</si>
  <si>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</si>
  <si>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</si>
  <si>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</si>
  <si>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</si>
  <si>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</si>
  <si>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</si>
  <si>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</si>
  <si>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</si>
  <si>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</si>
  <si>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</si>
  <si>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</si>
  <si>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</si>
  <si>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</si>
  <si>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</si>
  <si>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</si>
  <si>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</si>
  <si>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</si>
  <si>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</si>
  <si>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</si>
  <si>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</si>
  <si>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</si>
  <si>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</si>
  <si>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</si>
  <si>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</si>
  <si>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</si>
  <si>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</si>
  <si>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</si>
  <si>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</si>
  <si>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</si>
  <si>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</si>
  <si>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</si>
  <si>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</si>
  <si>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</si>
  <si>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</si>
  <si>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</si>
  <si>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</si>
  <si>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</si>
  <si>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</si>
  <si>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</si>
  <si>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</si>
  <si>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</si>
  <si>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</si>
  <si>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</si>
  <si>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</si>
  <si>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</si>
  <si>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</si>
  <si>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</si>
  <si>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</si>
  <si>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</si>
  <si>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</si>
  <si>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</si>
  <si>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</si>
  <si>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</si>
  <si>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</si>
  <si>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</si>
  <si>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</si>
  <si>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</si>
  <si>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</si>
  <si>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</si>
  <si>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</si>
  <si>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</si>
  <si>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</si>
  <si>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</si>
  <si>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</si>
  <si>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</si>
  <si>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</si>
  <si>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</si>
  <si>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</si>
  <si>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</si>
  <si>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</si>
  <si>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</si>
  <si>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</si>
  <si>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</si>
  <si>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</si>
  <si>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</si>
  <si>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</si>
  <si>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</si>
  <si>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</si>
  <si>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</si>
  <si>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</si>
  <si>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</si>
  <si>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</si>
  <si>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</si>
  <si>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</si>
  <si>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</si>
  <si>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</si>
  <si>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</si>
  <si>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</si>
  <si>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</si>
  <si>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</si>
  <si>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</si>
  <si>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</si>
  <si>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</si>
  <si>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</si>
  <si>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</si>
  <si>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</si>
  <si>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</si>
  <si>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</si>
  <si>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</si>
  <si>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</si>
  <si>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</si>
  <si>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</si>
  <si>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</si>
  <si>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</si>
  <si>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</si>
  <si>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</si>
  <si>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</si>
  <si>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</si>
  <si>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</si>
  <si>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</si>
  <si>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</si>
  <si>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</si>
  <si>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</si>
  <si>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</si>
  <si>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</si>
  <si>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</si>
  <si>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</si>
  <si>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</si>
  <si>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</si>
  <si>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</si>
  <si>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</si>
  <si>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</si>
  <si>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</si>
  <si>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</si>
  <si>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</si>
  <si>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</si>
  <si>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</si>
  <si>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</si>
  <si>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</si>
  <si>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</si>
  <si>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</si>
  <si>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</si>
  <si>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</si>
  <si>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</si>
  <si>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</si>
  <si>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</si>
  <si>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</si>
  <si>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</si>
  <si>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</si>
  <si>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</si>
  <si>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</si>
  <si>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</si>
  <si>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</si>
  <si>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</si>
  <si>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</si>
  <si>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</si>
  <si>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</si>
  <si>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</si>
  <si>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</si>
  <si>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</si>
  <si>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</si>
  <si>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</si>
  <si>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</si>
  <si>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</si>
  <si>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</si>
  <si>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</si>
  <si>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</si>
  <si>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</si>
  <si>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</si>
  <si>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</si>
  <si>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</si>
  <si>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</si>
  <si>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</si>
  <si>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</si>
  <si>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</si>
  <si>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</si>
  <si>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</si>
  <si>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</si>
  <si>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</si>
  <si>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</si>
  <si>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</si>
  <si>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</si>
  <si>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</si>
  <si>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</si>
  <si>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</si>
  <si>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</si>
  <si>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</si>
  <si>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</si>
  <si>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</si>
  <si>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</si>
  <si>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</si>
  <si>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</si>
  <si>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</si>
  <si>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</si>
  <si>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</si>
  <si>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</si>
  <si>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</si>
  <si>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</si>
  <si>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</si>
  <si>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</si>
  <si>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</si>
  <si>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</si>
  <si>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</si>
  <si>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</si>
  <si>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</si>
  <si>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</si>
  <si>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</si>
  <si>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</si>
  <si>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</si>
  <si>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</si>
  <si>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</si>
  <si>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</si>
  <si>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</si>
  <si>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</si>
  <si>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</si>
  <si>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</si>
  <si>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</si>
  <si>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</si>
  <si>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</si>
  <si>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</si>
  <si>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</si>
  <si>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</si>
  <si>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</si>
  <si>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</si>
  <si>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</si>
  <si>
    <t>Takeda</t>
    <phoneticPr fontId="1"/>
  </si>
  <si>
    <t>Acc</t>
    <phoneticPr fontId="1"/>
  </si>
  <si>
    <t>waiting</t>
    <phoneticPr fontId="1"/>
  </si>
  <si>
    <t>state1</t>
    <phoneticPr fontId="1"/>
  </si>
  <si>
    <t>ENG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</si>
</sst>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5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7" fillId="0" borderId="0" xfId="1" applyFont="1" applyAlignment="1">
      <alignment horizontal="center"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applyFont="1" applyProtection="1">
      <alignment vertical="center"/>
      <protection locked="0"/>
    </xf>
    <xf numFmtId="0" fontId="8" fillId="3" borderId="5" xfId="1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3" borderId="8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0DFF692-DB5B-405D-94F8-78B4902F1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legend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legend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legend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legend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legend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legend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192</v>
      </c>
      <c r="P1" s="138" t="s">
        <v>205</v>
      </c>
    </row>
    <row r="3" spans="1:16" ht="12" customHeight="1">
      <c r="P3" s="138" t="s">
        <v>204</v>
      </c>
    </row>
    <row r="4" spans="1:16" ht="12" customHeight="1">
      <c r="A4" s="138" t="s">
        <v>193</v>
      </c>
    </row>
    <row r="5" spans="1:16" ht="12" customHeight="1">
      <c r="A5" s="138" t="str">
        <f>"---------"</f>
        <v>---------</v>
      </c>
    </row>
    <row r="6" spans="1:16" ht="12" customHeight="1">
      <c r="A6" s="138" t="s">
        <v>194</v>
      </c>
    </row>
    <row r="7" spans="1:16" ht="12" customHeight="1">
      <c r="A7" s="138" t="s">
        <v>197</v>
      </c>
    </row>
    <row r="8" spans="1:16" ht="12" customHeight="1">
      <c r="P8" s="138" t="s">
        <v>289</v>
      </c>
    </row>
    <row r="10" spans="1:16" ht="12" customHeight="1">
      <c r="A10" s="138" t="s">
        <v>253</v>
      </c>
    </row>
    <row r="11" spans="1:16" ht="12" customHeight="1">
      <c r="A11" s="138" t="str">
        <f>"---------------"</f>
        <v>---------------</v>
      </c>
    </row>
    <row r="12" spans="1:16" ht="12" customHeight="1">
      <c r="A12" s="138" t="s">
        <v>278</v>
      </c>
      <c r="P12" s="138" t="s">
        <v>368</v>
      </c>
    </row>
    <row r="13" spans="1:16" ht="12" customHeight="1">
      <c r="A13" s="138" t="s">
        <v>279</v>
      </c>
    </row>
    <row r="18" spans="1:16" ht="12" customHeight="1">
      <c r="P18" s="138" t="s">
        <v>196</v>
      </c>
    </row>
    <row r="23" spans="1:16" ht="12" customHeight="1">
      <c r="A23" s="138" t="s">
        <v>268</v>
      </c>
    </row>
    <row r="24" spans="1:16" ht="12" customHeight="1">
      <c r="A24" s="138" t="s">
        <v>255</v>
      </c>
    </row>
    <row r="25" spans="1:16" ht="12" customHeight="1">
      <c r="A25" s="138" t="s">
        <v>256</v>
      </c>
    </row>
    <row r="26" spans="1:16" ht="12" customHeight="1">
      <c r="A26" s="138" t="s">
        <v>280</v>
      </c>
    </row>
    <row r="27" spans="1:16" ht="12" customHeight="1">
      <c r="A27" s="138" t="s">
        <v>257</v>
      </c>
    </row>
    <row r="28" spans="1:16" ht="12" customHeight="1">
      <c r="A28" s="138" t="s">
        <v>267</v>
      </c>
    </row>
    <row r="29" spans="1:16" ht="12" customHeight="1">
      <c r="A29" s="138" t="s">
        <v>258</v>
      </c>
    </row>
    <row r="30" spans="1:16" ht="12" customHeight="1">
      <c r="A30" s="138" t="s">
        <v>269</v>
      </c>
    </row>
    <row r="31" spans="1:16" ht="12" customHeight="1">
      <c r="A31" s="138" t="s">
        <v>259</v>
      </c>
    </row>
    <row r="32" spans="1:16" ht="12" customHeight="1">
      <c r="A32" s="138" t="s">
        <v>260</v>
      </c>
    </row>
    <row r="33" spans="1:18" ht="12" customHeight="1">
      <c r="A33" s="138" t="s">
        <v>281</v>
      </c>
      <c r="P33" s="138" t="s">
        <v>195</v>
      </c>
    </row>
    <row r="34" spans="1:18" ht="12" customHeight="1">
      <c r="A34" s="138" t="s">
        <v>258</v>
      </c>
      <c r="P34" s="138" t="s">
        <v>288</v>
      </c>
    </row>
    <row r="35" spans="1:18" ht="12" customHeight="1">
      <c r="A35" s="138" t="s">
        <v>282</v>
      </c>
      <c r="P35" s="138" t="s">
        <v>235</v>
      </c>
    </row>
    <row r="36" spans="1:18" ht="12" customHeight="1">
      <c r="A36" s="138" t="s">
        <v>261</v>
      </c>
    </row>
    <row r="37" spans="1:18" ht="12" customHeight="1">
      <c r="A37" s="138" t="s">
        <v>262</v>
      </c>
      <c r="P37" s="138" t="s">
        <v>198</v>
      </c>
    </row>
    <row r="38" spans="1:18" ht="12" customHeight="1">
      <c r="A38" s="138" t="s">
        <v>263</v>
      </c>
      <c r="P38" s="138" t="s">
        <v>199</v>
      </c>
    </row>
    <row r="39" spans="1:18" ht="12" customHeight="1">
      <c r="A39" s="138" t="s">
        <v>264</v>
      </c>
    </row>
    <row r="40" spans="1:18" ht="12" customHeight="1">
      <c r="A40" s="138" t="s">
        <v>274</v>
      </c>
      <c r="P40" s="138" t="s">
        <v>225</v>
      </c>
    </row>
    <row r="41" spans="1:18" ht="12" customHeight="1">
      <c r="A41" s="138" t="s">
        <v>275</v>
      </c>
      <c r="P41" s="138" t="s">
        <v>236</v>
      </c>
      <c r="R41" s="138" t="s">
        <v>234</v>
      </c>
    </row>
    <row r="42" spans="1:18" ht="12" customHeight="1">
      <c r="A42" s="138" t="s">
        <v>258</v>
      </c>
      <c r="P42" s="138" t="s">
        <v>237</v>
      </c>
      <c r="R42" s="138" t="s">
        <v>233</v>
      </c>
    </row>
    <row r="43" spans="1:18" ht="12" customHeight="1">
      <c r="A43" s="138" t="s">
        <v>270</v>
      </c>
    </row>
    <row r="44" spans="1:18" ht="12" customHeight="1">
      <c r="A44" s="138" t="s">
        <v>265</v>
      </c>
      <c r="P44" s="138" t="s">
        <v>203</v>
      </c>
    </row>
    <row r="45" spans="1:18" ht="12" customHeight="1">
      <c r="A45" s="138" t="s">
        <v>276</v>
      </c>
      <c r="P45" s="138" t="s">
        <v>238</v>
      </c>
    </row>
    <row r="46" spans="1:18" ht="12" customHeight="1">
      <c r="A46" s="138" t="s">
        <v>266</v>
      </c>
      <c r="R46" s="138" t="s">
        <v>243</v>
      </c>
    </row>
    <row r="47" spans="1:18" ht="12" customHeight="1">
      <c r="A47" s="138" t="s">
        <v>277</v>
      </c>
      <c r="P47" s="138" t="s">
        <v>239</v>
      </c>
    </row>
    <row r="48" spans="1:18" ht="12" customHeight="1">
      <c r="A48" s="138" t="s">
        <v>283</v>
      </c>
      <c r="R48" s="138" t="s">
        <v>244</v>
      </c>
    </row>
    <row r="49" spans="1:18" ht="12" customHeight="1">
      <c r="A49" s="138" t="s">
        <v>258</v>
      </c>
      <c r="P49" s="138" t="s">
        <v>240</v>
      </c>
    </row>
    <row r="50" spans="1:18" ht="12" customHeight="1">
      <c r="A50" s="138" t="s">
        <v>271</v>
      </c>
      <c r="R50" s="138" t="s">
        <v>245</v>
      </c>
    </row>
    <row r="51" spans="1:18" ht="12" customHeight="1">
      <c r="A51" s="138" t="s">
        <v>272</v>
      </c>
      <c r="P51" s="138" t="s">
        <v>241</v>
      </c>
    </row>
    <row r="52" spans="1:18" ht="12" customHeight="1">
      <c r="A52" s="138" t="s">
        <v>273</v>
      </c>
      <c r="R52" s="138" t="s">
        <v>246</v>
      </c>
    </row>
    <row r="53" spans="1:18" ht="12" customHeight="1">
      <c r="A53" s="138" t="s">
        <v>284</v>
      </c>
      <c r="P53" s="138" t="s">
        <v>242</v>
      </c>
    </row>
    <row r="54" spans="1:18" ht="12" customHeight="1">
      <c r="R54" s="138" t="s">
        <v>247</v>
      </c>
    </row>
    <row r="56" spans="1:18" ht="12" customHeight="1">
      <c r="P56" s="138" t="s">
        <v>226</v>
      </c>
    </row>
    <row r="57" spans="1:18" ht="12" customHeight="1">
      <c r="P57" s="138" t="s">
        <v>248</v>
      </c>
      <c r="R57" s="138" t="s">
        <v>227</v>
      </c>
    </row>
    <row r="58" spans="1:18" ht="12" customHeight="1">
      <c r="P58" s="138" t="s">
        <v>249</v>
      </c>
      <c r="R58" s="138" t="s">
        <v>228</v>
      </c>
    </row>
    <row r="59" spans="1:18" ht="12" customHeight="1">
      <c r="P59" s="138" t="s">
        <v>250</v>
      </c>
      <c r="R59" s="138" t="s">
        <v>229</v>
      </c>
    </row>
    <row r="60" spans="1:18" ht="12" customHeight="1">
      <c r="P60" s="138" t="s">
        <v>285</v>
      </c>
      <c r="R60" s="138" t="s">
        <v>230</v>
      </c>
    </row>
    <row r="61" spans="1:18" ht="12" customHeight="1">
      <c r="P61" s="138" t="s">
        <v>286</v>
      </c>
      <c r="R61" s="138" t="s">
        <v>287</v>
      </c>
    </row>
    <row r="62" spans="1:18" ht="12" customHeight="1">
      <c r="P62" s="138" t="s">
        <v>251</v>
      </c>
      <c r="R62" s="138" t="s">
        <v>231</v>
      </c>
    </row>
    <row r="63" spans="1:18" ht="12" customHeight="1">
      <c r="P63" s="138" t="s">
        <v>252</v>
      </c>
      <c r="R63" s="138" t="s">
        <v>232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tabSelected="1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338</v>
      </c>
      <c r="P1" s="138" t="s">
        <v>205</v>
      </c>
    </row>
    <row r="3" spans="1:16" ht="12" customHeight="1">
      <c r="P3" s="138" t="s">
        <v>290</v>
      </c>
    </row>
    <row r="4" spans="1:16" ht="12" customHeight="1">
      <c r="A4" s="138" t="s">
        <v>339</v>
      </c>
    </row>
    <row r="5" spans="1:16" ht="12" customHeight="1">
      <c r="A5" s="138" t="str">
        <f>"-----------------"</f>
        <v>-----------------</v>
      </c>
      <c r="P5" s="139" t="s">
        <v>373</v>
      </c>
    </row>
    <row r="6" spans="1:16" ht="12" customHeight="1">
      <c r="A6" s="138" t="s">
        <v>366</v>
      </c>
    </row>
    <row r="7" spans="1:16" ht="12" customHeight="1">
      <c r="A7" s="138" t="s">
        <v>340</v>
      </c>
    </row>
    <row r="8" spans="1:16" ht="12" customHeight="1">
      <c r="P8" s="138" t="s">
        <v>291</v>
      </c>
    </row>
    <row r="10" spans="1:16" ht="12" customHeight="1">
      <c r="A10" s="138" t="s">
        <v>367</v>
      </c>
    </row>
    <row r="11" spans="1:16" ht="12" customHeight="1">
      <c r="A11" s="138" t="str">
        <f>"-------------"</f>
        <v>-------------</v>
      </c>
    </row>
    <row r="12" spans="1:16" ht="12" customHeight="1">
      <c r="A12" s="138" t="s">
        <v>292</v>
      </c>
      <c r="P12" s="138" t="s">
        <v>368</v>
      </c>
    </row>
    <row r="13" spans="1:16" ht="12" customHeight="1">
      <c r="A13" s="138" t="s">
        <v>293</v>
      </c>
    </row>
    <row r="17" spans="1:16" ht="12" customHeight="1">
      <c r="P17" s="138" t="s">
        <v>294</v>
      </c>
    </row>
    <row r="23" spans="1:16" ht="12" customHeight="1">
      <c r="A23" s="138" t="s">
        <v>295</v>
      </c>
    </row>
    <row r="24" spans="1:16" ht="12" customHeight="1">
      <c r="A24" s="138" t="s">
        <v>296</v>
      </c>
    </row>
    <row r="25" spans="1:16" ht="12" customHeight="1">
      <c r="A25" s="138" t="s">
        <v>344</v>
      </c>
    </row>
    <row r="26" spans="1:16" ht="12" customHeight="1">
      <c r="A26" s="138" t="s">
        <v>345</v>
      </c>
    </row>
    <row r="27" spans="1:16" ht="12" customHeight="1">
      <c r="A27" s="138" t="s">
        <v>297</v>
      </c>
    </row>
    <row r="28" spans="1:16" ht="12" customHeight="1">
      <c r="A28" s="138" t="s">
        <v>298</v>
      </c>
    </row>
    <row r="29" spans="1:16" ht="12" customHeight="1">
      <c r="A29" s="138" t="s">
        <v>299</v>
      </c>
    </row>
    <row r="30" spans="1:16" ht="12" customHeight="1">
      <c r="A30" s="138" t="s">
        <v>300</v>
      </c>
    </row>
    <row r="31" spans="1:16" ht="12" customHeight="1">
      <c r="A31" s="138" t="s">
        <v>301</v>
      </c>
    </row>
    <row r="32" spans="1:16" ht="12" customHeight="1">
      <c r="A32" s="138" t="s">
        <v>303</v>
      </c>
    </row>
    <row r="33" spans="1:20" ht="12" customHeight="1">
      <c r="A33" s="138" t="s">
        <v>304</v>
      </c>
      <c r="P33" s="138" t="s">
        <v>302</v>
      </c>
    </row>
    <row r="34" spans="1:20" ht="12" customHeight="1">
      <c r="A34" s="138" t="s">
        <v>305</v>
      </c>
      <c r="P34" s="138" t="s">
        <v>348</v>
      </c>
      <c r="S34" s="138" t="s">
        <v>349</v>
      </c>
    </row>
    <row r="35" spans="1:20" ht="12" customHeight="1">
      <c r="A35" s="138" t="s">
        <v>300</v>
      </c>
      <c r="P35" s="138" t="s">
        <v>346</v>
      </c>
      <c r="S35" s="138" t="s">
        <v>347</v>
      </c>
    </row>
    <row r="36" spans="1:20" ht="12" customHeight="1">
      <c r="A36" s="138" t="s">
        <v>341</v>
      </c>
    </row>
    <row r="37" spans="1:20" ht="12" customHeight="1">
      <c r="A37" s="138" t="s">
        <v>308</v>
      </c>
      <c r="P37" s="138" t="s">
        <v>306</v>
      </c>
    </row>
    <row r="38" spans="1:20" ht="12" customHeight="1">
      <c r="A38" s="138" t="s">
        <v>309</v>
      </c>
      <c r="P38" s="138" t="s">
        <v>307</v>
      </c>
    </row>
    <row r="39" spans="1:20" ht="12" customHeight="1">
      <c r="A39" s="138" t="s">
        <v>311</v>
      </c>
    </row>
    <row r="40" spans="1:20" ht="12" customHeight="1">
      <c r="A40" s="138" t="s">
        <v>314</v>
      </c>
      <c r="P40" s="138" t="s">
        <v>310</v>
      </c>
    </row>
    <row r="41" spans="1:20" ht="12" customHeight="1">
      <c r="A41" s="138" t="s">
        <v>342</v>
      </c>
      <c r="P41" s="138" t="s">
        <v>312</v>
      </c>
      <c r="T41" s="138" t="s">
        <v>313</v>
      </c>
    </row>
    <row r="42" spans="1:20" ht="12" customHeight="1">
      <c r="A42" s="138" t="s">
        <v>343</v>
      </c>
      <c r="P42" s="138" t="s">
        <v>315</v>
      </c>
      <c r="T42" s="138" t="s">
        <v>316</v>
      </c>
    </row>
    <row r="43" spans="1:20" ht="12" customHeight="1">
      <c r="A43" s="138" t="s">
        <v>317</v>
      </c>
    </row>
    <row r="44" spans="1:20" ht="12" customHeight="1">
      <c r="A44" s="138" t="s">
        <v>300</v>
      </c>
      <c r="P44" s="138" t="s">
        <v>318</v>
      </c>
    </row>
    <row r="45" spans="1:20" ht="12" customHeight="1">
      <c r="A45" s="138" t="s">
        <v>319</v>
      </c>
      <c r="P45" s="138" t="s">
        <v>350</v>
      </c>
    </row>
    <row r="46" spans="1:20" ht="12" customHeight="1">
      <c r="A46" s="138" t="s">
        <v>320</v>
      </c>
      <c r="Q46" s="138" t="s">
        <v>354</v>
      </c>
    </row>
    <row r="47" spans="1:20" ht="12" customHeight="1">
      <c r="A47" s="138" t="s">
        <v>321</v>
      </c>
      <c r="P47" s="138" t="s">
        <v>351</v>
      </c>
    </row>
    <row r="48" spans="1:20" ht="12" customHeight="1">
      <c r="A48" s="138" t="s">
        <v>322</v>
      </c>
      <c r="Q48" s="138" t="s">
        <v>357</v>
      </c>
    </row>
    <row r="49" spans="1:18" ht="12" customHeight="1">
      <c r="A49" s="138" t="s">
        <v>323</v>
      </c>
      <c r="P49" s="138" t="s">
        <v>352</v>
      </c>
    </row>
    <row r="50" spans="1:18" ht="12" customHeight="1">
      <c r="A50" s="138" t="s">
        <v>324</v>
      </c>
      <c r="Q50" s="138" t="s">
        <v>355</v>
      </c>
    </row>
    <row r="51" spans="1:18" ht="12" customHeight="1">
      <c r="A51" s="138" t="s">
        <v>300</v>
      </c>
      <c r="P51" s="138" t="s">
        <v>353</v>
      </c>
    </row>
    <row r="52" spans="1:18" ht="12" customHeight="1">
      <c r="A52" s="138" t="s">
        <v>325</v>
      </c>
      <c r="Q52" s="138" t="s">
        <v>356</v>
      </c>
    </row>
    <row r="53" spans="1:18" ht="12" customHeight="1">
      <c r="A53" s="138" t="s">
        <v>326</v>
      </c>
      <c r="P53" s="138" t="s">
        <v>358</v>
      </c>
    </row>
    <row r="54" spans="1:18" ht="12" customHeight="1">
      <c r="A54" s="138" t="s">
        <v>328</v>
      </c>
      <c r="Q54" s="138" t="s">
        <v>327</v>
      </c>
    </row>
    <row r="55" spans="1:18" ht="12" customHeight="1">
      <c r="A55" s="138" t="s">
        <v>329</v>
      </c>
    </row>
    <row r="56" spans="1:18" ht="12" customHeight="1">
      <c r="P56" s="138" t="s">
        <v>330</v>
      </c>
    </row>
    <row r="57" spans="1:18" ht="12" customHeight="1">
      <c r="P57" s="138" t="s">
        <v>331</v>
      </c>
      <c r="R57" s="138" t="s">
        <v>359</v>
      </c>
    </row>
    <row r="58" spans="1:18" ht="12" customHeight="1">
      <c r="P58" s="138" t="s">
        <v>332</v>
      </c>
      <c r="R58" s="138" t="s">
        <v>360</v>
      </c>
    </row>
    <row r="59" spans="1:18" ht="12" customHeight="1">
      <c r="P59" s="138" t="s">
        <v>333</v>
      </c>
      <c r="R59" s="138" t="s">
        <v>361</v>
      </c>
    </row>
    <row r="60" spans="1:18" ht="12" customHeight="1">
      <c r="P60" s="138" t="s">
        <v>334</v>
      </c>
      <c r="R60" s="138" t="s">
        <v>362</v>
      </c>
    </row>
    <row r="61" spans="1:18" ht="12" customHeight="1">
      <c r="P61" s="138" t="s">
        <v>335</v>
      </c>
      <c r="R61" s="138" t="s">
        <v>363</v>
      </c>
    </row>
    <row r="62" spans="1:18" ht="12" customHeight="1">
      <c r="P62" s="138" t="s">
        <v>336</v>
      </c>
      <c r="R62" s="138" t="s">
        <v>364</v>
      </c>
    </row>
    <row r="63" spans="1:18" ht="12" customHeight="1">
      <c r="P63" s="138" t="s">
        <v>337</v>
      </c>
      <c r="R63" s="138" t="s">
        <v>365</v>
      </c>
    </row>
  </sheetData>
  <sheetProtection algorithmName="SHA-512" hashValue="p5ODwV9lyT+bUVfRvbv95Pb4Ox2mWQlQqzSTo2t5o9yHm2ED3IGdjOUEIbbOzKq8275xfZS1Fb+jvwlikHsjHQ==" saltValue="/X2zlCde1NVftQs7MBATL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V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22" s="1" customFormat="1" ht="9.75" customHeight="1">
      <c r="D1" s="2" t="s">
        <v>213</v>
      </c>
      <c r="E1" s="2" t="s">
        <v>214</v>
      </c>
      <c r="F1" s="146" t="s">
        <v>254</v>
      </c>
      <c r="G1" s="146"/>
      <c r="H1" s="146"/>
      <c r="I1" s="146"/>
      <c r="J1" s="146" t="s">
        <v>216</v>
      </c>
      <c r="K1" s="146"/>
      <c r="L1" s="146"/>
      <c r="M1" s="146"/>
      <c r="N1" s="146" t="s">
        <v>217</v>
      </c>
      <c r="O1" s="146"/>
      <c r="P1" s="146"/>
      <c r="Q1" s="146"/>
    </row>
    <row r="2" spans="3:22" s="1" customFormat="1" ht="9.75" customHeight="1">
      <c r="D2" s="4" t="s">
        <v>0</v>
      </c>
      <c r="E2" s="4" t="s">
        <v>1</v>
      </c>
      <c r="F2" s="3" t="s">
        <v>215</v>
      </c>
      <c r="G2" s="3" t="s">
        <v>3</v>
      </c>
      <c r="H2" s="3" t="s">
        <v>4</v>
      </c>
      <c r="I2" s="3" t="s">
        <v>5</v>
      </c>
      <c r="J2" s="3" t="s">
        <v>215</v>
      </c>
      <c r="K2" s="3" t="s">
        <v>3</v>
      </c>
      <c r="L2" s="3" t="s">
        <v>4</v>
      </c>
      <c r="M2" s="3" t="s">
        <v>5</v>
      </c>
      <c r="N2" s="3" t="s">
        <v>215</v>
      </c>
      <c r="O2" s="3" t="s">
        <v>3</v>
      </c>
      <c r="P2" s="3" t="s">
        <v>4</v>
      </c>
      <c r="Q2" s="3" t="s">
        <v>5</v>
      </c>
      <c r="S2" s="3" t="s">
        <v>9</v>
      </c>
    </row>
    <row r="3" spans="3:22" s="1" customFormat="1" ht="9.75" customHeight="1">
      <c r="C3" s="5" t="str">
        <f>IF(Overview!P5="JPN","最上階","Top")&amp;"→"</f>
        <v>Top→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4" t="s">
        <v>10</v>
      </c>
      <c r="U3" s="145"/>
    </row>
    <row r="4" spans="3:22" s="1" customFormat="1" ht="9.75" customHeight="1">
      <c r="C4" s="5" t="str">
        <f>IF(COUNT(S3:S6)=4,IF(COUNTBLANK(D4:Q4)=14,IF(Overview!P5="JPN","免震層","IsoLyr")&amp;"→","･"),"･")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4" t="s">
        <v>11</v>
      </c>
      <c r="U4" s="145"/>
    </row>
    <row r="5" spans="3:22" s="1" customFormat="1" ht="9.75" customHeight="1">
      <c r="C5" s="5" t="str">
        <f>IF(COUNTIF(C$4:C4,IF(Overview!P$5="JPN","免震層","IsoLyr")&amp;"→")=0,IF(COUNT(S$3:S$6)=4,IF(COUNTBLANK(D5:Q5)=14,IF(Overview!P$5="JPN","免震層","IsoLyr")&amp;"→","･"),"･"),"･")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4" t="s">
        <v>12</v>
      </c>
      <c r="U5" s="145"/>
    </row>
    <row r="6" spans="3:22" s="1" customFormat="1" ht="9.75" customHeight="1">
      <c r="C6" s="5" t="str">
        <f>IF(COUNTIF(C$4:C5,IF(Overview!P$5="JPN","免震層","IsoLyr")&amp;"→")=0,IF(COUNT(S$3:S$6)=4,IF(COUNTBLANK(D6:Q6)=14,IF(Overview!P$5="JPN","免震層","IsoLyr")&amp;"→","･"),"･"),"･")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4" t="s">
        <v>13</v>
      </c>
      <c r="U6" s="145"/>
    </row>
    <row r="7" spans="3:22" s="1" customFormat="1" ht="9.75" customHeight="1">
      <c r="C7" s="5" t="str">
        <f>IF(COUNTIF(C$4:C6,IF(Overview!P$5="JPN","免震層","IsoLyr")&amp;"→")=0,IF(COUNT(S$3:S$6)=4,IF(COUNTBLANK(D7:Q7)=14,IF(Overview!P$5="JPN","免震層","IsoLyr")&amp;"→","･"),"･"),"･")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</row>
    <row r="8" spans="3:22" s="1" customFormat="1" ht="9.75" customHeight="1">
      <c r="C8" s="5" t="str">
        <f>IF(COUNTIF(C$4:C7,IF(Overview!P$5="JPN","免震層","IsoLyr")&amp;"→")=0,IF(COUNT(S$3:S$6)=4,IF(COUNTBLANK(D8:Q8)=14,IF(Overview!P$5="JPN","免震層","IsoLyr")&amp;"→","･"),"･"),"･")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14</v>
      </c>
    </row>
    <row r="9" spans="3:22" s="1" customFormat="1" ht="9.75" customHeight="1">
      <c r="C9" s="5" t="str">
        <f>IF(COUNTIF(C$4:C8,IF(Overview!P$5="JPN","免震層","IsoLyr")&amp;"→")=0,IF(COUNT(S$3:S$6)=4,IF(COUNTBLANK(D9:Q9)=14,IF(Overview!P$5="JPN","免震層","IsoLyr")&amp;"→","･"),"･"),"･")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40"/>
      <c r="T9" s="144" t="s">
        <v>10</v>
      </c>
      <c r="U9" s="145"/>
    </row>
    <row r="10" spans="3:22" s="1" customFormat="1" ht="9.75" customHeight="1">
      <c r="C10" s="5" t="str">
        <f>IF(COUNTIF(C$4:C9,IF(Overview!P$5="JPN","免震層","IsoLyr")&amp;"→")=0,IF(COUNT(S$3:S$6)=4,IF(COUNTBLANK(D10:Q10)=14,IF(Overview!P$5="JPN","免震層","IsoLyr")&amp;"→","･"),"･"),"･")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41"/>
      <c r="T10" s="144" t="s">
        <v>15</v>
      </c>
      <c r="U10" s="145"/>
    </row>
    <row r="11" spans="3:22" s="1" customFormat="1" ht="9.75" customHeight="1">
      <c r="C11" s="5" t="str">
        <f>IF(COUNTIF(C$4:C10,IF(Overview!P$5="JPN","免震層","IsoLyr")&amp;"→")=0,IF(COUNT(S$3:S$6)=4,IF(COUNTBLANK(D11:Q11)=14,IF(Overview!P$5="JPN","免震層","IsoLyr")&amp;"→","･"),"･"),"･")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42"/>
      <c r="T11" s="144" t="s">
        <v>16</v>
      </c>
      <c r="U11" s="145"/>
      <c r="V11" s="145"/>
    </row>
    <row r="12" spans="3:22" s="1" customFormat="1" ht="9.75" customHeight="1">
      <c r="C12" s="5" t="str">
        <f>IF(COUNTIF(C$4:C11,IF(Overview!P$5="JPN","免震層","IsoLyr")&amp;"→")=0,IF(COUNT(S$3:S$6)=4,IF(COUNTBLANK(D12:Q12)=14,IF(Overview!P$5="JPN","免震層","IsoLyr")&amp;"→","･"),"･"),"･")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</row>
    <row r="13" spans="3:22" s="1" customFormat="1" ht="9.75" customHeight="1">
      <c r="C13" s="5" t="str">
        <f>IF(COUNTIF(C$4:C12,IF(Overview!P$5="JPN","免震層","IsoLyr")&amp;"→")=0,IF(COUNT(S$3:S$6)=4,IF(COUNTBLANK(D13:Q13)=14,IF(Overview!P$5="JPN","免震層","IsoLyr")&amp;"→","･"),"･"),"･")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17</v>
      </c>
    </row>
    <row r="14" spans="3:22" s="1" customFormat="1" ht="9.75" customHeight="1">
      <c r="C14" s="5" t="str">
        <f>IF(COUNTIF(C$4:C13,IF(Overview!P$5="JPN","免震層","IsoLyr")&amp;"→")=0,IF(COUNT(S$3:S$6)=4,IF(COUNTBLANK(D14:Q14)=14,IF(Overview!P$5="JPN","免震層","IsoLyr")&amp;"→","･"),"･"),"･")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40"/>
      <c r="T14" s="144" t="s">
        <v>18</v>
      </c>
      <c r="U14" s="145"/>
      <c r="V14" s="145"/>
    </row>
    <row r="15" spans="3:22" s="1" customFormat="1" ht="9.75" customHeight="1">
      <c r="C15" s="5" t="str">
        <f>IF(COUNTIF(C$4:C14,IF(Overview!P$5="JPN","免震層","IsoLyr")&amp;"→")=0,IF(COUNT(S$3:S$6)=4,IF(COUNTBLANK(D15:Q15)=14,IF(Overview!P$5="JPN","免震層","IsoLyr")&amp;"→","･"),"･"),"･")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41"/>
      <c r="T15" s="144" t="s">
        <v>19</v>
      </c>
      <c r="U15" s="145"/>
    </row>
    <row r="16" spans="3:22" s="1" customFormat="1" ht="9.75" customHeight="1">
      <c r="C16" s="5" t="str">
        <f>IF(COUNTIF(C$4:C15,IF(Overview!P$5="JPN","免震層","IsoLyr")&amp;"→")=0,IF(COUNT(S$3:S$6)=4,IF(COUNTBLANK(D16:Q16)=14,IF(Overview!P$5="JPN","免震層","IsoLyr")&amp;"→","･"),"･"),"･")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42"/>
      <c r="T16" s="144" t="s">
        <v>20</v>
      </c>
      <c r="U16" s="145"/>
      <c r="V16" s="145"/>
    </row>
    <row r="17" spans="3:22" s="1" customFormat="1" ht="9.75" customHeight="1">
      <c r="C17" s="5" t="str">
        <f>IF(COUNTIF(C$4:C16,IF(Overview!P$5="JPN","免震層","IsoLyr")&amp;"→")=0,IF(COUNT(S$3:S$6)=4,IF(COUNTBLANK(D17:Q17)=14,IF(Overview!P$5="JPN","免震層","IsoLyr")&amp;"→","･"),"･"),"･")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</row>
    <row r="18" spans="3:22" s="1" customFormat="1" ht="9.75" customHeight="1">
      <c r="C18" s="5" t="str">
        <f>IF(COUNTIF(C$4:C17,IF(Overview!P$5="JPN","免震層","IsoLyr")&amp;"→")=0,IF(COUNT(S$3:S$6)=4,IF(COUNTBLANK(D18:Q18)=14,IF(Overview!P$5="JPN","免震層","IsoLyr")&amp;"→","･"),"･"),"･")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21</v>
      </c>
    </row>
    <row r="19" spans="3:22" s="1" customFormat="1" ht="9.75" customHeight="1">
      <c r="C19" s="5" t="str">
        <f>IF(COUNTIF(C$4:C18,IF(Overview!P$5="JPN","免震層","IsoLyr")&amp;"→")=0,IF(COUNT(S$3:S$6)=4,IF(COUNTBLANK(D19:Q19)=14,IF(Overview!P$5="JPN","免震層","IsoLyr")&amp;"→","･"),"･"),"･")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22</v>
      </c>
    </row>
    <row r="20" spans="3:22" s="1" customFormat="1" ht="9.75" customHeight="1">
      <c r="C20" s="5" t="str">
        <f>IF(COUNTIF(C$4:C19,IF(Overview!P$5="JPN","免震層","IsoLyr")&amp;"→")=0,IF(COUNT(S$3:S$6)=4,IF(COUNTBLANK(D20:Q20)=14,IF(Overview!P$5="JPN","免震層","IsoLyr")&amp;"→","･"),"･"),"･")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23</v>
      </c>
    </row>
    <row r="21" spans="3:22" s="1" customFormat="1" ht="9.75" customHeight="1">
      <c r="C21" s="5" t="str">
        <f>IF(COUNTIF(C$4:C20,IF(Overview!P$5="JPN","免震層","IsoLyr")&amp;"→")=0,IF(COUNT(S$3:S$6)=4,IF(COUNTBLANK(D21:Q21)=14,IF(Overview!P$5="JPN","免震層","IsoLyr")&amp;"→","･"),"･"),"･")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</row>
    <row r="22" spans="3:22" s="1" customFormat="1" ht="9.75" customHeight="1">
      <c r="C22" s="5" t="str">
        <f>IF(COUNTIF(C$4:C21,IF(Overview!P$5="JPN","免震層","IsoLyr")&amp;"→")=0,IF(COUNT(S$3:S$6)=4,IF(COUNTBLANK(D22:Q22)=14,IF(Overview!P$5="JPN","免震層","IsoLyr")&amp;"→","･"),"･"),"･")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IF(COUNT(D3:Q52)=0,IF(Overview!P5="JPN","なし","none"),IF(COUNTIF(F53:Q54,"×")&gt;0,IF(Overview!P5="JPN","未定","unfixed"),IF(OR(
AND(S18=IF(Overview!P5="JPN","レーリー型","Rayleigh"),COUNTIF(S19:S20,"&gt;0")=2),
AND(S18=IF(Overview!P5="JPN","質量比例","MassProp"),OR(ISNUMBER(S19),MID(S19,5,1)="/")),
AND(S18=IF(Overview!P5="JPN","剛性比例","StifProp"),OR(ISNUMBER(S19),MID(S19,5,1)="/"))),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IF(N53="○",IF(COUNTIF(S3:S6,"&gt;0")=4,IF(COUNTIF(S9:S11,"&gt;0")+COUNTIF(S14:S16,"&gt;0")=6,"BS+I+SR","BS+I"),IF(COUNTIF(S9:S11,"&gt;0")+COUNTIF(S14:S16,"&gt;0")=6,"BS+SR","BS")),IF(Overview!P5="JPN","未定","unfixed")))))),IF(Overview!P5="JPN","未定","unfixed"))))</f>
        <v>none</v>
      </c>
      <c r="T22" s="1" t="s">
        <v>24</v>
      </c>
    </row>
    <row r="23" spans="3:22" s="1" customFormat="1" ht="9.75" customHeight="1">
      <c r="C23" s="5" t="str">
        <f>IF(COUNTIF(C$4:C22,IF(Overview!P$5="JPN","免震層","IsoLyr")&amp;"→")=0,IF(COUNT(S$3:S$6)=4,IF(COUNTBLANK(D23:Q23)=14,IF(Overview!P$5="JPN","免震層","IsoLyr")&amp;"→","･"),"･"),"･")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IF(OR(S22="S",S22="S+I",S22="S+SR",S22="S+I+SR"),IF(F53="○",IF(Overview!P5="JPN","実行可","ready"),"・"),
IF(OR(S22="BS",S22="BS+I",S22="BS+SR",S22="BS+I+SR"),IF(N53="○",IF(Overview!P5="JPN","実行可","ready"),"・"),
IF(S22="S+I+S",IF(F53="◎",IF(Overview!P5="JPN","実行可","ready"),"・"),
IF(S22="BS+I+S",IF(AND(N53="○",F54="○"),IF(Overview!P5="JPN","実行可","ready"),"・"),"・"))))</f>
        <v>・</v>
      </c>
      <c r="T23" s="1" t="s">
        <v>25</v>
      </c>
    </row>
    <row r="24" spans="3:22" s="1" customFormat="1" ht="9.75" customHeight="1">
      <c r="C24" s="5" t="str">
        <f>IF(COUNTIF(C$4:C23,IF(Overview!P$5="JPN","免震層","IsoLyr")&amp;"→")=0,IF(COUNT(S$3:S$6)=4,IF(COUNTBLANK(D24:Q24)=14,IF(Overview!P$5="JPN","免震層","IsoLyr")&amp;"→","･"),"･"),"･")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IF(OR(S22="S",S22="S+I",S22="S+SR",S22="S+I+SR"),IF(G53="○",IF(Overview!P5="JPN","実行可","ready"),"・"),
IF(OR(S22="BS",S22="BS+I",S22="BS+SR",S22="BS+I+SR"),IF(O53="○",IF(Overview!P5="JPN","実行可","ready"),"・"),
IF(S22="S+I+S",IF(G53="◎",IF(Overview!P5="JPN","実行可","ready"),"・"),
IF(S22="BS+I+S",IF(AND(O53="○",G54="○"),IF(Overview!P5="JPN","実行可","ready"),"・"),"・"))))</f>
        <v>・</v>
      </c>
      <c r="T24" s="1" t="s">
        <v>26</v>
      </c>
    </row>
    <row r="25" spans="3:22" s="1" customFormat="1" ht="9.75" customHeight="1">
      <c r="C25" s="5" t="str">
        <f>IF(COUNTIF(C$4:C24,IF(Overview!P$5="JPN","免震層","IsoLyr")&amp;"→")=0,IF(COUNT(S$3:S$6)=4,IF(COUNTBLANK(D25:Q25)=14,IF(Overview!P$5="JPN","免震層","IsoLyr")&amp;"→","･"),"･"),"･")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IF(OR(S22="S",S22="S+I",S22="S+SR",S22="S+I+SR"),IF(H53="○",IF(Overview!P5="JPN","実行可","ready"),"・"),
IF(OR(S22="BS",S22="BS+I",S22="BS+SR",S22="BS+I+SR"),IF(P53="○",IF(Overview!P5="JPN","実行可","ready"),"・"),
IF(S22="S+I+S",IF(H53="◎",IF(Overview!P5="JPN","実行可","ready"),"・"),
IF(S22="BS+I+S",IF(AND(P53="○",H54="○"),IF(Overview!P5="JPN","実行可","ready"),"・"),"・"))))</f>
        <v>・</v>
      </c>
      <c r="T25" s="1" t="s">
        <v>27</v>
      </c>
    </row>
    <row r="26" spans="3:22" s="1" customFormat="1" ht="9.75" customHeight="1">
      <c r="C26" s="5" t="str">
        <f>IF(COUNTIF(C$4:C25,IF(Overview!P$5="JPN","免震層","IsoLyr")&amp;"→")=0,IF(COUNT(S$3:S$6)=4,IF(COUNTBLANK(D26:Q26)=14,IF(Overview!P$5="JPN","免震層","IsoLyr")&amp;"→","･"),"･"),"･")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IF(OR(S22="S",S22="S+I",S22="S+SR",S22="S+I+SR"),IF(I53="○",IF(Overview!P5="JPN","実行可","ready"),"・"),
IF(OR(S22="BS",S22="BS+I",S22="BS+SR",S22="BS+I+SR"),IF(Q53="○",IF(Overview!P5="JPN","実行可","ready"),"・"),
IF(S22="S+I+S",IF(I53="◎",IF(Overview!P5="JPN","実行可","ready"),"・"),
IF(S22="BS+I+S",IF(AND(Q53="○",I54="○"),IF(Overview!P5="JPN","実行可","ready"),"・"),"・"))))</f>
        <v>・</v>
      </c>
      <c r="T26" s="1" t="s">
        <v>28</v>
      </c>
    </row>
    <row r="27" spans="3:22" s="1" customFormat="1" ht="9.75" customHeight="1">
      <c r="C27" s="5" t="str">
        <f>IF(COUNTIF(C$4:C26,IF(Overview!P$5="JPN","免震層","IsoLyr")&amp;"→")=0,IF(COUNT(S$3:S$6)=4,IF(COUNTBLANK(D27:Q27)=14,IF(Overview!P$5="JPN","免震層","IsoLyr")&amp;"→","･"),"･"),"･")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</row>
    <row r="28" spans="3:22" s="1" customFormat="1" ht="9.75" customHeight="1">
      <c r="C28" s="5" t="str">
        <f>IF(COUNTIF(C$4:C27,IF(Overview!P$5="JPN","免震層","IsoLyr")&amp;"→")=0,IF(COUNT(S$3:S$6)=4,IF(COUNTBLANK(D28:Q28)=14,IF(Overview!P$5="JPN","免震層","IsoLyr")&amp;"→","･"),"･"),"･")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</row>
    <row r="29" spans="3:22" s="1" customFormat="1" ht="9.75" customHeight="1">
      <c r="C29" s="5" t="str">
        <f>IF(COUNTIF(C$4:C28,IF(Overview!P$5="JPN","免震層","IsoLyr")&amp;"→")=0,IF(COUNT(S$3:S$6)=4,IF(COUNTBLANK(D29:Q29)=14,IF(Overview!P$5="JPN","免震層","IsoLyr")&amp;"→","･"),"･"),"･")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</row>
    <row r="30" spans="3:22" s="1" customFormat="1" ht="9.75" customHeight="1">
      <c r="C30" s="5" t="str">
        <f>IF(COUNTIF(C$4:C29,IF(Overview!P$5="JPN","免震層","IsoLyr")&amp;"→")=0,IF(COUNT(S$3:S$6)=4,IF(COUNTBLANK(D30:Q30)=14,IF(Overview!P$5="JPN","免震層","IsoLyr")&amp;"→","･"),"･"),"･")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</row>
    <row r="31" spans="3:22" s="1" customFormat="1" ht="9.75" customHeight="1">
      <c r="C31" s="5" t="str">
        <f>IF(COUNTIF(C$4:C30,IF(Overview!P$5="JPN","免震層","IsoLyr")&amp;"→")=0,IF(COUNT(S$3:S$6)=4,IF(COUNTBLANK(D31:Q31)=14,IF(Overview!P$5="JPN","免震層","IsoLyr")&amp;"→","･"),"･"),"･")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</row>
    <row r="32" spans="3:22" s="1" customFormat="1" ht="9.75" customHeight="1">
      <c r="C32" s="5" t="str">
        <f>IF(COUNTIF(C$4:C31,IF(Overview!P$5="JPN","免震層","IsoLyr")&amp;"→")=0,IF(COUNT(S$3:S$6)=4,IF(COUNTBLANK(D32:Q32)=14,IF(Overview!P$5="JPN","免震層","IsoLyr")&amp;"→","･"),"･"),"･")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</row>
    <row r="33" spans="1:22" s="1" customFormat="1" ht="9.75" customHeight="1">
      <c r="C33" s="5" t="str">
        <f>IF(COUNTIF(C$4:C32,IF(Overview!P$5="JPN","免震層","IsoLyr")&amp;"→")=0,IF(COUNT(S$3:S$6)=4,IF(COUNTBLANK(D33:Q33)=14,IF(Overview!P$5="JPN","免震層","IsoLyr")&amp;"→","･"),"･"),"･")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</row>
    <row r="34" spans="1:22" s="1" customFormat="1" ht="9.75" customHeight="1">
      <c r="C34" s="5" t="str">
        <f>IF(COUNTIF(C$4:C33,IF(Overview!P$5="JPN","免震層","IsoLyr")&amp;"→")=0,IF(COUNT(S$3:S$6)=4,IF(COUNTBLANK(D34:Q34)=14,IF(Overview!P$5="JPN","免震層","IsoLyr")&amp;"→","･"),"･"),"･")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</row>
    <row r="35" spans="1:22" s="1" customFormat="1" ht="9.75" customHeight="1">
      <c r="C35" s="5" t="str">
        <f>IF(COUNTIF(C$4:C34,IF(Overview!P$5="JPN","免震層","IsoLyr")&amp;"→")=0,IF(COUNT(S$3:S$6)=4,IF(COUNTBLANK(D35:Q35)=14,IF(Overview!P$5="JPN","免震層","IsoLyr")&amp;"→","･"),"･"),"･")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</row>
    <row r="36" spans="1:22" s="1" customFormat="1" ht="9.75" customHeight="1">
      <c r="C36" s="5" t="str">
        <f>IF(COUNTIF(C$4:C35,IF(Overview!P$5="JPN","免震層","IsoLyr")&amp;"→")=0,IF(COUNT(S$3:S$6)=4,IF(COUNTBLANK(D36:Q36)=14,IF(Overview!P$5="JPN","免震層","IsoLyr")&amp;"→","･"),"･"),"･")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</row>
    <row r="37" spans="1:22" s="1" customFormat="1" ht="9.75" customHeight="1">
      <c r="C37" s="5" t="str">
        <f>IF(COUNTIF(C$4:C36,IF(Overview!P$5="JPN","免震層","IsoLyr")&amp;"→")=0,IF(COUNT(S$3:S$6)=4,IF(COUNTBLANK(D37:Q37)=14,IF(Overview!P$5="JPN","免震層","IsoLyr")&amp;"→","･"),"･"),"･")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</row>
    <row r="38" spans="1:22" s="1" customFormat="1" ht="9.75" customHeight="1">
      <c r="C38" s="5" t="str">
        <f>IF(COUNTIF(C$4:C37,IF(Overview!P$5="JPN","免震層","IsoLyr")&amp;"→")=0,IF(COUNT(S$3:S$6)=4,IF(COUNTBLANK(D38:Q38)=14,IF(Overview!P$5="JPN","免震層","IsoLyr")&amp;"→","･"),"･"),"･")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</row>
    <row r="39" spans="1:22" s="1" customFormat="1" ht="9.75" customHeight="1">
      <c r="A39" s="147" t="s">
        <v>29</v>
      </c>
      <c r="B39" s="147" t="s">
        <v>30</v>
      </c>
      <c r="C39" s="5" t="str">
        <f>IF(COUNTIF(C$4:C38,IF(Overview!P$5="JPN","免震層","IsoLyr")&amp;"→")=0,IF(COUNT(S$3:S$6)=4,IF(COUNTBLANK(D39:Q39)=14,IF(Overview!P$5="JPN","免震層","IsoLyr")&amp;"→","･"),"･"),"･")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</row>
    <row r="40" spans="1:22" s="1" customFormat="1" ht="9.75" customHeight="1">
      <c r="A40" s="147"/>
      <c r="B40" s="147"/>
      <c r="C40" s="5" t="str">
        <f>IF(COUNTIF(C$4:C39,IF(Overview!P$5="JPN","免震層","IsoLyr")&amp;"→")=0,IF(COUNT(S$3:S$6)=4,IF(COUNTBLANK(D40:Q40)=14,IF(Overview!P$5="JPN","免震層","IsoLyr")&amp;"→","･"),"･"),"･")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</row>
    <row r="41" spans="1:22" s="1" customFormat="1" ht="9.75" customHeight="1">
      <c r="C41" s="5" t="str">
        <f>IF(COUNTIF(C$4:C40,IF(Overview!P$5="JPN","免震層","IsoLyr")&amp;"→")=0,IF(COUNT(S$3:S$6)=4,IF(COUNTBLANK(D41:Q41)=14,IF(Overview!P$5="JPN","免震層","IsoLyr")&amp;"→","･"),"･"),"･")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</row>
    <row r="42" spans="1:22" s="1" customFormat="1" ht="9.75" customHeight="1">
      <c r="C42" s="5" t="str">
        <f>IF(COUNTIF(C$4:C41,IF(Overview!P$5="JPN","免震層","IsoLyr")&amp;"→")=0,IF(COUNT(S$3:S$6)=4,IF(COUNTBLANK(D42:Q42)=14,IF(Overview!P$5="JPN","免震層","IsoLyr")&amp;"→","･"),"･"),"･")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</row>
    <row r="43" spans="1:22" s="1" customFormat="1" ht="9.75" customHeight="1">
      <c r="C43" s="5" t="str">
        <f>IF(COUNTIF(C$4:C42,IF(Overview!P$5="JPN","免震層","IsoLyr")&amp;"→")=0,IF(COUNT(S$3:S$6)=4,IF(COUNTBLANK(D43:Q43)=14,IF(Overview!P$5="JPN","免震層","IsoLyr")&amp;"→","･"),"･"),"･")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</row>
    <row r="44" spans="1:22" s="1" customFormat="1" ht="9.75" customHeight="1">
      <c r="C44" s="5" t="str">
        <f>IF(COUNTIF(C$4:C43,IF(Overview!P$5="JPN","免震層","IsoLyr")&amp;"→")=0,IF(COUNT(S$3:S$6)=4,IF(COUNTBLANK(D44:Q44)=14,IF(Overview!P$5="JPN","免震層","IsoLyr")&amp;"→","･"),"･"),"･")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</row>
    <row r="45" spans="1:22" s="1" customFormat="1" ht="9.75" customHeight="1">
      <c r="C45" s="5" t="str">
        <f>IF(COUNTIF(C$4:C44,IF(Overview!P$5="JPN","免震層","IsoLyr")&amp;"→")=0,IF(COUNT(S$3:S$6)=4,IF(COUNTBLANK(D45:Q45)=14,IF(Overview!P$5="JPN","免震層","IsoLyr")&amp;"→","･"),"･"),"･")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</row>
    <row r="46" spans="1:22" s="1" customFormat="1" ht="9.75" customHeight="1">
      <c r="C46" s="5" t="str">
        <f>IF(COUNTIF(C$4:C45,IF(Overview!P$5="JPN","免震層","IsoLyr")&amp;"→")=0,IF(COUNT(S$3:S$6)=4,IF(COUNTBLANK(D46:Q46)=14,IF(Overview!P$5="JPN","免震層","IsoLyr")&amp;"→","･"),"･"),"･")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</row>
    <row r="47" spans="1:22" s="1" customFormat="1" ht="9.75" customHeight="1">
      <c r="C47" s="5" t="str">
        <f>IF(COUNTIF(C$4:C46,IF(Overview!P$5="JPN","免震層","IsoLyr")&amp;"→")=0,IF(COUNT(S$3:S$6)=4,IF(COUNTBLANK(D47:Q47)=14,IF(Overview!P$5="JPN","免震層","IsoLyr")&amp;"→","･"),"･"),"･")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</row>
    <row r="48" spans="1:22" s="1" customFormat="1" ht="9.75" customHeight="1">
      <c r="C48" s="5" t="str">
        <f>IF(COUNTIF(C$4:C47,IF(Overview!P$5="JPN","免震層","IsoLyr")&amp;"→")=0,IF(COUNT(S$3:S$6)=4,IF(COUNTBLANK(D48:Q48)=14,IF(Overview!P$5="JPN","免震層","IsoLyr")&amp;"→","･"),"･"),"･")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</row>
    <row r="49" spans="3:22" s="1" customFormat="1" ht="9.75" customHeight="1">
      <c r="C49" s="5" t="str">
        <f>IF(COUNTIF(C$4:C48,IF(Overview!P$5="JPN","免震層","IsoLyr")&amp;"→")=0,IF(COUNT(S$3:S$6)=4,IF(COUNTBLANK(D49:Q49)=14,IF(Overview!P$5="JPN","免震層","IsoLyr")&amp;"→","･"),"･"),"･")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</row>
    <row r="50" spans="3:22" s="1" customFormat="1" ht="9.75" customHeight="1">
      <c r="C50" s="5" t="str">
        <f>IF(COUNTIF(C$4:C49,IF(Overview!P$5="JPN","免震層","IsoLyr")&amp;"→")=0,IF(COUNT(S$3:S$6)=4,IF(COUNTBLANK(D50:Q50)=14,IF(Overview!P$5="JPN","免震層","IsoLyr")&amp;"→","･"),"･"),"･")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</row>
    <row r="51" spans="3:22" s="1" customFormat="1" ht="9.75" customHeight="1">
      <c r="C51" s="5" t="str">
        <f>IF(COUNTIF(C$4:C50,IF(Overview!P$5="JPN","免震層","IsoLyr")&amp;"→")=0,IF(COUNT(S$3:S$6)=4,IF(COUNTBLANK(D51:Q51)=14,IF(Overview!P$5="JPN","免震層","IsoLyr")&amp;"→","･"),"･"),"･")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</row>
    <row r="52" spans="3:22" s="1" customFormat="1" ht="9.75" customHeight="1">
      <c r="C52" s="5" t="str">
        <f>IF(COUNTIF(C$4:C51,IF(Overview!P$5="JPN","免震層","IsoLyr")&amp;"→")=0,IF(COUNT(S$3:S$6)=4,IF(COUNTBLANK(D52:Q52)=14,IF(Overview!P$5="JPN","免震層","IsoLyr")&amp;"→","･"),"･"),"･")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</row>
    <row r="53" spans="3:22" s="1" customFormat="1" ht="9.75" customHeight="1">
      <c r="C53" s="10"/>
      <c r="D53" s="143" t="str">
        <f>IF(ISNUMBER(D3),IF(LEN(D54)&gt;1,"D3:D"&amp;MID(D54,2,FIND(":",D54)-2)-2,"D3:D52"),"･")</f>
        <v>･</v>
      </c>
      <c r="E53" s="114"/>
      <c r="F53" s="143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43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43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43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43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43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43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43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</row>
    <row r="54" spans="3:22" s="1" customFormat="1" ht="9.75" customHeight="1">
      <c r="C54" s="10"/>
      <c r="D54" s="143" t="str">
        <f>IF(COUNTIF(C1:C52,"免震層→")&gt;0,"D"&amp;MATCH("免震層→",C1:C52,0)+1&amp;":D52","･")</f>
        <v>･</v>
      </c>
      <c r="E54" s="114"/>
      <c r="F54" s="143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43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43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43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43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43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43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43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</row>
    <row r="55" spans="3:22" s="1" customFormat="1" ht="9.75" customHeight="1">
      <c r="C55" s="14"/>
      <c r="D55" s="15"/>
      <c r="E55" s="2" t="s">
        <v>31</v>
      </c>
      <c r="F55" s="148" t="s">
        <v>32</v>
      </c>
      <c r="G55" s="149"/>
      <c r="H55" s="149"/>
      <c r="I55" s="150"/>
      <c r="J55" s="148" t="s">
        <v>33</v>
      </c>
      <c r="K55" s="149"/>
      <c r="L55" s="149"/>
      <c r="M55" s="150"/>
      <c r="N55" s="148" t="s">
        <v>34</v>
      </c>
      <c r="O55" s="149"/>
      <c r="P55" s="149"/>
      <c r="Q55" s="150"/>
      <c r="S55" s="151" t="s">
        <v>35</v>
      </c>
      <c r="T55" s="152"/>
      <c r="U55" s="152"/>
      <c r="V55" s="153"/>
    </row>
    <row r="56" spans="3:22" s="1" customFormat="1" ht="9.75" customHeight="1">
      <c r="C56" s="10"/>
      <c r="D56" s="16"/>
      <c r="E56" s="17" t="s">
        <v>218</v>
      </c>
      <c r="F56" s="3" t="s">
        <v>215</v>
      </c>
      <c r="G56" s="3" t="s">
        <v>3</v>
      </c>
      <c r="H56" s="3" t="s">
        <v>4</v>
      </c>
      <c r="I56" s="3" t="s">
        <v>5</v>
      </c>
      <c r="J56" s="3" t="s">
        <v>100</v>
      </c>
      <c r="K56" s="3" t="s">
        <v>6</v>
      </c>
      <c r="L56" s="3" t="s">
        <v>7</v>
      </c>
      <c r="M56" s="3" t="s">
        <v>8</v>
      </c>
      <c r="N56" s="3" t="s">
        <v>100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</row>
    <row r="57" spans="3:22" s="1" customFormat="1" ht="9.75" customHeight="1">
      <c r="C57" s="10"/>
      <c r="D57" s="16"/>
      <c r="E57" s="19" t="s">
        <v>220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</row>
    <row r="58" spans="3:22" s="1" customFormat="1" ht="9.75" customHeight="1">
      <c r="C58" s="10"/>
      <c r="D58" s="16"/>
      <c r="E58" s="21" t="s">
        <v>221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</row>
    <row r="59" spans="3:22" s="1" customFormat="1" ht="9.75" customHeight="1">
      <c r="C59" s="10"/>
      <c r="D59" s="16"/>
      <c r="E59" s="21" t="s">
        <v>222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</row>
    <row r="60" spans="3:22" s="1" customFormat="1" ht="9.75" customHeight="1">
      <c r="C60" s="14"/>
      <c r="D60" s="15"/>
      <c r="E60" s="22" t="s">
        <v>223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</row>
    <row r="61" spans="3:22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</row>
    <row r="76" spans="1:2" ht="9.75" customHeight="1">
      <c r="A76" s="147" t="s">
        <v>36</v>
      </c>
      <c r="B76" s="147" t="s">
        <v>37</v>
      </c>
    </row>
    <row r="77" spans="1:2" ht="9.75" customHeight="1">
      <c r="A77" s="147"/>
      <c r="B77" s="147"/>
    </row>
    <row r="79" spans="1:2" ht="9.75" customHeight="1">
      <c r="A79" s="147" t="s">
        <v>189</v>
      </c>
      <c r="B79" s="147"/>
    </row>
    <row r="80" spans="1:2" ht="9.75" customHeight="1">
      <c r="A80" s="147"/>
      <c r="B80" s="147"/>
    </row>
    <row r="119" spans="1:2" ht="9.75" customHeight="1">
      <c r="A119" s="147" t="s">
        <v>29</v>
      </c>
      <c r="B119" s="147" t="s">
        <v>30</v>
      </c>
    </row>
    <row r="120" spans="1:2" ht="9.75" customHeight="1">
      <c r="A120" s="147"/>
      <c r="B120" s="147"/>
    </row>
    <row r="156" spans="1:2" ht="9.75" customHeight="1">
      <c r="A156" s="147" t="s">
        <v>36</v>
      </c>
      <c r="B156" s="147" t="s">
        <v>37</v>
      </c>
    </row>
    <row r="157" spans="1:2" ht="9.75" customHeight="1">
      <c r="A157" s="147"/>
      <c r="B157" s="147"/>
    </row>
    <row r="159" spans="1:2" ht="9.75" customHeight="1">
      <c r="A159" s="147" t="s">
        <v>209</v>
      </c>
      <c r="B159" s="147"/>
    </row>
    <row r="160" spans="1:2" ht="9.75" customHeight="1">
      <c r="A160" s="147"/>
      <c r="B160" s="147"/>
    </row>
    <row r="199" spans="1:2" ht="9.75" customHeight="1">
      <c r="A199" s="147" t="s">
        <v>29</v>
      </c>
      <c r="B199" s="147" t="s">
        <v>30</v>
      </c>
    </row>
    <row r="200" spans="1:2" ht="9.75" customHeight="1">
      <c r="A200" s="147"/>
      <c r="B200" s="147"/>
    </row>
    <row r="236" spans="1:2" ht="9.75" customHeight="1">
      <c r="A236" s="147" t="s">
        <v>36</v>
      </c>
      <c r="B236" s="147" t="s">
        <v>37</v>
      </c>
    </row>
    <row r="237" spans="1:2" ht="9.75" customHeight="1">
      <c r="A237" s="147"/>
      <c r="B237" s="147"/>
    </row>
    <row r="239" spans="1:2" ht="9.75" customHeight="1">
      <c r="A239" s="147" t="s">
        <v>210</v>
      </c>
      <c r="B239" s="147"/>
    </row>
    <row r="240" spans="1:2" ht="9.75" customHeight="1">
      <c r="A240" s="147"/>
      <c r="B240" s="147"/>
    </row>
    <row r="279" spans="1:2" ht="9.75" customHeight="1">
      <c r="A279" s="147" t="s">
        <v>29</v>
      </c>
      <c r="B279" s="147" t="s">
        <v>30</v>
      </c>
    </row>
    <row r="280" spans="1:2" ht="9.75" customHeight="1">
      <c r="A280" s="147"/>
      <c r="B280" s="147"/>
    </row>
    <row r="316" spans="1:2" ht="9.75" customHeight="1">
      <c r="A316" s="147" t="s">
        <v>36</v>
      </c>
      <c r="B316" s="147" t="s">
        <v>37</v>
      </c>
    </row>
    <row r="317" spans="1:2" ht="9.75" customHeight="1">
      <c r="A317" s="147"/>
      <c r="B317" s="147"/>
    </row>
    <row r="319" spans="1:2" ht="9.75" customHeight="1">
      <c r="A319" s="147" t="s">
        <v>190</v>
      </c>
      <c r="B319" s="147"/>
    </row>
    <row r="320" spans="1:2" ht="9.75" customHeight="1">
      <c r="A320" s="147"/>
      <c r="B320" s="147"/>
    </row>
    <row r="359" spans="1:2" ht="9.75" customHeight="1">
      <c r="A359" s="147" t="s">
        <v>29</v>
      </c>
      <c r="B359" s="147" t="s">
        <v>30</v>
      </c>
    </row>
    <row r="360" spans="1:2" ht="9.75" customHeight="1">
      <c r="A360" s="147"/>
      <c r="B360" s="147"/>
    </row>
    <row r="396" spans="1:2" ht="9.75" customHeight="1">
      <c r="A396" s="147" t="s">
        <v>36</v>
      </c>
      <c r="B396" s="147" t="s">
        <v>37</v>
      </c>
    </row>
    <row r="397" spans="1:2" ht="9.75" customHeight="1">
      <c r="A397" s="147"/>
      <c r="B397" s="147"/>
    </row>
    <row r="399" spans="1:2" ht="9.75" customHeight="1">
      <c r="A399" s="147" t="s">
        <v>211</v>
      </c>
      <c r="B399" s="147"/>
    </row>
    <row r="400" spans="1:2" ht="9.75" customHeight="1">
      <c r="A400" s="147"/>
      <c r="B400" s="147"/>
    </row>
    <row r="439" spans="1:2" ht="9.75" customHeight="1">
      <c r="A439" s="147" t="s">
        <v>29</v>
      </c>
      <c r="B439" s="147" t="s">
        <v>30</v>
      </c>
    </row>
    <row r="440" spans="1:2" ht="9.75" customHeight="1">
      <c r="A440" s="147"/>
      <c r="B440" s="147"/>
    </row>
    <row r="476" spans="1:2" ht="9.75" customHeight="1">
      <c r="A476" s="147" t="s">
        <v>36</v>
      </c>
      <c r="B476" s="147" t="s">
        <v>37</v>
      </c>
    </row>
    <row r="477" spans="1:2" ht="9.75" customHeight="1">
      <c r="A477" s="147"/>
      <c r="B477" s="147"/>
    </row>
    <row r="479" spans="1:2" ht="9.75" customHeight="1">
      <c r="A479" s="147" t="s">
        <v>212</v>
      </c>
      <c r="B479" s="147"/>
    </row>
    <row r="480" spans="1:2" ht="9.75" customHeight="1">
      <c r="A480" s="147"/>
      <c r="B480" s="147"/>
    </row>
  </sheetData>
  <sheetProtection algorithmName="SHA-512" hashValue="UDle7zBBxGBDp+zBT1yF4zNlyF+oxmKfX1NZYArDWrcoUrGA70wPwdDrBJ4nvn32dPnsZySyQfOGS9hsjIVDvw==" saltValue="zn0zygTqm6YaiL0OmJiAWA==" spinCount="100000" sheet="1" formatCells="0" formatColumns="0" formatRows="0" insertColumns="0" insertRows="0" insertHyperlinks="0" deleteColumns="0" deleteRows="0" sort="0" autoFilter="0" pivotTables="0"/>
  <mergeCells count="47">
    <mergeCell ref="A479:B480"/>
    <mergeCell ref="A396:A397"/>
    <mergeCell ref="B396:B397"/>
    <mergeCell ref="A399:B400"/>
    <mergeCell ref="A439:A440"/>
    <mergeCell ref="B439:B440"/>
    <mergeCell ref="A476:A477"/>
    <mergeCell ref="B476:B47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79:B80"/>
    <mergeCell ref="A119:A120"/>
    <mergeCell ref="B119:B120"/>
    <mergeCell ref="A156:A157"/>
    <mergeCell ref="B156:B157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</mergeCells>
  <phoneticPr fontId="1"/>
  <conditionalFormatting sqref="S23:S26">
    <cfRule type="expression" dxfId="22" priority="13">
      <formula>OR(S23="実行可",S23="ready")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OR(S18="剛性比例",S18="質量比例",S18="StifProp",S18="MassProp")</formula>
    </cfRule>
  </conditionalFormatting>
  <dataValidations count="1">
    <dataValidation type="list" allowBlank="1" showInputMessage="1" showErrorMessage="1" sqref="S18" xr:uid="{BB9769D4-2FB5-4DEE-9F65-05C887691965}">
      <formula1>"StifProp,MassProp,Rayleigh"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4" t="s">
        <v>25</v>
      </c>
      <c r="C1" s="155"/>
      <c r="D1" s="155"/>
      <c r="E1" s="156"/>
      <c r="F1" s="154" t="s">
        <v>26</v>
      </c>
      <c r="G1" s="155"/>
      <c r="H1" s="155"/>
      <c r="I1" s="156"/>
      <c r="J1" s="154" t="s">
        <v>27</v>
      </c>
      <c r="K1" s="155"/>
      <c r="L1" s="155"/>
      <c r="M1" s="156"/>
      <c r="N1" s="154" t="s">
        <v>28</v>
      </c>
      <c r="O1" s="155"/>
      <c r="P1" s="155"/>
      <c r="Q1" s="156"/>
      <c r="R1" s="155" t="s">
        <v>38</v>
      </c>
      <c r="S1" s="155"/>
      <c r="T1" s="155"/>
      <c r="U1" s="155"/>
      <c r="V1" s="60"/>
      <c r="W1" s="12"/>
      <c r="X1" s="12"/>
    </row>
    <row r="2" spans="1:24" ht="9.75" customHeight="1">
      <c r="A2" s="13"/>
      <c r="B2" s="27" t="s">
        <v>63</v>
      </c>
      <c r="C2" s="27" t="s">
        <v>64</v>
      </c>
      <c r="D2" s="27" t="s">
        <v>65</v>
      </c>
      <c r="E2" s="27" t="s">
        <v>66</v>
      </c>
      <c r="F2" s="27" t="s">
        <v>63</v>
      </c>
      <c r="G2" s="27" t="s">
        <v>64</v>
      </c>
      <c r="H2" s="27" t="s">
        <v>65</v>
      </c>
      <c r="I2" s="27" t="s">
        <v>66</v>
      </c>
      <c r="J2" s="27" t="s">
        <v>63</v>
      </c>
      <c r="K2" s="27" t="s">
        <v>64</v>
      </c>
      <c r="L2" s="27" t="s">
        <v>65</v>
      </c>
      <c r="M2" s="27" t="s">
        <v>66</v>
      </c>
      <c r="N2" s="27" t="s">
        <v>63</v>
      </c>
      <c r="O2" s="27" t="s">
        <v>64</v>
      </c>
      <c r="P2" s="27" t="s">
        <v>65</v>
      </c>
      <c r="Q2" s="27" t="s">
        <v>66</v>
      </c>
      <c r="R2" s="25" t="s">
        <v>25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IF(AND(ISNUMBER(Eigenvalue!D3),NOT(ISNUMBER(Eigenvalue!D4))),IF(Eigenvalue!C4=IF(Overview!P$5="JPN","免震層","IsoLyr")&amp;"→","･","ここまで"),IF(Eigenvalue!C3=IF(Overview!P$5="JPN","免震層","IsoLyr")&amp;"→",Eigenvalue!C3,"･"))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90</v>
      </c>
    </row>
    <row r="4" spans="1:24" ht="9.75" customHeight="1">
      <c r="A4" s="5" t="str">
        <f>IF(AND(ISNUMBER(Eigenvalue!D4),NOT(ISNUMBER(Eigenvalue!D5))),IF(Eigenvalue!C5=IF(Overview!P$5="JPN","免震層","IsoLyr")&amp;"→","･","ここまで"),IF(Eigenvalue!C4=IF(Overview!P$5="JPN","免震層","IsoLyr")&amp;"→",Eigenvalue!C4,"･"))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IF(AND(ISNUMBER(Eigenvalue!D5),NOT(ISNUMBER(Eigenvalue!D6))),IF(Eigenvalue!C6=IF(Overview!P$5="JPN","免震層","IsoLyr")&amp;"→","･","ここまで"),IF(Eigenvalue!C5=IF(Overview!P$5="JPN","免震層","IsoLyr")&amp;"→",Eigenvalue!C5,"･"))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369</v>
      </c>
      <c r="X5" s="13" t="str">
        <f>"共通の復元力特性："&amp;
IF(W5="Linear","リニア型",
IF(W5="Bi-Linear","ノーマルバイリニア型",
IF(W5="Takeda","武田型")))</f>
        <v>共通の復元力特性：武田型</v>
      </c>
    </row>
    <row r="6" spans="1:24" ht="9.75" customHeight="1">
      <c r="A6" s="5" t="str">
        <f>IF(AND(ISNUMBER(Eigenvalue!D6),NOT(ISNUMBER(Eigenvalue!D7))),IF(Eigenvalue!C7=IF(Overview!P$5="JPN","免震層","IsoLyr")&amp;"→","･","ここまで"),IF(Eigenvalue!C6=IF(Overview!P$5="JPN","免震層","IsoLyr")&amp;"→",Eigenvalue!C6,"･"))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IF(AND(ISNUMBER(Eigenvalue!D7),NOT(ISNUMBER(Eigenvalue!D8))),IF(Eigenvalue!C8=IF(Overview!P$5="JPN","免震層","IsoLyr")&amp;"→","･","ここまで"),IF(Eigenvalue!C7=IF(Overview!P$5="JPN","免震層","IsoLyr")&amp;"→",Eigenvalue!C7,"･"))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91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IF(AND(ISNUMBER(Eigenvalue!D8),NOT(ISNUMBER(Eigenvalue!D9))),IF(Eigenvalue!C9=IF(Overview!P$5="JPN","免震層","IsoLyr")&amp;"→","･","ここまで"),IF(Eigenvalue!C8=IF(Overview!P$5="JPN","免震層","IsoLyr")&amp;"→",Eigenvalue!C8,"･"))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IF(AND(ISNUMBER(Eigenvalue!D9),NOT(ISNUMBER(Eigenvalue!D10))),IF(Eigenvalue!C10=IF(Overview!P$5="JPN","免震層","IsoLyr")&amp;"→","･","ここまで"),IF(Eigenvalue!C9=IF(Overview!P$5="JPN","免震層","IsoLyr")&amp;"→",Eigenvalue!C9,"･"))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208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IF(AND(ISNUMBER(Eigenvalue!D10),NOT(ISNUMBER(Eigenvalue!D11))),IF(Eigenvalue!C11=IF(Overview!P$5="JPN","免震層","IsoLyr")&amp;"→","･","ここまで"),IF(Eigenvalue!C10=IF(Overview!P$5="JPN","免震層","IsoLyr")&amp;"→",Eigenvalue!C10,"･"))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IF(AND(ISNUMBER(Eigenvalue!D11),NOT(ISNUMBER(Eigenvalue!D12))),IF(Eigenvalue!C12=IF(Overview!P$5="JPN","免震層","IsoLyr")&amp;"→","･","ここまで"),IF(Eigenvalue!C11=IF(Overview!P$5="JPN","免震層","IsoLyr")&amp;"→",Eigenvalue!C11,"･"))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IF(AND(ISNUMBER(Eigenvalue!D12),NOT(ISNUMBER(Eigenvalue!D13))),IF(Eigenvalue!C13=IF(Overview!P$5="JPN","免震層","IsoLyr")&amp;"→","･","ここまで"),IF(Eigenvalue!C12=IF(Overview!P$5="JPN","免震層","IsoLyr")&amp;"→",Eigenvalue!C12,"･"))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IF(AND(ISNUMBER(Eigenvalue!D13),NOT(ISNUMBER(Eigenvalue!D14))),IF(Eigenvalue!C14=IF(Overview!P$5="JPN","免震層","IsoLyr")&amp;"→","･","ここまで"),IF(Eigenvalue!C13=IF(Overview!P$5="JPN","免震層","IsoLyr")&amp;"→",Eigenvalue!C13,"･"))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IF(AND(ISNUMBER(Eigenvalue!D14),NOT(ISNUMBER(Eigenvalue!D15))),IF(Eigenvalue!C15=IF(Overview!P$5="JPN","免震層","IsoLyr")&amp;"→","･","ここまで"),IF(Eigenvalue!C14=IF(Overview!P$5="JPN","免震層","IsoLyr")&amp;"→",Eigenvalue!C14,"･"))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IF(AND(ISNUMBER(Eigenvalue!D15),NOT(ISNUMBER(Eigenvalue!D16))),IF(Eigenvalue!C16=IF(Overview!P$5="JPN","免震層","IsoLyr")&amp;"→","･","ここまで"),IF(Eigenvalue!C15=IF(Overview!P$5="JPN","免震層","IsoLyr")&amp;"→",Eigenvalue!C15,"･"))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IF(AND(ISNUMBER(Eigenvalue!D16),NOT(ISNUMBER(Eigenvalue!D17))),IF(Eigenvalue!C17=IF(Overview!P$5="JPN","免震層","IsoLyr")&amp;"→","･","ここまで"),IF(Eigenvalue!C16=IF(Overview!P$5="JPN","免震層","IsoLyr")&amp;"→",Eigenvalue!C16,"･"))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IF(AND(ISNUMBER(Eigenvalue!D17),NOT(ISNUMBER(Eigenvalue!D18))),IF(Eigenvalue!C18=IF(Overview!P$5="JPN","免震層","IsoLyr")&amp;"→","･","ここまで"),IF(Eigenvalue!C17=IF(Overview!P$5="JPN","免震層","IsoLyr")&amp;"→",Eigenvalue!C17,"･"))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IF(AND(ISNUMBER(Eigenvalue!D18),NOT(ISNUMBER(Eigenvalue!D19))),IF(Eigenvalue!C19=IF(Overview!P$5="JPN","免震層","IsoLyr")&amp;"→","･","ここまで"),IF(Eigenvalue!C18=IF(Overview!P$5="JPN","免震層","IsoLyr")&amp;"→",Eigenvalue!C18,"･"))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IF(AND(ISNUMBER(Eigenvalue!D19),NOT(ISNUMBER(Eigenvalue!D20))),IF(Eigenvalue!C20=IF(Overview!P$5="JPN","免震層","IsoLyr")&amp;"→","･","ここまで"),IF(Eigenvalue!C19=IF(Overview!P$5="JPN","免震層","IsoLyr")&amp;"→",Eigenvalue!C19,"･"))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IF(AND(ISNUMBER(Eigenvalue!D20),NOT(ISNUMBER(Eigenvalue!D21))),IF(Eigenvalue!C21=IF(Overview!P$5="JPN","免震層","IsoLyr")&amp;"→","･","ここまで"),IF(Eigenvalue!C20=IF(Overview!P$5="JPN","免震層","IsoLyr")&amp;"→",Eigenvalue!C20,"･"))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IF(AND(ISNUMBER(Eigenvalue!D21),NOT(ISNUMBER(Eigenvalue!D22))),IF(Eigenvalue!C22=IF(Overview!P$5="JPN","免震層","IsoLyr")&amp;"→","･","ここまで"),IF(Eigenvalue!C21=IF(Overview!P$5="JPN","免震層","IsoLyr")&amp;"→",Eigenvalue!C21,"･"))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IF(AND(ISNUMBER(Eigenvalue!D22),NOT(ISNUMBER(Eigenvalue!D23))),IF(Eigenvalue!C23=IF(Overview!P$5="JPN","免震層","IsoLyr")&amp;"→","･","ここまで"),IF(Eigenvalue!C22=IF(Overview!P$5="JPN","免震層","IsoLyr")&amp;"→",Eigenvalue!C22,"･"))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IF(AND(ISNUMBER(Eigenvalue!D23),NOT(ISNUMBER(Eigenvalue!D24))),IF(Eigenvalue!C24=IF(Overview!P$5="JPN","免震層","IsoLyr")&amp;"→","･","ここまで"),IF(Eigenvalue!C23=IF(Overview!P$5="JPN","免震層","IsoLyr")&amp;"→",Eigenvalue!C23,"･"))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IF(AND(ISNUMBER(Eigenvalue!D24),NOT(ISNUMBER(Eigenvalue!D25))),IF(Eigenvalue!C25=IF(Overview!P$5="JPN","免震層","IsoLyr")&amp;"→","･","ここまで"),IF(Eigenvalue!C24=IF(Overview!P$5="JPN","免震層","IsoLyr")&amp;"→",Eigenvalue!C24,"･"))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IF(AND(ISNUMBER(Eigenvalue!D25),NOT(ISNUMBER(Eigenvalue!D26))),IF(Eigenvalue!C26=IF(Overview!P$5="JPN","免震層","IsoLyr")&amp;"→","･","ここまで"),IF(Eigenvalue!C25=IF(Overview!P$5="JPN","免震層","IsoLyr")&amp;"→",Eigenvalue!C25,"･"))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IF(AND(ISNUMBER(Eigenvalue!D26),NOT(ISNUMBER(Eigenvalue!D27))),IF(Eigenvalue!C27=IF(Overview!P$5="JPN","免震層","IsoLyr")&amp;"→","･","ここまで"),IF(Eigenvalue!C26=IF(Overview!P$5="JPN","免震層","IsoLyr")&amp;"→",Eigenvalue!C26,"･"))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IF(AND(ISNUMBER(Eigenvalue!D27),NOT(ISNUMBER(Eigenvalue!D28))),IF(Eigenvalue!C28=IF(Overview!P$5="JPN","免震層","IsoLyr")&amp;"→","･","ここまで"),IF(Eigenvalue!C27=IF(Overview!P$5="JPN","免震層","IsoLyr")&amp;"→",Eigenvalue!C27,"･"))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IF(AND(ISNUMBER(Eigenvalue!D28),NOT(ISNUMBER(Eigenvalue!D29))),IF(Eigenvalue!C29=IF(Overview!P$5="JPN","免震層","IsoLyr")&amp;"→","･","ここまで"),IF(Eigenvalue!C28=IF(Overview!P$5="JPN","免震層","IsoLyr")&amp;"→",Eigenvalue!C28,"･"))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IF(AND(ISNUMBER(Eigenvalue!D29),NOT(ISNUMBER(Eigenvalue!D30))),IF(Eigenvalue!C30=IF(Overview!P$5="JPN","免震層","IsoLyr")&amp;"→","･","ここまで"),IF(Eigenvalue!C29=IF(Overview!P$5="JPN","免震層","IsoLyr")&amp;"→",Eigenvalue!C29,"･"))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IF(AND(ISNUMBER(Eigenvalue!D30),NOT(ISNUMBER(Eigenvalue!D31))),IF(Eigenvalue!C31=IF(Overview!P$5="JPN","免震層","IsoLyr")&amp;"→","･","ここまで"),IF(Eigenvalue!C30=IF(Overview!P$5="JPN","免震層","IsoLyr")&amp;"→",Eigenvalue!C30,"･"))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IF(AND(ISNUMBER(Eigenvalue!D31),NOT(ISNUMBER(Eigenvalue!D32))),IF(Eigenvalue!C32=IF(Overview!P$5="JPN","免震層","IsoLyr")&amp;"→","･","ここまで"),IF(Eigenvalue!C31=IF(Overview!P$5="JPN","免震層","IsoLyr")&amp;"→",Eigenvalue!C31,"･"))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IF(AND(ISNUMBER(Eigenvalue!D32),NOT(ISNUMBER(Eigenvalue!D33))),IF(Eigenvalue!C33=IF(Overview!P$5="JPN","免震層","IsoLyr")&amp;"→","･","ここまで"),IF(Eigenvalue!C32=IF(Overview!P$5="JPN","免震層","IsoLyr")&amp;"→",Eigenvalue!C32,"･"))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IF(AND(ISNUMBER(Eigenvalue!D33),NOT(ISNUMBER(Eigenvalue!D34))),IF(Eigenvalue!C34=IF(Overview!P$5="JPN","免震層","IsoLyr")&amp;"→","･","ここまで"),IF(Eigenvalue!C33=IF(Overview!P$5="JPN","免震層","IsoLyr")&amp;"→",Eigenvalue!C33,"･"))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IF(AND(ISNUMBER(Eigenvalue!D34),NOT(ISNUMBER(Eigenvalue!D35))),IF(Eigenvalue!C35=IF(Overview!P$5="JPN","免震層","IsoLyr")&amp;"→","･","ここまで"),IF(Eigenvalue!C34=IF(Overview!P$5="JPN","免震層","IsoLyr")&amp;"→",Eigenvalue!C34,"･"))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IF(AND(ISNUMBER(Eigenvalue!D35),NOT(ISNUMBER(Eigenvalue!D36))),IF(Eigenvalue!C36=IF(Overview!P$5="JPN","免震層","IsoLyr")&amp;"→","･","ここまで"),IF(Eigenvalue!C35=IF(Overview!P$5="JPN","免震層","IsoLyr")&amp;"→",Eigenvalue!C35,"･"))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IF(AND(ISNUMBER(Eigenvalue!D36),NOT(ISNUMBER(Eigenvalue!D37))),IF(Eigenvalue!C37=IF(Overview!P$5="JPN","免震層","IsoLyr")&amp;"→","･","ここまで"),IF(Eigenvalue!C36=IF(Overview!P$5="JPN","免震層","IsoLyr")&amp;"→",Eigenvalue!C36,"･"))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IF(AND(ISNUMBER(Eigenvalue!D37),NOT(ISNUMBER(Eigenvalue!D38))),IF(Eigenvalue!C38=IF(Overview!P$5="JPN","免震層","IsoLyr")&amp;"→","･","ここまで"),IF(Eigenvalue!C37=IF(Overview!P$5="JPN","免震層","IsoLyr")&amp;"→",Eigenvalue!C37,"･"))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IF(AND(ISNUMBER(Eigenvalue!D38),NOT(ISNUMBER(Eigenvalue!D39))),IF(Eigenvalue!C39=IF(Overview!P$5="JPN","免震層","IsoLyr")&amp;"→","･","ここまで"),IF(Eigenvalue!C38=IF(Overview!P$5="JPN","免震層","IsoLyr")&amp;"→",Eigenvalue!C38,"･"))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IF(AND(ISNUMBER(Eigenvalue!D39),NOT(ISNUMBER(Eigenvalue!D40))),IF(Eigenvalue!C40=IF(Overview!P$5="JPN","免震層","IsoLyr")&amp;"→","･","ここまで"),IF(Eigenvalue!C39=IF(Overview!P$5="JPN","免震層","IsoLyr")&amp;"→",Eigenvalue!C39,"･"))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IF(AND(ISNUMBER(Eigenvalue!D40),NOT(ISNUMBER(Eigenvalue!D41))),IF(Eigenvalue!C41=IF(Overview!P$5="JPN","免震層","IsoLyr")&amp;"→","･","ここまで"),IF(Eigenvalue!C40=IF(Overview!P$5="JPN","免震層","IsoLyr")&amp;"→",Eigenvalue!C40,"･"))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IF(AND(ISNUMBER(Eigenvalue!D41),NOT(ISNUMBER(Eigenvalue!D42))),IF(Eigenvalue!C42=IF(Overview!P$5="JPN","免震層","IsoLyr")&amp;"→","･","ここまで"),IF(Eigenvalue!C41=IF(Overview!P$5="JPN","免震層","IsoLyr")&amp;"→",Eigenvalue!C41,"･"))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IF(AND(ISNUMBER(Eigenvalue!D42),NOT(ISNUMBER(Eigenvalue!D43))),IF(Eigenvalue!C43=IF(Overview!P$5="JPN","免震層","IsoLyr")&amp;"→","･","ここまで"),IF(Eigenvalue!C42=IF(Overview!P$5="JPN","免震層","IsoLyr")&amp;"→",Eigenvalue!C42,"･"))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IF(AND(ISNUMBER(Eigenvalue!D43),NOT(ISNUMBER(Eigenvalue!D44))),IF(Eigenvalue!C44=IF(Overview!P$5="JPN","免震層","IsoLyr")&amp;"→","･","ここまで"),IF(Eigenvalue!C43=IF(Overview!P$5="JPN","免震層","IsoLyr")&amp;"→",Eigenvalue!C43,"･"))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IF(AND(ISNUMBER(Eigenvalue!D44),NOT(ISNUMBER(Eigenvalue!D45))),IF(Eigenvalue!C45=IF(Overview!P$5="JPN","免震層","IsoLyr")&amp;"→","･","ここまで"),IF(Eigenvalue!C44=IF(Overview!P$5="JPN","免震層","IsoLyr")&amp;"→",Eigenvalue!C44,"･"))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IF(AND(ISNUMBER(Eigenvalue!D45),NOT(ISNUMBER(Eigenvalue!D46))),IF(Eigenvalue!C46=IF(Overview!P$5="JPN","免震層","IsoLyr")&amp;"→","･","ここまで"),IF(Eigenvalue!C45=IF(Overview!P$5="JPN","免震層","IsoLyr")&amp;"→",Eigenvalue!C45,"･"))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IF(AND(ISNUMBER(Eigenvalue!D46),NOT(ISNUMBER(Eigenvalue!D47))),IF(Eigenvalue!C47=IF(Overview!P$5="JPN","免震層","IsoLyr")&amp;"→","･","ここまで"),IF(Eigenvalue!C46=IF(Overview!P$5="JPN","免震層","IsoLyr")&amp;"→",Eigenvalue!C46,"･"))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IF(AND(ISNUMBER(Eigenvalue!D47),NOT(ISNUMBER(Eigenvalue!D48))),IF(Eigenvalue!C48=IF(Overview!P$5="JPN","免震層","IsoLyr")&amp;"→","･","ここまで"),IF(Eigenvalue!C47=IF(Overview!P$5="JPN","免震層","IsoLyr")&amp;"→",Eigenvalue!C47,"･"))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IF(AND(ISNUMBER(Eigenvalue!D48),NOT(ISNUMBER(Eigenvalue!D49))),IF(Eigenvalue!C49=IF(Overview!P$5="JPN","免震層","IsoLyr")&amp;"→","･","ここまで"),IF(Eigenvalue!C48=IF(Overview!P$5="JPN","免震層","IsoLyr")&amp;"→",Eigenvalue!C48,"･"))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IF(AND(ISNUMBER(Eigenvalue!D49),NOT(ISNUMBER(Eigenvalue!D50))),IF(Eigenvalue!C50=IF(Overview!P$5="JPN","免震層","IsoLyr")&amp;"→","･","ここまで"),IF(Eigenvalue!C49=IF(Overview!P$5="JPN","免震層","IsoLyr")&amp;"→",Eigenvalue!C49,"･"))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IF(AND(ISNUMBER(Eigenvalue!D50),NOT(ISNUMBER(Eigenvalue!D51))),IF(Eigenvalue!C51=IF(Overview!P$5="JPN","免震層","IsoLyr")&amp;"→","･","ここまで"),IF(Eigenvalue!C50=IF(Overview!P$5="JPN","免震層","IsoLyr")&amp;"→",Eigenvalue!C50,"･"))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IF(AND(ISNUMBER(Eigenvalue!D51),NOT(ISNUMBER(Eigenvalue!D52))),IF(Eigenvalue!C52=IF(Overview!P$5="JPN","免震層","IsoLyr")&amp;"→","･","ここまで"),IF(Eigenvalue!C51=IF(Overview!P$5="JPN","免震層","IsoLyr")&amp;"→",Eigenvalue!C51,"･"))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IF(AND(ISNUMBER(Eigenvalue!D52),NOT(ISNUMBER(Eigenvalue!D53))),IF(Eigenvalue!C53=IF(Overview!P$5="JPN","免震層","IsoLyr")&amp;"→","･","ここまで"),IF(Eigenvalue!C52=IF(Overview!P$5="JPN","免震層","IsoLyr")&amp;"→",Eigenvalue!C52,"･"))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4" t="s">
        <v>100</v>
      </c>
      <c r="C104" s="155"/>
      <c r="D104" s="155"/>
      <c r="E104" s="156"/>
      <c r="F104" s="154" t="s">
        <v>6</v>
      </c>
      <c r="G104" s="155"/>
      <c r="H104" s="155"/>
      <c r="I104" s="156"/>
      <c r="J104" s="154" t="s">
        <v>7</v>
      </c>
      <c r="K104" s="155"/>
      <c r="L104" s="155"/>
      <c r="M104" s="156"/>
      <c r="N104" s="154" t="s">
        <v>8</v>
      </c>
      <c r="O104" s="155"/>
      <c r="P104" s="155"/>
      <c r="Q104" s="156"/>
      <c r="R104" s="155" t="s">
        <v>101</v>
      </c>
      <c r="S104" s="155"/>
      <c r="T104" s="155"/>
      <c r="U104" s="155"/>
      <c r="V104" s="154" t="s">
        <v>102</v>
      </c>
      <c r="W104" s="155"/>
      <c r="X104" s="156"/>
      <c r="Y104" s="154" t="s">
        <v>103</v>
      </c>
      <c r="Z104" s="155"/>
      <c r="AA104" s="156"/>
      <c r="AB104" s="154" t="s">
        <v>104</v>
      </c>
      <c r="AC104" s="155"/>
      <c r="AD104" s="156"/>
      <c r="AE104" s="154" t="s">
        <v>105</v>
      </c>
      <c r="AF104" s="155"/>
      <c r="AG104" s="156"/>
      <c r="AH104" s="154" t="s">
        <v>106</v>
      </c>
      <c r="AI104" s="155"/>
      <c r="AJ104" s="156"/>
      <c r="AK104" s="154" t="s">
        <v>107</v>
      </c>
      <c r="AL104" s="155"/>
      <c r="AM104" s="156"/>
      <c r="AN104" s="154" t="s">
        <v>108</v>
      </c>
      <c r="AO104" s="155"/>
      <c r="AP104" s="156"/>
      <c r="AQ104" s="154" t="s">
        <v>109</v>
      </c>
      <c r="AR104" s="155"/>
      <c r="AS104" s="155"/>
      <c r="AT104" s="154" t="s">
        <v>110</v>
      </c>
      <c r="AU104" s="156"/>
      <c r="AV104" s="154" t="s">
        <v>111</v>
      </c>
      <c r="AW104" s="156"/>
      <c r="AX104" s="154" t="s">
        <v>112</v>
      </c>
      <c r="AY104" s="156"/>
      <c r="AZ104" s="154" t="s">
        <v>113</v>
      </c>
      <c r="BA104" s="156"/>
      <c r="BB104" s="13"/>
      <c r="BC104" s="157" t="s">
        <v>114</v>
      </c>
      <c r="BD104" s="158"/>
      <c r="BE104" s="13" t="s">
        <v>115</v>
      </c>
      <c r="BF104" s="13"/>
      <c r="BG104" s="13"/>
      <c r="BH104" s="13"/>
    </row>
    <row r="105" spans="1:60" ht="9.75" hidden="1" customHeight="1">
      <c r="A105" s="13"/>
      <c r="B105" s="27" t="s">
        <v>63</v>
      </c>
      <c r="C105" s="27" t="s">
        <v>64</v>
      </c>
      <c r="D105" s="27" t="s">
        <v>65</v>
      </c>
      <c r="E105" s="27" t="s">
        <v>66</v>
      </c>
      <c r="F105" s="27" t="s">
        <v>63</v>
      </c>
      <c r="G105" s="27" t="s">
        <v>64</v>
      </c>
      <c r="H105" s="27" t="s">
        <v>65</v>
      </c>
      <c r="I105" s="27" t="s">
        <v>66</v>
      </c>
      <c r="J105" s="27" t="s">
        <v>63</v>
      </c>
      <c r="K105" s="27" t="s">
        <v>64</v>
      </c>
      <c r="L105" s="27" t="s">
        <v>65</v>
      </c>
      <c r="M105" s="27" t="s">
        <v>66</v>
      </c>
      <c r="N105" s="27" t="s">
        <v>63</v>
      </c>
      <c r="O105" s="27" t="s">
        <v>64</v>
      </c>
      <c r="P105" s="27" t="s">
        <v>65</v>
      </c>
      <c r="Q105" s="27" t="s">
        <v>66</v>
      </c>
      <c r="R105" s="25" t="s">
        <v>100</v>
      </c>
      <c r="S105" s="27" t="s">
        <v>6</v>
      </c>
      <c r="T105" s="27" t="s">
        <v>7</v>
      </c>
      <c r="U105" s="24" t="s">
        <v>8</v>
      </c>
      <c r="V105" s="27" t="s">
        <v>116</v>
      </c>
      <c r="W105" s="27" t="s">
        <v>117</v>
      </c>
      <c r="X105" s="27" t="s">
        <v>118</v>
      </c>
      <c r="Y105" s="27" t="s">
        <v>116</v>
      </c>
      <c r="Z105" s="27" t="s">
        <v>117</v>
      </c>
      <c r="AA105" s="27" t="s">
        <v>118</v>
      </c>
      <c r="AB105" s="27" t="s">
        <v>116</v>
      </c>
      <c r="AC105" s="27" t="s">
        <v>117</v>
      </c>
      <c r="AD105" s="27" t="s">
        <v>118</v>
      </c>
      <c r="AE105" s="27" t="s">
        <v>116</v>
      </c>
      <c r="AF105" s="27" t="s">
        <v>117</v>
      </c>
      <c r="AG105" s="27" t="s">
        <v>118</v>
      </c>
      <c r="AH105" s="27" t="s">
        <v>116</v>
      </c>
      <c r="AI105" s="27" t="s">
        <v>117</v>
      </c>
      <c r="AJ105" s="27" t="s">
        <v>118</v>
      </c>
      <c r="AK105" s="27" t="s">
        <v>116</v>
      </c>
      <c r="AL105" s="27" t="s">
        <v>117</v>
      </c>
      <c r="AM105" s="27" t="s">
        <v>118</v>
      </c>
      <c r="AN105" s="27" t="s">
        <v>116</v>
      </c>
      <c r="AO105" s="27" t="s">
        <v>117</v>
      </c>
      <c r="AP105" s="27" t="s">
        <v>118</v>
      </c>
      <c r="AQ105" s="27" t="s">
        <v>116</v>
      </c>
      <c r="AR105" s="27" t="s">
        <v>117</v>
      </c>
      <c r="AS105" s="24" t="s">
        <v>118</v>
      </c>
      <c r="AT105" s="27" t="s">
        <v>100</v>
      </c>
      <c r="AU105" s="27" t="s">
        <v>6</v>
      </c>
      <c r="AV105" s="27" t="s">
        <v>100</v>
      </c>
      <c r="AW105" s="27" t="s">
        <v>6</v>
      </c>
      <c r="AX105" s="27" t="s">
        <v>100</v>
      </c>
      <c r="AY105" s="27" t="s">
        <v>6</v>
      </c>
      <c r="AZ105" s="27" t="s">
        <v>100</v>
      </c>
      <c r="BA105" s="27" t="s">
        <v>6</v>
      </c>
      <c r="BB105" s="13"/>
      <c r="BC105" s="53" t="s">
        <v>102</v>
      </c>
      <c r="BD105" s="54" t="s">
        <v>103</v>
      </c>
      <c r="BE105" s="53" t="s">
        <v>119</v>
      </c>
      <c r="BF105" s="54" t="s">
        <v>120</v>
      </c>
      <c r="BG105" s="53" t="s">
        <v>104</v>
      </c>
      <c r="BH105" s="54" t="s">
        <v>105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IF(ISNUMBER(BC106),BC106/Eigenvalue!E3,"･")</f>
        <v>･</v>
      </c>
      <c r="BF106" s="40" t="str">
        <f>IF(ISNUMBER(BD106),BD106/Eigenvalue!E3,"･")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IF(ISNUMBER(BC107),BC107/Eigenvalue!E4,"･")</f>
        <v>･</v>
      </c>
      <c r="BF107" s="44" t="str">
        <f>IF(ISNUMBER(BD107),BD107/Eigenvalue!E4,"･")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IF(ISNUMBER(BC108),BC108/Eigenvalue!E5,"･")</f>
        <v>･</v>
      </c>
      <c r="BF108" s="44" t="str">
        <f>IF(ISNUMBER(BD108),BD108/Eigenvalue!E5,"･")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IF(ISNUMBER(BC109),BC109/Eigenvalue!E6,"･")</f>
        <v>･</v>
      </c>
      <c r="BF109" s="44" t="str">
        <f>IF(ISNUMBER(BD109),BD109/Eigenvalue!E6,"･")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IF(ISNUMBER(BC110),BC110/Eigenvalue!E7,"･")</f>
        <v>･</v>
      </c>
      <c r="BF110" s="44" t="str">
        <f>IF(ISNUMBER(BD110),BD110/Eigenvalue!E7,"･")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IF(ISNUMBER(BC111),BC111/Eigenvalue!E8,"･")</f>
        <v>･</v>
      </c>
      <c r="BF111" s="44" t="str">
        <f>IF(ISNUMBER(BD111),BD111/Eigenvalue!E8,"･")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IF(ISNUMBER(BC112),BC112/Eigenvalue!E9,"･")</f>
        <v>･</v>
      </c>
      <c r="BF112" s="44" t="str">
        <f>IF(ISNUMBER(BD112),BD112/Eigenvalue!E9,"･")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IF(ISNUMBER(BC113),BC113/Eigenvalue!E10,"･")</f>
        <v>･</v>
      </c>
      <c r="BF113" s="44" t="str">
        <f>IF(ISNUMBER(BD113),BD113/Eigenvalue!E10,"･")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IF(ISNUMBER(BC114),BC114/Eigenvalue!E11,"･")</f>
        <v>･</v>
      </c>
      <c r="BF114" s="44" t="str">
        <f>IF(ISNUMBER(BD114),BD114/Eigenvalue!E11,"･")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IF(ISNUMBER(BC115),BC115/Eigenvalue!E12,"･")</f>
        <v>･</v>
      </c>
      <c r="BF115" s="44" t="str">
        <f>IF(ISNUMBER(BD115),BD115/Eigenvalue!E12,"･")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IF(ISNUMBER(BC116),BC116/Eigenvalue!E13,"･")</f>
        <v>･</v>
      </c>
      <c r="BF116" s="44" t="str">
        <f>IF(ISNUMBER(BD116),BD116/Eigenvalue!E13,"･")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IF(ISNUMBER(BC117),BC117/Eigenvalue!E14,"･")</f>
        <v>･</v>
      </c>
      <c r="BF117" s="44" t="str">
        <f>IF(ISNUMBER(BD117),BD117/Eigenvalue!E14,"･")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IF(ISNUMBER(BC118),BC118/Eigenvalue!E15,"･")</f>
        <v>･</v>
      </c>
      <c r="BF118" s="44" t="str">
        <f>IF(ISNUMBER(BD118),BD118/Eigenvalue!E15,"･")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IF(ISNUMBER(BC119),BC119/Eigenvalue!E16,"･")</f>
        <v>･</v>
      </c>
      <c r="BF119" s="44" t="str">
        <f>IF(ISNUMBER(BD119),BD119/Eigenvalue!E16,"･")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IF(ISNUMBER(BC120),BC120/Eigenvalue!E17,"･")</f>
        <v>･</v>
      </c>
      <c r="BF120" s="44" t="str">
        <f>IF(ISNUMBER(BD120),BD120/Eigenvalue!E17,"･")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IF(ISNUMBER(BC121),BC121/Eigenvalue!E18,"･")</f>
        <v>･</v>
      </c>
      <c r="BF121" s="44" t="str">
        <f>IF(ISNUMBER(BD121),BD121/Eigenvalue!E18,"･")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IF(ISNUMBER(BC122),BC122/Eigenvalue!E19,"･")</f>
        <v>･</v>
      </c>
      <c r="BF122" s="44" t="str">
        <f>IF(ISNUMBER(BD122),BD122/Eigenvalue!E19,"･")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IF(ISNUMBER(BC123),BC123/Eigenvalue!E20,"･")</f>
        <v>･</v>
      </c>
      <c r="BF123" s="44" t="str">
        <f>IF(ISNUMBER(BD123),BD123/Eigenvalue!E20,"･")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IF(ISNUMBER(BC124),BC124/Eigenvalue!E21,"･")</f>
        <v>･</v>
      </c>
      <c r="BF124" s="44" t="str">
        <f>IF(ISNUMBER(BD124),BD124/Eigenvalue!E21,"･")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IF(ISNUMBER(BC125),BC125/Eigenvalue!E22,"･")</f>
        <v>･</v>
      </c>
      <c r="BF125" s="44" t="str">
        <f>IF(ISNUMBER(BD125),BD125/Eigenvalue!E22,"･")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IF(ISNUMBER(BC126),BC126/Eigenvalue!E23,"･")</f>
        <v>･</v>
      </c>
      <c r="BF126" s="44" t="str">
        <f>IF(ISNUMBER(BD126),BD126/Eigenvalue!E23,"･")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IF(ISNUMBER(BC127),BC127/Eigenvalue!E24,"･")</f>
        <v>･</v>
      </c>
      <c r="BF127" s="44" t="str">
        <f>IF(ISNUMBER(BD127),BD127/Eigenvalue!E24,"･")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IF(ISNUMBER(BC128),BC128/Eigenvalue!E25,"･")</f>
        <v>･</v>
      </c>
      <c r="BF128" s="44" t="str">
        <f>IF(ISNUMBER(BD128),BD128/Eigenvalue!E25,"･")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IF(ISNUMBER(BC129),BC129/Eigenvalue!E26,"･")</f>
        <v>･</v>
      </c>
      <c r="BF129" s="44" t="str">
        <f>IF(ISNUMBER(BD129),BD129/Eigenvalue!E26,"･")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IF(ISNUMBER(BC130),BC130/Eigenvalue!E27,"･")</f>
        <v>･</v>
      </c>
      <c r="BF130" s="44" t="str">
        <f>IF(ISNUMBER(BD130),BD130/Eigenvalue!E27,"･")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IF(ISNUMBER(BC131),BC131/Eigenvalue!E28,"･")</f>
        <v>･</v>
      </c>
      <c r="BF131" s="44" t="str">
        <f>IF(ISNUMBER(BD131),BD131/Eigenvalue!E28,"･")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IF(ISNUMBER(BC132),BC132/Eigenvalue!E29,"･")</f>
        <v>･</v>
      </c>
      <c r="BF132" s="44" t="str">
        <f>IF(ISNUMBER(BD132),BD132/Eigenvalue!E29,"･")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IF(ISNUMBER(BC133),BC133/Eigenvalue!E30,"･")</f>
        <v>･</v>
      </c>
      <c r="BF133" s="44" t="str">
        <f>IF(ISNUMBER(BD133),BD133/Eigenvalue!E30,"･")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IF(ISNUMBER(BC134),BC134/Eigenvalue!E31,"･")</f>
        <v>･</v>
      </c>
      <c r="BF134" s="44" t="str">
        <f>IF(ISNUMBER(BD134),BD134/Eigenvalue!E31,"･")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IF(ISNUMBER(BC135),BC135/Eigenvalue!E32,"･")</f>
        <v>･</v>
      </c>
      <c r="BF135" s="44" t="str">
        <f>IF(ISNUMBER(BD135),BD135/Eigenvalue!E32,"･")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IF(ISNUMBER(BC136),BC136/Eigenvalue!E33,"･")</f>
        <v>･</v>
      </c>
      <c r="BF136" s="44" t="str">
        <f>IF(ISNUMBER(BD136),BD136/Eigenvalue!E33,"･")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IF(ISNUMBER(BC137),BC137/Eigenvalue!E34,"･")</f>
        <v>･</v>
      </c>
      <c r="BF137" s="44" t="str">
        <f>IF(ISNUMBER(BD137),BD137/Eigenvalue!E34,"･")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IF(ISNUMBER(BC138),BC138/Eigenvalue!E35,"･")</f>
        <v>･</v>
      </c>
      <c r="BF138" s="44" t="str">
        <f>IF(ISNUMBER(BD138),BD138/Eigenvalue!E35,"･")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IF(ISNUMBER(BC139),BC139/Eigenvalue!E36,"･")</f>
        <v>･</v>
      </c>
      <c r="BF139" s="44" t="str">
        <f>IF(ISNUMBER(BD139),BD139/Eigenvalue!E36,"･")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IF(ISNUMBER(BC140),BC140/Eigenvalue!E37,"･")</f>
        <v>･</v>
      </c>
      <c r="BF140" s="44" t="str">
        <f>IF(ISNUMBER(BD140),BD140/Eigenvalue!E37,"･")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IF(ISNUMBER(BC141),BC141/Eigenvalue!E38,"･")</f>
        <v>･</v>
      </c>
      <c r="BF141" s="44" t="str">
        <f>IF(ISNUMBER(BD141),BD141/Eigenvalue!E38,"･")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IF(ISNUMBER(BC142),BC142/Eigenvalue!E39,"･")</f>
        <v>･</v>
      </c>
      <c r="BF142" s="44" t="str">
        <f>IF(ISNUMBER(BD142),BD142/Eigenvalue!E39,"･")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IF(ISNUMBER(BC143),BC143/Eigenvalue!E40,"･")</f>
        <v>･</v>
      </c>
      <c r="BF143" s="44" t="str">
        <f>IF(ISNUMBER(BD143),BD143/Eigenvalue!E40,"･")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IF(ISNUMBER(BC144),BC144/Eigenvalue!E41,"･")</f>
        <v>･</v>
      </c>
      <c r="BF144" s="44" t="str">
        <f>IF(ISNUMBER(BD144),BD144/Eigenvalue!E41,"･")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IF(ISNUMBER(BC145),BC145/Eigenvalue!E42,"･")</f>
        <v>･</v>
      </c>
      <c r="BF145" s="44" t="str">
        <f>IF(ISNUMBER(BD145),BD145/Eigenvalue!E42,"･")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IF(ISNUMBER(BC146),BC146/Eigenvalue!E43,"･")</f>
        <v>･</v>
      </c>
      <c r="BF146" s="44" t="str">
        <f>IF(ISNUMBER(BD146),BD146/Eigenvalue!E43,"･")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IF(ISNUMBER(BC147),BC147/Eigenvalue!E44,"･")</f>
        <v>･</v>
      </c>
      <c r="BF147" s="44" t="str">
        <f>IF(ISNUMBER(BD147),BD147/Eigenvalue!E44,"･")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IF(ISNUMBER(BC148),BC148/Eigenvalue!E45,"･")</f>
        <v>･</v>
      </c>
      <c r="BF148" s="44" t="str">
        <f>IF(ISNUMBER(BD148),BD148/Eigenvalue!E45,"･")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IF(ISNUMBER(BC149),BC149/Eigenvalue!E46,"･")</f>
        <v>･</v>
      </c>
      <c r="BF149" s="44" t="str">
        <f>IF(ISNUMBER(BD149),BD149/Eigenvalue!E46,"･")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IF(ISNUMBER(BC150),BC150/Eigenvalue!E47,"･")</f>
        <v>･</v>
      </c>
      <c r="BF150" s="44" t="str">
        <f>IF(ISNUMBER(BD150),BD150/Eigenvalue!E47,"･")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IF(ISNUMBER(BC151),BC151/Eigenvalue!E48,"･")</f>
        <v>･</v>
      </c>
      <c r="BF151" s="44" t="str">
        <f>IF(ISNUMBER(BD151),BD151/Eigenvalue!E48,"･")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IF(ISNUMBER(BC152),BC152/Eigenvalue!E49,"･")</f>
        <v>･</v>
      </c>
      <c r="BF152" s="44" t="str">
        <f>IF(ISNUMBER(BD152),BD152/Eigenvalue!E49,"･")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IF(ISNUMBER(BC153),BC153/Eigenvalue!E50,"･")</f>
        <v>･</v>
      </c>
      <c r="BF153" s="44" t="str">
        <f>IF(ISNUMBER(BD153),BD153/Eigenvalue!E50,"･")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IF(ISNUMBER(BC154),BC154/Eigenvalue!E51,"･")</f>
        <v>･</v>
      </c>
      <c r="BF154" s="44" t="str">
        <f>IF(ISNUMBER(BD154),BD154/Eigenvalue!E51,"･")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IF(ISNUMBER(BC155),BC155/Eigenvalue!E52,"･")</f>
        <v>･</v>
      </c>
      <c r="BF155" s="70" t="str">
        <f>IF(ISNUMBER(BD155),BD155/Eigenvalue!E52,"･")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4" t="s">
        <v>100</v>
      </c>
      <c r="C207" s="155"/>
      <c r="D207" s="155"/>
      <c r="E207" s="156"/>
      <c r="F207" s="154" t="s">
        <v>6</v>
      </c>
      <c r="G207" s="155"/>
      <c r="H207" s="155"/>
      <c r="I207" s="156"/>
      <c r="J207" s="154" t="s">
        <v>7</v>
      </c>
      <c r="K207" s="155"/>
      <c r="L207" s="155"/>
      <c r="M207" s="156"/>
      <c r="N207" s="154" t="s">
        <v>8</v>
      </c>
      <c r="O207" s="155"/>
      <c r="P207" s="155"/>
      <c r="Q207" s="156"/>
    </row>
    <row r="208" spans="1:17" ht="9.75" hidden="1" customHeight="1">
      <c r="A208" s="13"/>
      <c r="B208" s="27" t="s">
        <v>63</v>
      </c>
      <c r="C208" s="27" t="s">
        <v>64</v>
      </c>
      <c r="D208" s="27" t="s">
        <v>65</v>
      </c>
      <c r="E208" s="27" t="s">
        <v>66</v>
      </c>
      <c r="F208" s="27" t="s">
        <v>63</v>
      </c>
      <c r="G208" s="27" t="s">
        <v>64</v>
      </c>
      <c r="H208" s="27" t="s">
        <v>65</v>
      </c>
      <c r="I208" s="27" t="s">
        <v>66</v>
      </c>
      <c r="J208" s="27" t="s">
        <v>63</v>
      </c>
      <c r="K208" s="27" t="s">
        <v>64</v>
      </c>
      <c r="L208" s="27" t="s">
        <v>65</v>
      </c>
      <c r="M208" s="27" t="s">
        <v>66</v>
      </c>
      <c r="N208" s="27" t="s">
        <v>63</v>
      </c>
      <c r="O208" s="27" t="s">
        <v>64</v>
      </c>
      <c r="P208" s="27" t="s">
        <v>65</v>
      </c>
      <c r="Q208" s="27" t="s">
        <v>66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206</v>
      </c>
    </row>
    <row r="261" spans="1:17" ht="9.75" customHeight="1">
      <c r="B261" s="101" t="s">
        <v>207</v>
      </c>
    </row>
  </sheetData>
  <mergeCells count="27">
    <mergeCell ref="V104:X104"/>
    <mergeCell ref="B1:E1"/>
    <mergeCell ref="F1:I1"/>
    <mergeCell ref="J1:M1"/>
    <mergeCell ref="N1:Q1"/>
    <mergeCell ref="R1:U1"/>
    <mergeCell ref="AT104:AU104"/>
    <mergeCell ref="AV104:AW104"/>
    <mergeCell ref="AX104:AY104"/>
    <mergeCell ref="AZ104:BA104"/>
    <mergeCell ref="BC104:BD104"/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60" t="s">
        <v>56</v>
      </c>
      <c r="B1" s="26" t="s">
        <v>121</v>
      </c>
      <c r="C1" s="160" t="s">
        <v>122</v>
      </c>
      <c r="D1" s="160" t="s">
        <v>123</v>
      </c>
      <c r="E1" s="160" t="s">
        <v>124</v>
      </c>
      <c r="F1" s="160" t="s">
        <v>125</v>
      </c>
      <c r="G1" s="160" t="s">
        <v>126</v>
      </c>
      <c r="H1" s="160" t="s">
        <v>127</v>
      </c>
      <c r="I1" s="160" t="s">
        <v>41</v>
      </c>
      <c r="J1" s="160" t="s">
        <v>39</v>
      </c>
      <c r="K1" s="26" t="s">
        <v>40</v>
      </c>
      <c r="L1" s="26" t="s">
        <v>41</v>
      </c>
      <c r="M1" s="26" t="s">
        <v>42</v>
      </c>
      <c r="N1" s="26" t="s">
        <v>43</v>
      </c>
      <c r="O1" s="26" t="s">
        <v>44</v>
      </c>
      <c r="P1" s="160" t="s">
        <v>219</v>
      </c>
      <c r="Q1" s="160" t="s">
        <v>45</v>
      </c>
      <c r="R1" s="26" t="s">
        <v>46</v>
      </c>
      <c r="S1" s="26" t="s">
        <v>47</v>
      </c>
      <c r="T1" s="156" t="s">
        <v>48</v>
      </c>
      <c r="U1" s="159"/>
      <c r="V1" s="159" t="s">
        <v>49</v>
      </c>
      <c r="W1" s="159"/>
      <c r="X1" s="159" t="s">
        <v>50</v>
      </c>
      <c r="Y1" s="159"/>
      <c r="Z1" s="159" t="s">
        <v>51</v>
      </c>
      <c r="AA1" s="159"/>
      <c r="AB1" s="159" t="s">
        <v>52</v>
      </c>
      <c r="AC1" s="159"/>
      <c r="AD1" s="159" t="s">
        <v>53</v>
      </c>
      <c r="AE1" s="159"/>
      <c r="AF1" s="159" t="s">
        <v>54</v>
      </c>
      <c r="AG1" s="159"/>
    </row>
    <row r="2" spans="1:33" ht="9.75" customHeight="1">
      <c r="A2" s="161"/>
      <c r="B2" s="29" t="s">
        <v>97</v>
      </c>
      <c r="C2" s="161"/>
      <c r="D2" s="161"/>
      <c r="E2" s="161"/>
      <c r="F2" s="161"/>
      <c r="G2" s="161"/>
      <c r="H2" s="161"/>
      <c r="I2" s="161"/>
      <c r="J2" s="161"/>
      <c r="K2" s="29" t="s">
        <v>67</v>
      </c>
      <c r="L2" s="29" t="s">
        <v>68</v>
      </c>
      <c r="M2" s="29" t="s">
        <v>69</v>
      </c>
      <c r="N2" s="29" t="s">
        <v>70</v>
      </c>
      <c r="O2" s="29" t="s">
        <v>71</v>
      </c>
      <c r="P2" s="161"/>
      <c r="Q2" s="161"/>
      <c r="R2" s="29" t="s">
        <v>72</v>
      </c>
      <c r="S2" s="29" t="s">
        <v>73</v>
      </c>
      <c r="T2" s="25" t="s">
        <v>74</v>
      </c>
      <c r="U2" s="27" t="s">
        <v>75</v>
      </c>
      <c r="V2" s="27" t="s">
        <v>74</v>
      </c>
      <c r="W2" s="27" t="s">
        <v>75</v>
      </c>
      <c r="X2" s="27" t="s">
        <v>46</v>
      </c>
      <c r="Y2" s="27" t="s">
        <v>47</v>
      </c>
      <c r="Z2" s="27" t="s">
        <v>46</v>
      </c>
      <c r="AA2" s="27" t="s">
        <v>47</v>
      </c>
      <c r="AB2" s="27" t="s">
        <v>76</v>
      </c>
      <c r="AC2" s="27" t="s">
        <v>77</v>
      </c>
      <c r="AD2" s="27" t="s">
        <v>78</v>
      </c>
      <c r="AE2" s="27" t="s">
        <v>79</v>
      </c>
      <c r="AF2" s="27" t="s">
        <v>78</v>
      </c>
      <c r="AG2" s="27" t="s">
        <v>79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4" t="s">
        <v>55</v>
      </c>
      <c r="B54" s="155"/>
      <c r="C54" s="155"/>
      <c r="D54" s="156"/>
      <c r="E54" s="26" t="s">
        <v>57</v>
      </c>
      <c r="F54" s="26" t="s">
        <v>58</v>
      </c>
      <c r="G54" s="28" t="s">
        <v>59</v>
      </c>
      <c r="H54" s="154" t="s">
        <v>60</v>
      </c>
      <c r="I54" s="155"/>
      <c r="J54" s="155"/>
      <c r="K54" s="156"/>
      <c r="L54" s="155" t="s">
        <v>61</v>
      </c>
      <c r="M54" s="156"/>
      <c r="N54" s="154" t="s">
        <v>62</v>
      </c>
      <c r="O54" s="156"/>
      <c r="T54" s="109">
        <v>30</v>
      </c>
      <c r="U54" s="13" t="s">
        <v>98</v>
      </c>
    </row>
    <row r="55" spans="1:33" ht="9.75" customHeight="1">
      <c r="A55" s="27" t="s">
        <v>56</v>
      </c>
      <c r="B55" s="29" t="s">
        <v>80</v>
      </c>
      <c r="C55" s="29" t="s">
        <v>81</v>
      </c>
      <c r="D55" s="29" t="s">
        <v>82</v>
      </c>
      <c r="E55" s="30" t="s">
        <v>83</v>
      </c>
      <c r="F55" s="30" t="s">
        <v>83</v>
      </c>
      <c r="G55" s="31" t="s">
        <v>84</v>
      </c>
      <c r="H55" s="32" t="s">
        <v>85</v>
      </c>
      <c r="I55" s="27" t="s">
        <v>86</v>
      </c>
      <c r="J55" s="27" t="s">
        <v>87</v>
      </c>
      <c r="K55" s="27" t="s">
        <v>88</v>
      </c>
      <c r="L55" s="33" t="s">
        <v>89</v>
      </c>
      <c r="M55" s="29" t="s">
        <v>46</v>
      </c>
      <c r="N55" s="29" t="s">
        <v>89</v>
      </c>
      <c r="O55" s="29" t="s">
        <v>46</v>
      </c>
      <c r="T55" s="110">
        <v>0</v>
      </c>
      <c r="U55" s="13" t="s">
        <v>99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202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4" t="s">
        <v>92</v>
      </c>
      <c r="B62" s="155"/>
      <c r="C62" s="155"/>
      <c r="D62" s="156"/>
      <c r="E62" s="26" t="s">
        <v>93</v>
      </c>
      <c r="F62" s="26" t="s">
        <v>94</v>
      </c>
      <c r="G62" s="26" t="s">
        <v>95</v>
      </c>
      <c r="H62" s="154" t="s">
        <v>61</v>
      </c>
      <c r="I62" s="156"/>
      <c r="J62" s="154" t="s">
        <v>62</v>
      </c>
      <c r="K62" s="156"/>
    </row>
    <row r="63" spans="1:33" ht="9.75" customHeight="1">
      <c r="A63" s="27" t="s">
        <v>56</v>
      </c>
      <c r="B63" s="29" t="s">
        <v>80</v>
      </c>
      <c r="C63" s="29" t="s">
        <v>81</v>
      </c>
      <c r="D63" s="29" t="s">
        <v>82</v>
      </c>
      <c r="E63" s="29" t="s">
        <v>96</v>
      </c>
      <c r="F63" s="29" t="s">
        <v>96</v>
      </c>
      <c r="G63" s="29" t="s">
        <v>97</v>
      </c>
      <c r="H63" s="27" t="s">
        <v>93</v>
      </c>
      <c r="I63" s="27" t="s">
        <v>95</v>
      </c>
      <c r="J63" s="27" t="s">
        <v>93</v>
      </c>
      <c r="K63" s="27" t="s">
        <v>95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  <mergeCell ref="A62:D62"/>
    <mergeCell ref="H62:I62"/>
    <mergeCell ref="J62:K62"/>
    <mergeCell ref="Z1:AA1"/>
    <mergeCell ref="AB1:AC1"/>
    <mergeCell ref="F1:F2"/>
    <mergeCell ref="G1:G2"/>
    <mergeCell ref="Q1:Q2"/>
    <mergeCell ref="P1:P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158</v>
      </c>
      <c r="E1" s="26" t="s">
        <v>159</v>
      </c>
      <c r="F1" s="26" t="s">
        <v>160</v>
      </c>
      <c r="G1" s="26" t="s">
        <v>161</v>
      </c>
      <c r="H1" s="26" t="s">
        <v>162</v>
      </c>
      <c r="I1" s="26" t="s">
        <v>163</v>
      </c>
      <c r="J1" s="26" t="s">
        <v>164</v>
      </c>
      <c r="K1" s="26" t="s">
        <v>165</v>
      </c>
      <c r="L1" s="26" t="s">
        <v>166</v>
      </c>
      <c r="M1" s="26" t="s">
        <v>167</v>
      </c>
      <c r="N1" s="26" t="s">
        <v>168</v>
      </c>
      <c r="O1" s="26" t="s">
        <v>56</v>
      </c>
      <c r="P1" s="26" t="s">
        <v>169</v>
      </c>
      <c r="Q1" s="154" t="s">
        <v>170</v>
      </c>
      <c r="R1" s="156"/>
      <c r="S1" s="154" t="s">
        <v>171</v>
      </c>
      <c r="T1" s="156"/>
      <c r="V1" s="26" t="s">
        <v>163</v>
      </c>
      <c r="W1" s="26" t="s">
        <v>164</v>
      </c>
      <c r="X1" s="26" t="s">
        <v>172</v>
      </c>
      <c r="Y1" s="26" t="s">
        <v>167</v>
      </c>
      <c r="Z1" s="26" t="s">
        <v>173</v>
      </c>
      <c r="AA1" s="26" t="s">
        <v>56</v>
      </c>
      <c r="AB1" s="28" t="s">
        <v>169</v>
      </c>
      <c r="AC1" s="154" t="s">
        <v>170</v>
      </c>
      <c r="AD1" s="156"/>
      <c r="AE1" s="154" t="s">
        <v>171</v>
      </c>
      <c r="AF1" s="156"/>
    </row>
    <row r="2" spans="1:32" ht="9.75" customHeight="1">
      <c r="D2" s="29" t="s">
        <v>174</v>
      </c>
      <c r="E2" s="29"/>
      <c r="F2" s="29" t="s">
        <v>175</v>
      </c>
      <c r="G2" s="29" t="s">
        <v>175</v>
      </c>
      <c r="H2" s="29" t="s">
        <v>176</v>
      </c>
      <c r="I2" s="29" t="s">
        <v>83</v>
      </c>
      <c r="J2" s="29" t="s">
        <v>177</v>
      </c>
      <c r="K2" s="29" t="s">
        <v>178</v>
      </c>
      <c r="L2" s="29" t="s">
        <v>178</v>
      </c>
      <c r="M2" s="29" t="s">
        <v>179</v>
      </c>
      <c r="N2" s="29"/>
      <c r="O2" s="29"/>
      <c r="P2" s="29" t="s">
        <v>180</v>
      </c>
      <c r="Q2" s="25" t="s">
        <v>181</v>
      </c>
      <c r="R2" s="27" t="s">
        <v>167</v>
      </c>
      <c r="S2" s="27" t="s">
        <v>181</v>
      </c>
      <c r="T2" s="27" t="s">
        <v>167</v>
      </c>
      <c r="V2" s="29" t="s">
        <v>177</v>
      </c>
      <c r="W2" s="29" t="s">
        <v>177</v>
      </c>
      <c r="X2" s="29" t="s">
        <v>176</v>
      </c>
      <c r="Y2" s="29" t="s">
        <v>179</v>
      </c>
      <c r="Z2" s="29" t="s">
        <v>179</v>
      </c>
      <c r="AA2" s="29"/>
      <c r="AB2" s="29" t="s">
        <v>180</v>
      </c>
      <c r="AC2" s="27" t="s">
        <v>181</v>
      </c>
      <c r="AD2" s="27" t="s">
        <v>167</v>
      </c>
      <c r="AE2" s="27" t="s">
        <v>181</v>
      </c>
      <c r="AF2" s="27" t="s">
        <v>167</v>
      </c>
    </row>
    <row r="3" spans="1:32" ht="9.75" customHeight="1">
      <c r="A3" s="27" t="s">
        <v>182</v>
      </c>
      <c r="B3" s="13" t="s">
        <v>183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182</v>
      </c>
      <c r="B5" s="13" t="s">
        <v>184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128</v>
      </c>
      <c r="S1" s="13" t="s">
        <v>129</v>
      </c>
    </row>
    <row r="2" spans="1:20" ht="9.75" customHeight="1">
      <c r="A2" s="101"/>
      <c r="B2" s="27" t="s">
        <v>188</v>
      </c>
      <c r="C2" s="27" t="s">
        <v>130</v>
      </c>
      <c r="D2" s="27" t="s">
        <v>131</v>
      </c>
      <c r="E2" s="27" t="s">
        <v>132</v>
      </c>
      <c r="F2" s="27" t="s">
        <v>133</v>
      </c>
      <c r="G2" s="27" t="s">
        <v>134</v>
      </c>
      <c r="H2" s="27" t="s">
        <v>135</v>
      </c>
      <c r="I2" s="99" t="s">
        <v>136</v>
      </c>
      <c r="J2" s="99" t="s">
        <v>137</v>
      </c>
      <c r="K2" s="99" t="s">
        <v>138</v>
      </c>
      <c r="L2" s="13" t="s">
        <v>139</v>
      </c>
      <c r="R2" s="13" t="s">
        <v>140</v>
      </c>
      <c r="S2" s="13" t="s">
        <v>141</v>
      </c>
      <c r="T2" s="100" t="s">
        <v>370</v>
      </c>
    </row>
    <row r="3" spans="1:20" ht="9.75" customHeight="1">
      <c r="A3" s="101"/>
      <c r="B3" s="106">
        <v>1</v>
      </c>
      <c r="C3" s="115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371</v>
      </c>
      <c r="R3">
        <v>508.6</v>
      </c>
      <c r="S3">
        <v>0</v>
      </c>
    </row>
    <row r="4" spans="1:20" ht="9.75" customHeight="1">
      <c r="A4" s="101"/>
      <c r="B4" s="107">
        <v>2</v>
      </c>
      <c r="C4" s="116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17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18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19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0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1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2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3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4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5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26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27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28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29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0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1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2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3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4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187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IF(COUNTIF(G3:G22,"L1&amp;L2")&gt;0,IF(COUNTIF(L3:L22,"NG")=0,IF(Overview!P5="JPN","読込済","loaded"),"･"),IF(Overview!P5="JPN","読込済","loaded")),"･"),"･"))</f>
        <v>waiting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191</v>
      </c>
      <c r="E26" s="12"/>
      <c r="F26" s="12"/>
      <c r="G26" s="12"/>
    </row>
    <row r="27" spans="1:19" ht="9.75" customHeight="1">
      <c r="A27" s="101"/>
      <c r="B27" s="103" t="s">
        <v>185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186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OR(C24="読込済",C24="loaded")</formula>
    </cfRule>
    <cfRule type="expression" dxfId="4" priority="2">
      <formula>OR(C24="要読込",C24="waiting")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disablePrompts="1" count="4"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  <dataValidation type="list" allowBlank="1" showInputMessage="1" showErrorMessage="1" sqref="T2" xr:uid="{6C1EEE90-29A1-4255-A395-5D00F54009E6}">
      <formula1>"Acc,Vel,Dis,Sf,Sp"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145</v>
      </c>
      <c r="B1" s="95" t="s">
        <v>149</v>
      </c>
      <c r="C1" s="95" t="s">
        <v>149</v>
      </c>
      <c r="D1" s="95" t="s">
        <v>144</v>
      </c>
      <c r="E1" s="95" t="s">
        <v>144</v>
      </c>
      <c r="F1" s="95" t="s">
        <v>143</v>
      </c>
      <c r="G1" s="95" t="s">
        <v>149</v>
      </c>
      <c r="H1" s="95" t="s">
        <v>149</v>
      </c>
      <c r="I1" s="95" t="s">
        <v>144</v>
      </c>
      <c r="J1" s="95" t="s">
        <v>144</v>
      </c>
      <c r="K1" s="96" t="s">
        <v>149</v>
      </c>
      <c r="L1" s="96" t="s">
        <v>148</v>
      </c>
      <c r="M1" s="96" t="s">
        <v>147</v>
      </c>
      <c r="O1" s="13" t="s">
        <v>146</v>
      </c>
      <c r="AK1" s="13" t="s">
        <v>145</v>
      </c>
      <c r="BG1" s="13" t="s">
        <v>144</v>
      </c>
      <c r="CC1" s="13" t="s">
        <v>143</v>
      </c>
      <c r="CY1" s="13" t="s">
        <v>142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IF(K2&lt;=0.16,(0.64+6*K2)*SeismicWaves!C$28,
IF(K2&lt;=0.64,1.6*SeismicWaves!C$28,
(1.024/K2)*SeismicWaves!C$28))*K2/(2*PI())*100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IF(K3&lt;=0.16,(0.64+6*K3)*SeismicWaves!C$28,
IF(K3&lt;=0.64,1.6*SeismicWaves!C$28,
(1.024/K3)*SeismicWaves!C$28))*K3/(2*PI())*100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IF(K4&lt;=0.16,(0.64+6*K4)*SeismicWaves!C$28,
IF(K4&lt;=0.64,1.6*SeismicWaves!C$28,
(1.024/K4)*SeismicWaves!C$28))*K4/(2*PI())*100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IF(K5&lt;=0.16,(0.64+6*K5)*SeismicWaves!C$28,
IF(K5&lt;=0.64,1.6*SeismicWaves!C$28,
(1.024/K5)*SeismicWaves!C$28))*K5/(2*PI())*100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IF(K6&lt;=0.16,(0.64+6*K6)*SeismicWaves!C$28,
IF(K6&lt;=0.64,1.6*SeismicWaves!C$28,
(1.024/K6)*SeismicWaves!C$28))*K6/(2*PI())*100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IF(K7&lt;=0.16,(0.64+6*K7)*SeismicWaves!C$28,
IF(K7&lt;=0.64,1.6*SeismicWaves!C$28,
(1.024/K7)*SeismicWaves!C$28))*K7/(2*PI())*100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IF(K8&lt;=0.16,(0.64+6*K8)*SeismicWaves!C$28,
IF(K8&lt;=0.64,1.6*SeismicWaves!C$28,
(1.024/K8)*SeismicWaves!C$28))*K8/(2*PI())*100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IF(K9&lt;=0.16,(0.64+6*K9)*SeismicWaves!C$28,
IF(K9&lt;=0.64,1.6*SeismicWaves!C$28,
(1.024/K9)*SeismicWaves!C$28))*K9/(2*PI())*100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IF(K10&lt;=0.16,(0.64+6*K10)*SeismicWaves!C$28,
IF(K10&lt;=0.64,1.6*SeismicWaves!C$28,
(1.024/K10)*SeismicWaves!C$28))*K10/(2*PI())*100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IF(K11&lt;=0.16,(0.64+6*K11)*SeismicWaves!C$28,
IF(K11&lt;=0.64,1.6*SeismicWaves!C$28,
(1.024/K11)*SeismicWaves!C$28))*K11/(2*PI())*100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IF(K12&lt;=0.16,(0.64+6*K12)*SeismicWaves!C$28,
IF(K12&lt;=0.64,1.6*SeismicWaves!C$28,
(1.024/K12)*SeismicWaves!C$28))*K12/(2*PI())*100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IF(K13&lt;=0.16,(0.64+6*K13)*SeismicWaves!C$28,
IF(K13&lt;=0.64,1.6*SeismicWaves!C$28,
(1.024/K13)*SeismicWaves!C$28))*K13/(2*PI())*100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IF(K14&lt;=0.16,(0.64+6*K14)*SeismicWaves!C$28,
IF(K14&lt;=0.64,1.6*SeismicWaves!C$28,
(1.024/K14)*SeismicWaves!C$28))*K14/(2*PI())*100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IF(K15&lt;=0.16,(0.64+6*K15)*SeismicWaves!C$28,
IF(K15&lt;=0.64,1.6*SeismicWaves!C$28,
(1.024/K15)*SeismicWaves!C$28))*K15/(2*PI())*100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IF(K16&lt;=0.16,(0.64+6*K16)*SeismicWaves!C$28,
IF(K16&lt;=0.64,1.6*SeismicWaves!C$28,
(1.024/K16)*SeismicWaves!C$28))*K16/(2*PI())*100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IF(K17&lt;=0.16,(0.64+6*K17)*SeismicWaves!C$28,
IF(K17&lt;=0.64,1.6*SeismicWaves!C$28,
(1.024/K17)*SeismicWaves!C$28))*K17/(2*PI())*100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IF(K18&lt;=0.16,(0.64+6*K18)*SeismicWaves!C$28,
IF(K18&lt;=0.64,1.6*SeismicWaves!C$28,
(1.024/K18)*SeismicWaves!C$28))*K18/(2*PI())*100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IF(K19&lt;=0.16,(0.64+6*K19)*SeismicWaves!C$28,
IF(K19&lt;=0.64,1.6*SeismicWaves!C$28,
(1.024/K19)*SeismicWaves!C$28))*K19/(2*PI())*100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"X方向最大応答 ("&amp;IF(MID(DA1,1,1)="L","レベル"&amp;MID(DA1,2,LEN(DA1)-1),DA1)&amp;"地震時｜"&amp;DA3&amp;")"</f>
        <v>X方向最大応答 (レベル2地震時｜state1)</v>
      </c>
      <c r="B79" s="162"/>
      <c r="C79" s="162" t="str">
        <f>A79</f>
        <v>X方向最大応答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E853BECC-C25F-484F-8B39-A27EF116F918}">
      <formula1>"L1,L2,L1.5,L3"</formula1>
    </dataValidation>
    <dataValidation type="list" allowBlank="1" showInputMessage="1" showErrorMessage="1" sqref="DA3" xr:uid="{CBDF4E02-5CA9-4828-899D-D18EFC7B704D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"Y方向最大応答 ("&amp;IF(MID(DA1,1,1)="L","レベル"&amp;MID(DA1,2,LEN(DA1)-1),DA1)&amp;"地震時｜"&amp;DA3&amp;")"</f>
        <v>Y方向最大応答 (レベル2地震時｜state1)</v>
      </c>
      <c r="B79" s="162"/>
      <c r="C79" s="162" t="str">
        <f>A79</f>
        <v>Y方向最大応答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DC57FCD7-DC92-46F8-897E-BB85AF579A2E}">
      <formula1>"L1,L2,L1.5,L3"</formula1>
    </dataValidation>
    <dataValidation type="list" allowBlank="1" showInputMessage="1" showErrorMessage="1" sqref="DA3" xr:uid="{68694234-C118-42FF-8F51-6CF845594558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"U方向最大応答 ("&amp;IF(MID(DA1,1,1)="L","レベル"&amp;MID(DA1,2,LEN(DA1)-1),DA1)&amp;"地震時｜"&amp;DA3&amp;")"</f>
        <v>U方向最大応答 (レベル2地震時｜state1)</v>
      </c>
      <c r="B79" s="162"/>
      <c r="C79" s="162" t="str">
        <f>A79</f>
        <v>U方向最大応答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C86D9DB4-FF13-4CD3-B747-7CB7557B5BF9}">
      <formula1>"L1,L2,L1.5,L3"</formula1>
    </dataValidation>
    <dataValidation type="list" allowBlank="1" showInputMessage="1" showErrorMessage="1" sqref="DA3" xr:uid="{21AF550E-65FB-415A-B81C-9E0228E671E1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IF(ISBLANK(SeismicWaves!H3),"･",
IF(OR(DA$1="L1",DA$1="L1.5"),IF(OR(SeismicWaves!G3="L1",SeismicWaves!G3="L1&amp;L2"),"Wave1",IF(Overview!P5="JPN","対象外","excepted")),
IF(OR(DA$1="L2",DA$1="L3"),IF(OR(SeismicWaves!G3="L2",SeismicWaves!G3="L1&amp;L2"),"Wave1",IF(Overview!P5="JPN","対象外","excepted")),
IF(DA$1=SeismicWaves!G3,"Wave1",IF(Overview!P5="JPN","対象外","excepted")))))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IF(ISBLANK(SeismicWaves!H4),"･",
IF(OR(DA$1="L1",DA$1="L1.5"),IF(OR(SeismicWaves!G4="L1",SeismicWaves!G4="L1&amp;L2"),"Wave2",IF(Overview!P5="JPN","対象外","excepted")),
IF(OR(DA$1="L2",DA$1="L3"),IF(OR(SeismicWaves!G4="L2",SeismicWaves!G4="L1&amp;L2"),"Wave2",IF(Overview!P5="JPN","対象外","excepted")),
IF(DA$1=SeismicWaves!G4,"Wave2",IF(Overview!P5="JPN","対象外","excepted")))))</f>
        <v>･</v>
      </c>
      <c r="DA2" s="164"/>
    </row>
    <row r="3" spans="2:105" ht="9.75" customHeight="1">
      <c r="B3" s="135" t="str">
        <f>IF(ISBLANK(SeismicWaves!H5),"･",
IF(OR(DA$1="L1",DA$1="L1.5"),IF(OR(SeismicWaves!G5="L1",SeismicWaves!G5="L1&amp;L2"),"Wave3",IF(Overview!P5="JPN","対象外","excepted")),
IF(OR(DA$1="L2",DA$1="L3"),IF(OR(SeismicWaves!G5="L2",SeismicWaves!G5="L1&amp;L2"),"Wave3",IF(Overview!P5="JPN","対象外","excepted")),
IF(DA$1=SeismicWaves!G5,"Wave3",IF(Overview!P5="JPN","対象外","excepted")))))</f>
        <v>･</v>
      </c>
      <c r="DA3" s="163" t="s">
        <v>372</v>
      </c>
    </row>
    <row r="4" spans="2:105" ht="9.75" customHeight="1">
      <c r="B4" s="135" t="str">
        <f>IF(ISBLANK(SeismicWaves!H6),"･",
IF(OR(DA$1="L1",DA$1="L1.5"),IF(OR(SeismicWaves!G6="L1",SeismicWaves!G6="L1&amp;L2"),"Wave4",IF(Overview!P5="JPN","対象外","excepted")),
IF(OR(DA$1="L2",DA$1="L3"),IF(OR(SeismicWaves!G6="L2",SeismicWaves!G6="L1&amp;L2"),"Wave4",IF(Overview!P5="JPN","対象外","excepted")),
IF(DA$1=SeismicWaves!G6,"Wave4",IF(Overview!P5="JPN","対象外","excepted")))))</f>
        <v>･</v>
      </c>
      <c r="DA4" s="164"/>
    </row>
    <row r="5" spans="2:105" ht="9.75" customHeight="1">
      <c r="B5" s="135" t="str">
        <f>IF(ISBLANK(SeismicWaves!H7),"･",
IF(OR(DA$1="L1",DA$1="L1.5"),IF(OR(SeismicWaves!G7="L1",SeismicWaves!G7="L1&amp;L2"),"Wave5",IF(Overview!P5="JPN","対象外","excepted")),
IF(OR(DA$1="L2",DA$1="L3"),IF(OR(SeismicWaves!G7="L2",SeismicWaves!G7="L1&amp;L2"),"Wave5",IF(Overview!P5="JPN","対象外","excepted")),
IF(DA$1=SeismicWaves!G7,"Wave5",IF(Overview!P5="JPN","対象外","excepted")))))</f>
        <v>･</v>
      </c>
      <c r="DA5" s="137"/>
    </row>
    <row r="6" spans="2:105" ht="9.75" customHeight="1">
      <c r="B6" s="135" t="str">
        <f>IF(ISBLANK(SeismicWaves!H8),"･",
IF(OR(DA$1="L1",DA$1="L1.5"),IF(OR(SeismicWaves!G8="L1",SeismicWaves!G8="L1&amp;L2"),"Wave6",IF(Overview!P5="JPN","対象外","excepted")),
IF(OR(DA$1="L2",DA$1="L3"),IF(OR(SeismicWaves!G8="L2",SeismicWaves!G8="L1&amp;L2"),"Wave6",IF(Overview!P5="JPN","対象外","excepted")),
IF(DA$1=SeismicWaves!G8,"Wave6",IF(Overview!P5="JPN","対象外","excepted")))))</f>
        <v>･</v>
      </c>
      <c r="DA6" s="137"/>
    </row>
    <row r="7" spans="2:105" ht="9.75" customHeight="1">
      <c r="B7" s="135" t="str">
        <f>IF(ISBLANK(SeismicWaves!H9),"･",
IF(OR(DA$1="L1",DA$1="L1.5"),IF(OR(SeismicWaves!G9="L1",SeismicWaves!G9="L1&amp;L2"),"Wave7",IF(Overview!P5="JPN","対象外","excepted")),
IF(OR(DA$1="L2",DA$1="L3"),IF(OR(SeismicWaves!G9="L2",SeismicWaves!G9="L1&amp;L2"),"Wave7",IF(Overview!P5="JPN","対象外","excepted")),
IF(DA$1=SeismicWaves!G9,"Wave7",IF(Overview!P5="JPN","対象外","excepted")))))</f>
        <v>･</v>
      </c>
      <c r="DA7" s="137"/>
    </row>
    <row r="8" spans="2:105" ht="9.75" customHeight="1">
      <c r="B8" s="135" t="str">
        <f>IF(ISBLANK(SeismicWaves!H10),"･",
IF(OR(DA$1="L1",DA$1="L1.5"),IF(OR(SeismicWaves!G10="L1",SeismicWaves!G10="L1&amp;L2"),"Wave8",IF(Overview!P5="JPN","対象外","excepted")),
IF(OR(DA$1="L2",DA$1="L3"),IF(OR(SeismicWaves!G10="L2",SeismicWaves!G10="L1&amp;L2"),"Wave8",IF(Overview!P5="JPN","対象外","excepted")),
IF(DA$1=SeismicWaves!G10,"Wave8",IF(Overview!P5="JPN","対象外","excepted")))))</f>
        <v>･</v>
      </c>
      <c r="DA8" s="137"/>
    </row>
    <row r="9" spans="2:105" ht="9.75" customHeight="1">
      <c r="B9" s="135" t="str">
        <f>IF(ISBLANK(SeismicWaves!H11),"･",
IF(OR(DA$1="L1",DA$1="L1.5"),IF(OR(SeismicWaves!G11="L1",SeismicWaves!G11="L1&amp;L2"),"Wave9",IF(Overview!P5="JPN","対象外","excepted")),
IF(OR(DA$1="L2",DA$1="L3"),IF(OR(SeismicWaves!G11="L2",SeismicWaves!G11="L1&amp;L2"),"Wave9",IF(Overview!P5="JPN","対象外","excepted")),
IF(DA$1=SeismicWaves!G11,"Wave9",IF(Overview!P5="JPN","対象外","excepted")))))</f>
        <v>･</v>
      </c>
      <c r="DA9" s="137"/>
    </row>
    <row r="10" spans="2:105" ht="9.75" customHeight="1">
      <c r="B10" s="135" t="str">
        <f>IF(ISBLANK(SeismicWaves!H12),"･",
IF(OR(DA$1="L1",DA$1="L1.5"),IF(OR(SeismicWaves!G12="L1",SeismicWaves!G12="L1&amp;L2"),"Wave10",IF(Overview!P5="JPN","対象外","excepted")),
IF(OR(DA$1="L2",DA$1="L3"),IF(OR(SeismicWaves!G12="L2",SeismicWaves!G12="L1&amp;L2"),"Wave10",IF(Overview!P5="JPN","対象外","excepted")),
IF(DA$1=SeismicWaves!G12,"Wave10",IF(Overview!P5="JPN","対象外","excepted")))))</f>
        <v>･</v>
      </c>
      <c r="DA10" s="137"/>
    </row>
    <row r="11" spans="2:105" ht="9.75" customHeight="1">
      <c r="B11" s="135" t="str">
        <f>IF(ISBLANK(SeismicWaves!H13),"･",
IF(OR(DA$1="L1",DA$1="L1.5"),IF(OR(SeismicWaves!G13="L1",SeismicWaves!G13="L1&amp;L2"),"Wave11",IF(Overview!P5="JPN","対象外","excepted")),
IF(OR(DA$1="L2",DA$1="L3"),IF(OR(SeismicWaves!G13="L2",SeismicWaves!G13="L1&amp;L2"),"Wave11",IF(Overview!P5="JPN","対象外","excepted")),
IF(DA$1=SeismicWaves!G13,"Wave11",IF(Overview!P5="JPN","対象外","excepted")))))</f>
        <v>･</v>
      </c>
      <c r="DA11" s="137"/>
    </row>
    <row r="12" spans="2:105" ht="9.75" customHeight="1">
      <c r="B12" s="135" t="str">
        <f>IF(ISBLANK(SeismicWaves!H14),"･",
IF(OR(DA$1="L1",DA$1="L1.5"),IF(OR(SeismicWaves!G14="L1",SeismicWaves!G14="L1&amp;L2"),"Wave12",IF(Overview!P5="JPN","対象外","excepted")),
IF(OR(DA$1="L2",DA$1="L3"),IF(OR(SeismicWaves!G14="L2",SeismicWaves!G14="L1&amp;L2"),"Wave12",IF(Overview!P5="JPN","対象外","excepted")),
IF(DA$1=SeismicWaves!G14,"Wave12",IF(Overview!P5="JPN","対象外","excepted")))))</f>
        <v>･</v>
      </c>
      <c r="DA12" s="137"/>
    </row>
    <row r="13" spans="2:105" ht="9.75" customHeight="1">
      <c r="B13" s="135" t="str">
        <f>IF(ISBLANK(SeismicWaves!H15),"･",
IF(OR(DA$1="L1",DA$1="L1.5"),IF(OR(SeismicWaves!G15="L1",SeismicWaves!G15="L1&amp;L2"),"Wave13",IF(Overview!P5="JPN","対象外","excepted")),
IF(OR(DA$1="L2",DA$1="L3"),IF(OR(SeismicWaves!G15="L2",SeismicWaves!G15="L1&amp;L2"),"Wave13",IF(Overview!P5="JPN","対象外","excepted")),
IF(DA$1=SeismicWaves!G15,"Wave13",IF(Overview!P5="JPN","対象外","excepted")))))</f>
        <v>･</v>
      </c>
      <c r="DA13" s="137"/>
    </row>
    <row r="14" spans="2:105" ht="9.75" customHeight="1">
      <c r="B14" s="135" t="str">
        <f>IF(ISBLANK(SeismicWaves!H16),"･",
IF(OR(DA$1="L1",DA$1="L1.5"),IF(OR(SeismicWaves!G16="L1",SeismicWaves!G16="L1&amp;L2"),"Wave14",IF(Overview!P5="JPN","対象外","excepted")),
IF(OR(DA$1="L2",DA$1="L3"),IF(OR(SeismicWaves!G16="L2",SeismicWaves!G16="L1&amp;L2"),"Wave14",IF(Overview!P5="JPN","対象外","excepted")),
IF(DA$1=SeismicWaves!G16,"Wave14",IF(Overview!P5="JPN","対象外","excepted")))))</f>
        <v>･</v>
      </c>
      <c r="DA14" s="137"/>
    </row>
    <row r="15" spans="2:105" ht="9.75" customHeight="1">
      <c r="B15" s="135" t="str">
        <f>IF(ISBLANK(SeismicWaves!H17),"･",
IF(OR(DA$1="L1",DA$1="L1.5"),IF(OR(SeismicWaves!G17="L1",SeismicWaves!G17="L1&amp;L2"),"Wave15",IF(Overview!P5="JPN","対象外","excepted")),
IF(OR(DA$1="L2",DA$1="L3"),IF(OR(SeismicWaves!G17="L2",SeismicWaves!G17="L1&amp;L2"),"Wave15",IF(Overview!P5="JPN","対象外","excepted")),
IF(DA$1=SeismicWaves!G17,"Wave15",IF(Overview!P5="JPN","対象外","excepted")))))</f>
        <v>･</v>
      </c>
      <c r="DA15" s="137"/>
    </row>
    <row r="16" spans="2:105" ht="9.75" customHeight="1">
      <c r="B16" s="135" t="str">
        <f>IF(ISBLANK(SeismicWaves!H18),"･",
IF(OR(DA$1="L1",DA$1="L1.5"),IF(OR(SeismicWaves!G18="L1",SeismicWaves!G18="L1&amp;L2"),"Wave16",IF(Overview!P5="JPN","対象外","excepted")),
IF(OR(DA$1="L2",DA$1="L3"),IF(OR(SeismicWaves!G18="L2",SeismicWaves!G18="L1&amp;L2"),"Wave16",IF(Overview!P5="JPN","対象外","excepted")),
IF(DA$1=SeismicWaves!G18,"Wave16",IF(Overview!P5="JPN","対象外","excepted")))))</f>
        <v>･</v>
      </c>
      <c r="DA16" s="137"/>
    </row>
    <row r="17" spans="1:105" ht="9.75" customHeight="1">
      <c r="B17" s="135" t="str">
        <f>IF(ISBLANK(SeismicWaves!H19),"･",
IF(OR(DA$1="L1",DA$1="L1.5"),IF(OR(SeismicWaves!G19="L1",SeismicWaves!G19="L1&amp;L2"),"Wave17",IF(Overview!P5="JPN","対象外","excepted")),
IF(OR(DA$1="L2",DA$1="L3"),IF(OR(SeismicWaves!G19="L2",SeismicWaves!G19="L1&amp;L2"),"Wave17",IF(Overview!P5="JPN","対象外","excepted")),
IF(DA$1=SeismicWaves!G19,"Wave17",IF(Overview!P5="JPN","対象外","excepted")))))</f>
        <v>･</v>
      </c>
      <c r="DA17" s="137"/>
    </row>
    <row r="18" spans="1:105" ht="9.75" customHeight="1">
      <c r="B18" s="135" t="str">
        <f>IF(ISBLANK(SeismicWaves!H20),"･",
IF(OR(DA$1="L1",DA$1="L1.5"),IF(OR(SeismicWaves!G20="L1",SeismicWaves!G20="L1&amp;L2"),"Wave18",IF(Overview!P5="JPN","対象外","excepted")),
IF(OR(DA$1="L2",DA$1="L3"),IF(OR(SeismicWaves!G20="L2",SeismicWaves!G20="L1&amp;L2"),"Wave18",IF(Overview!P5="JPN","対象外","excepted")),
IF(DA$1=SeismicWaves!G20,"Wave18",IF(Overview!P5="JPN","対象外","excepted")))))</f>
        <v>･</v>
      </c>
      <c r="DA18" s="137"/>
    </row>
    <row r="19" spans="1:105" ht="9.75" customHeight="1">
      <c r="B19" s="135" t="str">
        <f>IF(ISBLANK(SeismicWaves!H21),"･",
IF(OR(DA$1="L1",DA$1="L1.5"),IF(OR(SeismicWaves!G21="L1",SeismicWaves!G21="L1&amp;L2"),"Wave19",IF(Overview!P5="JPN","対象外","excepted")),
IF(OR(DA$1="L2",DA$1="L3"),IF(OR(SeismicWaves!G21="L2",SeismicWaves!G21="L1&amp;L2"),"Wave19",IF(Overview!P5="JPN","対象外","excepted")),
IF(DA$1=SeismicWaves!G21,"Wave19",IF(Overview!P5="JPN","対象外","excepted")))))</f>
        <v>･</v>
      </c>
      <c r="DA19" s="137"/>
    </row>
    <row r="20" spans="1:105" ht="9.75" customHeight="1">
      <c r="B20" s="135" t="str">
        <f>IF(ISBLANK(SeismicWaves!H22),"･",
IF(OR(DA$1="L1",DA$1="L1.5"),IF(OR(SeismicWaves!G22="L1",SeismicWaves!G22="L1&amp;L2"),"Wave20",IF(Overview!P5="JPN","対象外","excepted")),
IF(OR(DA$1="L2",DA$1="L3"),IF(OR(SeismicWaves!G22="L2",SeismicWaves!G22="L1&amp;L2"),"Wave20",IF(Overview!P5="JPN","対象外","excepted")),
IF(DA$1=SeismicWaves!G22,"Wave20",IF(Overview!P5="JPN","対象外","excepted")))))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"V方向最大応答 ("&amp;IF(MID(DA1,1,1)="L","レベル"&amp;MID(DA1,2,LEN(DA1)-1),DA1)&amp;"地震時｜"&amp;DA3&amp;")"</f>
        <v>V方向最大応答 (レベル2地震時｜state1)</v>
      </c>
      <c r="B79" s="162"/>
      <c r="C79" s="162" t="str">
        <f>A79</f>
        <v>V方向最大応答 (レベル2地震時｜state1)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C79:D80"/>
    <mergeCell ref="C77:C78"/>
    <mergeCell ref="D77:D78"/>
    <mergeCell ref="DA1:DA2"/>
    <mergeCell ref="DA3:DA4"/>
    <mergeCell ref="D41:D42"/>
    <mergeCell ref="A23:A24"/>
    <mergeCell ref="B23:B24"/>
    <mergeCell ref="A41:A42"/>
    <mergeCell ref="B41:B42"/>
    <mergeCell ref="C41:C42"/>
    <mergeCell ref="A79:B80"/>
    <mergeCell ref="A59:A60"/>
    <mergeCell ref="B59:B60"/>
    <mergeCell ref="A77:A78"/>
    <mergeCell ref="B77:B78"/>
  </mergeCells>
  <phoneticPr fontId="1"/>
  <dataValidations count="2">
    <dataValidation type="list" allowBlank="1" showInputMessage="1" showErrorMessage="1" sqref="DA1:DA2" xr:uid="{22E3C7BC-E0B3-406C-8CF0-7CCFCB1BCFBE}">
      <formula1>"L1,L2,L1.5,L3"</formula1>
    </dataValidation>
    <dataValidation type="list" allowBlank="1" showInputMessage="1" showErrorMessage="1" sqref="DA3" xr:uid="{208A3161-9641-4413-8D4B-619CE22E6AFC}">
      <formula1>"state1,state2,state3"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Analysis">
        <group id="EigenvalueAnalysisGroup" label="Eigenvalue Analysis">
          <button id="EigenvalueAnalysis" label="Run" imageMso="MacroPlay" size="large" onAction="EigenvalueAnalysis"/>
        </group>
        <group id="SetupWaveGroup" label="Load Seismic Waves">
          <button id="SetupWave" label="Run" imageMso="MacroPlay" size="large" onAction="SetupWave"/>
        </group>
        <group id="ResponseAnalysisGroup" label="Time-History Analysis">
          <button id="ResponseAnalysis" label="Run" imageMso="MacroPlay" size="large" onAction="ResponseAnalysis"/>
          <button id="AdjustGraphForLowBuilding" label="Adjust Graph (Low-rise)" imageMso="ShapeLeftArrow" size="large" onAction="AdjustGraphForLowBuilding"/>
          <button id="AdjustGraphForHighBuilding" label="Adjust Graph (High-rise)" imageMso="ShapeRightArrow" size="large" onAction="AdjustGraphForHighBuilding"/>
        </group>
        <group id="ProgramGroup" label="Generate Input File">
          <button id="RunSequenceF3T" label="Run" image="F3T" size="large" onAction="RunSequenceF3T"/>
        </group>
        <group id="ImportExportGroup" label="Excel Input Data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Overview</vt:lpstr>
      <vt:lpstr>Eigenvalue</vt:lpstr>
      <vt:lpstr>AnalysisConditions</vt:lpstr>
      <vt:lpstr>IsolationDevices</vt:lpstr>
      <vt:lpstr>SeismicWaves</vt:lpstr>
      <vt:lpstr>X-Direction</vt:lpstr>
      <vt:lpstr>Y-Direction</vt:lpstr>
      <vt:lpstr>U-Direction</vt:lpstr>
      <vt:lpstr>V-Direction</vt:lpstr>
      <vt:lpstr>Eigenvalue!Print_Area</vt:lpstr>
      <vt:lpstr>'U-Direction'!Print_Area</vt:lpstr>
      <vt:lpstr>'V-Direction'!Print_Area</vt:lpstr>
      <vt:lpstr>'X-Direction'!Print_Area</vt:lpstr>
      <vt:lpstr>'Y-Direction'!Print_Area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2026-10-19T03:56:07Z</dcterms:modified>
</cp:coreProperties>
</file>