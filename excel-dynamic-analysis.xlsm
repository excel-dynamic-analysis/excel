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ico" ContentType="image/.ico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drawings/drawing5.xml" ContentType="application/vnd.openxmlformats-officedocument.drawing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6.xml" ContentType="application/vnd.openxmlformats-officedocument.drawing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7.xml" ContentType="application/vnd.openxmlformats-officedocument.drawing+xml"/>
  <Override PartName="/xl/charts/chart53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4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5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6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7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8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9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60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1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8.xml" ContentType="application/vnd.openxmlformats-officedocument.drawing+xml"/>
  <Override PartName="/xl/charts/chart6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9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70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charts/chart71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2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72c6326fc6004ca4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ExcelDynamicAnalysis\excel\"/>
    </mc:Choice>
  </mc:AlternateContent>
  <xr:revisionPtr revIDLastSave="0" documentId="8_{BDCC63DC-7869-465C-AA57-90210756DE8B}" xr6:coauthVersionLast="47" xr6:coauthVersionMax="47" xr10:uidLastSave="{00000000-0000-0000-0000-000000000000}"/>
  <bookViews>
    <workbookView xWindow="-120" yWindow="-120" windowWidth="29040" windowHeight="15720" tabRatio="714" xr2:uid="{8E062090-D553-4F64-8723-BE6601269431}"/>
  </bookViews>
  <sheets>
    <sheet name="概要" sheetId="1" r:id="rId1"/>
    <sheet name="Overview" sheetId="19" state="veryHidden" r:id="rId2"/>
    <sheet name="固有値" sheetId="2" r:id="rId3"/>
    <sheet name="解析条件" sheetId="3" r:id="rId4"/>
    <sheet name="免震部材" sheetId="4" r:id="rId5"/>
    <sheet name="DeviceList" sheetId="17" state="veryHidden" r:id="rId6"/>
    <sheet name="制振部材" sheetId="13" state="veryHidden" r:id="rId7"/>
    <sheet name="地震波" sheetId="6" r:id="rId8"/>
    <sheet name="Wave" sheetId="7" state="veryHidden" r:id="rId9"/>
    <sheet name="Spectrum" sheetId="8" state="veryHidden" r:id="rId10"/>
    <sheet name="X方向" sheetId="9" r:id="rId11"/>
    <sheet name="Y方向" sheetId="14" r:id="rId12"/>
    <sheet name="U方向" sheetId="15" r:id="rId13"/>
    <sheet name="V方向" sheetId="16" r:id="rId14"/>
  </sheets>
  <functionGroups builtInGroupCount="19"/>
  <definedNames>
    <definedName name="_xleta.IF" hidden="1" xlm="1">#NAME?</definedName>
    <definedName name="_xleta.IMPORTCSV" hidden="1" xlm="1">#NAME?</definedName>
    <definedName name="_xleta.ISNUMBER" hidden="1" xlm="1">#NAME?</definedName>
    <definedName name="_xlnm.Print_Area" localSheetId="12">U方向!$A$1:$D$80</definedName>
    <definedName name="_xlnm.Print_Area" localSheetId="13">V方向!$A$1:$D$80</definedName>
    <definedName name="_xlnm.Print_Area" localSheetId="10">X方向!$A$1:$D$80</definedName>
    <definedName name="_xlnm.Print_Area" localSheetId="11">Y方向!$A$1:$D$80</definedName>
    <definedName name="_xlnm.Print_Area" localSheetId="2">固有値!$A$1:$B$480</definedName>
    <definedName name="solver_eng" localSheetId="1" hidden="1">1</definedName>
    <definedName name="solver_eng" localSheetId="0" hidden="1">1</definedName>
    <definedName name="solver_neg" localSheetId="1" hidden="1">1</definedName>
    <definedName name="solver_neg" localSheetId="0" hidden="1">1</definedName>
    <definedName name="solver_num" localSheetId="1" hidden="1">0</definedName>
    <definedName name="solver_num" localSheetId="0" hidden="1">0</definedName>
    <definedName name="solver_opt" localSheetId="1" hidden="1">Overview!$A$1</definedName>
    <definedName name="solver_opt" localSheetId="0" hidden="1">概要!$A$1</definedName>
    <definedName name="solver_typ" localSheetId="1" hidden="1">1</definedName>
    <definedName name="solver_typ" localSheetId="0" hidden="1">1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U57" i="4" l="1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B1" i="16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B1" i="15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1" i="14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B1" i="9"/>
  <c r="C24" i="6"/>
  <c r="A3" i="3" l="1"/>
  <c r="C4" i="2" l="1"/>
  <c r="C3" i="2"/>
  <c r="A5" i="19"/>
  <c r="A11" i="19"/>
  <c r="C5" i="2" l="1"/>
  <c r="A4" i="3" s="1"/>
  <c r="A11" i="1"/>
  <c r="A5" i="1"/>
  <c r="A41" i="9"/>
  <c r="X9" i="3"/>
  <c r="A41" i="16"/>
  <c r="A79" i="16"/>
  <c r="C79" i="16" s="1"/>
  <c r="A79" i="15"/>
  <c r="C79" i="15" s="1"/>
  <c r="A41" i="15"/>
  <c r="A79" i="14"/>
  <c r="C79" i="14" s="1"/>
  <c r="A41" i="14"/>
  <c r="A79" i="9"/>
  <c r="C79" i="9" s="1"/>
  <c r="X5" i="3"/>
  <c r="C6" i="2" l="1"/>
  <c r="A6" i="3" s="1"/>
  <c r="A5" i="3"/>
  <c r="C7" i="2" l="1"/>
  <c r="C8" i="2" s="1"/>
  <c r="B2" i="8"/>
  <c r="E2" i="8"/>
  <c r="H2" i="8"/>
  <c r="I2" i="8"/>
  <c r="L2" i="8"/>
  <c r="M2" i="8" s="1"/>
  <c r="B3" i="8"/>
  <c r="E3" i="8"/>
  <c r="H3" i="8"/>
  <c r="I3" i="8"/>
  <c r="L3" i="8"/>
  <c r="M3" i="8" s="1"/>
  <c r="B4" i="8"/>
  <c r="E4" i="8"/>
  <c r="H4" i="8"/>
  <c r="I4" i="8"/>
  <c r="L4" i="8"/>
  <c r="M4" i="8" s="1"/>
  <c r="B5" i="8"/>
  <c r="E5" i="8"/>
  <c r="H5" i="8"/>
  <c r="I5" i="8"/>
  <c r="L5" i="8"/>
  <c r="M5" i="8" s="1"/>
  <c r="B6" i="8"/>
  <c r="E6" i="8"/>
  <c r="H6" i="8"/>
  <c r="I6" i="8"/>
  <c r="L6" i="8"/>
  <c r="M6" i="8" s="1"/>
  <c r="B7" i="8"/>
  <c r="E7" i="8"/>
  <c r="H7" i="8"/>
  <c r="I7" i="8"/>
  <c r="L7" i="8"/>
  <c r="M7" i="8" s="1"/>
  <c r="B8" i="8"/>
  <c r="E8" i="8"/>
  <c r="H8" i="8"/>
  <c r="I8" i="8"/>
  <c r="L8" i="8"/>
  <c r="M8" i="8" s="1"/>
  <c r="B9" i="8"/>
  <c r="E9" i="8"/>
  <c r="H9" i="8"/>
  <c r="I9" i="8"/>
  <c r="L9" i="8"/>
  <c r="M9" i="8" s="1"/>
  <c r="B10" i="8"/>
  <c r="E10" i="8"/>
  <c r="H10" i="8"/>
  <c r="I10" i="8"/>
  <c r="L10" i="8"/>
  <c r="M10" i="8" s="1"/>
  <c r="B11" i="8"/>
  <c r="E11" i="8"/>
  <c r="H11" i="8"/>
  <c r="I11" i="8"/>
  <c r="L11" i="8"/>
  <c r="M11" i="8" s="1"/>
  <c r="B12" i="8"/>
  <c r="E12" i="8"/>
  <c r="H12" i="8"/>
  <c r="I12" i="8"/>
  <c r="L12" i="8"/>
  <c r="M12" i="8" s="1"/>
  <c r="B13" i="8"/>
  <c r="E13" i="8"/>
  <c r="H13" i="8"/>
  <c r="I13" i="8"/>
  <c r="L13" i="8"/>
  <c r="M13" i="8" s="1"/>
  <c r="B14" i="8"/>
  <c r="E14" i="8"/>
  <c r="H14" i="8"/>
  <c r="I14" i="8"/>
  <c r="L14" i="8"/>
  <c r="M14" i="8" s="1"/>
  <c r="B15" i="8"/>
  <c r="E15" i="8"/>
  <c r="H15" i="8"/>
  <c r="I15" i="8"/>
  <c r="L15" i="8"/>
  <c r="M15" i="8" s="1"/>
  <c r="B16" i="8"/>
  <c r="E16" i="8"/>
  <c r="H16" i="8"/>
  <c r="I16" i="8"/>
  <c r="L16" i="8"/>
  <c r="M16" i="8" s="1"/>
  <c r="B17" i="8"/>
  <c r="E17" i="8"/>
  <c r="H17" i="8"/>
  <c r="I17" i="8"/>
  <c r="L17" i="8"/>
  <c r="M17" i="8" s="1"/>
  <c r="B18" i="8"/>
  <c r="E18" i="8"/>
  <c r="H18" i="8"/>
  <c r="I18" i="8"/>
  <c r="L18" i="8"/>
  <c r="M18" i="8" s="1"/>
  <c r="B19" i="8"/>
  <c r="E19" i="8"/>
  <c r="H19" i="8"/>
  <c r="I19" i="8"/>
  <c r="L19" i="8"/>
  <c r="M19" i="8" s="1"/>
  <c r="B20" i="8"/>
  <c r="E20" i="8"/>
  <c r="H20" i="8"/>
  <c r="I20" i="8"/>
  <c r="B21" i="8"/>
  <c r="E21" i="8"/>
  <c r="H21" i="8"/>
  <c r="I21" i="8"/>
  <c r="B22" i="8"/>
  <c r="E22" i="8"/>
  <c r="H22" i="8"/>
  <c r="I22" i="8"/>
  <c r="B23" i="8"/>
  <c r="E23" i="8"/>
  <c r="H23" i="8"/>
  <c r="I23" i="8"/>
  <c r="B24" i="8"/>
  <c r="E24" i="8"/>
  <c r="H24" i="8"/>
  <c r="I24" i="8"/>
  <c r="B25" i="8"/>
  <c r="E25" i="8"/>
  <c r="H25" i="8"/>
  <c r="I25" i="8"/>
  <c r="B26" i="8"/>
  <c r="E26" i="8"/>
  <c r="H26" i="8"/>
  <c r="I26" i="8"/>
  <c r="B27" i="8"/>
  <c r="E27" i="8"/>
  <c r="H27" i="8"/>
  <c r="I27" i="8"/>
  <c r="B28" i="8"/>
  <c r="E28" i="8"/>
  <c r="H28" i="8"/>
  <c r="I28" i="8"/>
  <c r="B29" i="8"/>
  <c r="E29" i="8"/>
  <c r="H29" i="8"/>
  <c r="I29" i="8"/>
  <c r="B30" i="8"/>
  <c r="E30" i="8"/>
  <c r="H30" i="8"/>
  <c r="I30" i="8"/>
  <c r="B31" i="8"/>
  <c r="E31" i="8"/>
  <c r="H31" i="8"/>
  <c r="I31" i="8"/>
  <c r="B32" i="8"/>
  <c r="E32" i="8"/>
  <c r="H32" i="8"/>
  <c r="I32" i="8"/>
  <c r="B33" i="8"/>
  <c r="E33" i="8"/>
  <c r="H33" i="8"/>
  <c r="I33" i="8"/>
  <c r="B34" i="8"/>
  <c r="E34" i="8"/>
  <c r="H34" i="8"/>
  <c r="I34" i="8"/>
  <c r="B35" i="8"/>
  <c r="E35" i="8"/>
  <c r="H35" i="8"/>
  <c r="I35" i="8"/>
  <c r="B36" i="8"/>
  <c r="E36" i="8"/>
  <c r="H36" i="8"/>
  <c r="I36" i="8"/>
  <c r="B37" i="8"/>
  <c r="E37" i="8"/>
  <c r="H37" i="8"/>
  <c r="I37" i="8"/>
  <c r="B38" i="8"/>
  <c r="E38" i="8"/>
  <c r="H38" i="8"/>
  <c r="I38" i="8"/>
  <c r="B39" i="8"/>
  <c r="E39" i="8"/>
  <c r="H39" i="8"/>
  <c r="I39" i="8"/>
  <c r="B40" i="8"/>
  <c r="E40" i="8"/>
  <c r="H40" i="8"/>
  <c r="I40" i="8"/>
  <c r="B41" i="8"/>
  <c r="E41" i="8"/>
  <c r="H41" i="8"/>
  <c r="I41" i="8"/>
  <c r="B42" i="8"/>
  <c r="E42" i="8"/>
  <c r="H42" i="8"/>
  <c r="I42" i="8"/>
  <c r="B43" i="8"/>
  <c r="E43" i="8"/>
  <c r="H43" i="8"/>
  <c r="I43" i="8"/>
  <c r="B44" i="8"/>
  <c r="E44" i="8"/>
  <c r="H44" i="8"/>
  <c r="I44" i="8"/>
  <c r="B45" i="8"/>
  <c r="E45" i="8"/>
  <c r="H45" i="8"/>
  <c r="I45" i="8"/>
  <c r="B46" i="8"/>
  <c r="E46" i="8"/>
  <c r="H46" i="8"/>
  <c r="I46" i="8"/>
  <c r="B47" i="8"/>
  <c r="E47" i="8"/>
  <c r="H47" i="8"/>
  <c r="I47" i="8"/>
  <c r="B48" i="8"/>
  <c r="E48" i="8"/>
  <c r="H48" i="8"/>
  <c r="I48" i="8"/>
  <c r="B49" i="8"/>
  <c r="E49" i="8"/>
  <c r="H49" i="8"/>
  <c r="I49" i="8"/>
  <c r="B50" i="8"/>
  <c r="E50" i="8"/>
  <c r="H50" i="8"/>
  <c r="I50" i="8"/>
  <c r="B51" i="8"/>
  <c r="E51" i="8"/>
  <c r="H51" i="8"/>
  <c r="I51" i="8"/>
  <c r="B52" i="8"/>
  <c r="E52" i="8"/>
  <c r="H52" i="8"/>
  <c r="I52" i="8"/>
  <c r="B53" i="8"/>
  <c r="E53" i="8"/>
  <c r="H53" i="8"/>
  <c r="I53" i="8"/>
  <c r="B54" i="8"/>
  <c r="E54" i="8"/>
  <c r="H54" i="8"/>
  <c r="I54" i="8"/>
  <c r="B55" i="8"/>
  <c r="E55" i="8"/>
  <c r="H55" i="8"/>
  <c r="I55" i="8"/>
  <c r="B56" i="8"/>
  <c r="E56" i="8"/>
  <c r="H56" i="8"/>
  <c r="I56" i="8"/>
  <c r="B57" i="8"/>
  <c r="E57" i="8"/>
  <c r="H57" i="8"/>
  <c r="I57" i="8"/>
  <c r="B58" i="8"/>
  <c r="E58" i="8"/>
  <c r="H58" i="8"/>
  <c r="I58" i="8"/>
  <c r="B59" i="8"/>
  <c r="E59" i="8"/>
  <c r="H59" i="8"/>
  <c r="I59" i="8"/>
  <c r="B60" i="8"/>
  <c r="E60" i="8"/>
  <c r="H60" i="8"/>
  <c r="I60" i="8"/>
  <c r="H61" i="8"/>
  <c r="I61" i="8"/>
  <c r="H62" i="8"/>
  <c r="I62" i="8"/>
  <c r="H63" i="8"/>
  <c r="I63" i="8"/>
  <c r="H64" i="8"/>
  <c r="I64" i="8"/>
  <c r="L3" i="6"/>
  <c r="L4" i="6"/>
  <c r="M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BH155" i="3"/>
  <c r="BG155" i="3"/>
  <c r="BD155" i="3"/>
  <c r="BF155" i="3" s="1"/>
  <c r="BC155" i="3"/>
  <c r="BE155" i="3" s="1"/>
  <c r="BH154" i="3"/>
  <c r="BG154" i="3"/>
  <c r="BD154" i="3"/>
  <c r="BF154" i="3" s="1"/>
  <c r="BC154" i="3"/>
  <c r="BE154" i="3" s="1"/>
  <c r="BH153" i="3"/>
  <c r="BG153" i="3"/>
  <c r="BD153" i="3"/>
  <c r="BF153" i="3" s="1"/>
  <c r="BC153" i="3"/>
  <c r="BE153" i="3" s="1"/>
  <c r="BH152" i="3"/>
  <c r="BG152" i="3"/>
  <c r="BD152" i="3"/>
  <c r="BF152" i="3" s="1"/>
  <c r="BC152" i="3"/>
  <c r="BE152" i="3" s="1"/>
  <c r="BH151" i="3"/>
  <c r="BG151" i="3"/>
  <c r="BD151" i="3"/>
  <c r="BF151" i="3" s="1"/>
  <c r="BC151" i="3"/>
  <c r="BE151" i="3" s="1"/>
  <c r="BH150" i="3"/>
  <c r="BG150" i="3"/>
  <c r="BD150" i="3"/>
  <c r="BF150" i="3" s="1"/>
  <c r="BC150" i="3"/>
  <c r="BE150" i="3" s="1"/>
  <c r="BH149" i="3"/>
  <c r="BG149" i="3"/>
  <c r="BD149" i="3"/>
  <c r="BF149" i="3" s="1"/>
  <c r="BC149" i="3"/>
  <c r="BE149" i="3" s="1"/>
  <c r="BH148" i="3"/>
  <c r="BG148" i="3"/>
  <c r="BD148" i="3"/>
  <c r="BF148" i="3" s="1"/>
  <c r="BC148" i="3"/>
  <c r="BE148" i="3" s="1"/>
  <c r="BH147" i="3"/>
  <c r="BG147" i="3"/>
  <c r="BD147" i="3"/>
  <c r="BF147" i="3" s="1"/>
  <c r="BC147" i="3"/>
  <c r="BE147" i="3" s="1"/>
  <c r="BH146" i="3"/>
  <c r="BG146" i="3"/>
  <c r="BD146" i="3"/>
  <c r="BF146" i="3" s="1"/>
  <c r="BC146" i="3"/>
  <c r="BE146" i="3" s="1"/>
  <c r="BH145" i="3"/>
  <c r="BG145" i="3"/>
  <c r="BD145" i="3"/>
  <c r="BF145" i="3" s="1"/>
  <c r="BC145" i="3"/>
  <c r="BE145" i="3" s="1"/>
  <c r="BH144" i="3"/>
  <c r="BG144" i="3"/>
  <c r="BD144" i="3"/>
  <c r="BF144" i="3" s="1"/>
  <c r="BC144" i="3"/>
  <c r="BE144" i="3" s="1"/>
  <c r="BH143" i="3"/>
  <c r="BG143" i="3"/>
  <c r="BD143" i="3"/>
  <c r="BF143" i="3" s="1"/>
  <c r="BC143" i="3"/>
  <c r="BE143" i="3" s="1"/>
  <c r="BH142" i="3"/>
  <c r="BG142" i="3"/>
  <c r="BD142" i="3"/>
  <c r="BF142" i="3" s="1"/>
  <c r="BC142" i="3"/>
  <c r="BE142" i="3" s="1"/>
  <c r="BH141" i="3"/>
  <c r="BG141" i="3"/>
  <c r="BD141" i="3"/>
  <c r="BF141" i="3" s="1"/>
  <c r="BC141" i="3"/>
  <c r="BE141" i="3" s="1"/>
  <c r="BH140" i="3"/>
  <c r="BG140" i="3"/>
  <c r="BD140" i="3"/>
  <c r="BF140" i="3" s="1"/>
  <c r="BC140" i="3"/>
  <c r="BE140" i="3" s="1"/>
  <c r="BH139" i="3"/>
  <c r="BG139" i="3"/>
  <c r="BD139" i="3"/>
  <c r="BF139" i="3" s="1"/>
  <c r="BC139" i="3"/>
  <c r="BE139" i="3" s="1"/>
  <c r="BH138" i="3"/>
  <c r="BG138" i="3"/>
  <c r="BD138" i="3"/>
  <c r="BF138" i="3" s="1"/>
  <c r="BC138" i="3"/>
  <c r="BE138" i="3" s="1"/>
  <c r="BH137" i="3"/>
  <c r="BG137" i="3"/>
  <c r="BD137" i="3"/>
  <c r="BF137" i="3" s="1"/>
  <c r="BC137" i="3"/>
  <c r="BE137" i="3" s="1"/>
  <c r="BH136" i="3"/>
  <c r="BG136" i="3"/>
  <c r="BD136" i="3"/>
  <c r="BF136" i="3" s="1"/>
  <c r="BC136" i="3"/>
  <c r="BE136" i="3" s="1"/>
  <c r="BH135" i="3"/>
  <c r="BG135" i="3"/>
  <c r="BD135" i="3"/>
  <c r="BF135" i="3" s="1"/>
  <c r="BC135" i="3"/>
  <c r="BE135" i="3" s="1"/>
  <c r="BH134" i="3"/>
  <c r="BG134" i="3"/>
  <c r="BD134" i="3"/>
  <c r="BF134" i="3" s="1"/>
  <c r="BC134" i="3"/>
  <c r="BE134" i="3" s="1"/>
  <c r="BH133" i="3"/>
  <c r="BG133" i="3"/>
  <c r="BD133" i="3"/>
  <c r="BF133" i="3" s="1"/>
  <c r="BC133" i="3"/>
  <c r="BE133" i="3" s="1"/>
  <c r="BH132" i="3"/>
  <c r="BG132" i="3"/>
  <c r="BD132" i="3"/>
  <c r="BF132" i="3" s="1"/>
  <c r="BC132" i="3"/>
  <c r="BE132" i="3" s="1"/>
  <c r="BH131" i="3"/>
  <c r="BG131" i="3"/>
  <c r="BD131" i="3"/>
  <c r="BF131" i="3" s="1"/>
  <c r="BC131" i="3"/>
  <c r="BE131" i="3" s="1"/>
  <c r="BH130" i="3"/>
  <c r="BG130" i="3"/>
  <c r="BD130" i="3"/>
  <c r="BF130" i="3" s="1"/>
  <c r="BC130" i="3"/>
  <c r="BE130" i="3" s="1"/>
  <c r="BH129" i="3"/>
  <c r="BG129" i="3"/>
  <c r="BD129" i="3"/>
  <c r="BF129" i="3" s="1"/>
  <c r="BC129" i="3"/>
  <c r="BE129" i="3" s="1"/>
  <c r="BH128" i="3"/>
  <c r="BG128" i="3"/>
  <c r="BD128" i="3"/>
  <c r="BF128" i="3" s="1"/>
  <c r="BC128" i="3"/>
  <c r="BE128" i="3" s="1"/>
  <c r="BH127" i="3"/>
  <c r="BG127" i="3"/>
  <c r="BD127" i="3"/>
  <c r="BF127" i="3" s="1"/>
  <c r="BC127" i="3"/>
  <c r="BE127" i="3" s="1"/>
  <c r="BH126" i="3"/>
  <c r="BG126" i="3"/>
  <c r="BD126" i="3"/>
  <c r="BF126" i="3" s="1"/>
  <c r="BC126" i="3"/>
  <c r="BE126" i="3" s="1"/>
  <c r="BH125" i="3"/>
  <c r="BG125" i="3"/>
  <c r="BD125" i="3"/>
  <c r="BF125" i="3" s="1"/>
  <c r="BC125" i="3"/>
  <c r="BE125" i="3" s="1"/>
  <c r="BH124" i="3"/>
  <c r="BG124" i="3"/>
  <c r="BD124" i="3"/>
  <c r="BF124" i="3" s="1"/>
  <c r="BC124" i="3"/>
  <c r="BE124" i="3" s="1"/>
  <c r="BH123" i="3"/>
  <c r="BG123" i="3"/>
  <c r="BD123" i="3"/>
  <c r="BF123" i="3" s="1"/>
  <c r="BC123" i="3"/>
  <c r="BE123" i="3" s="1"/>
  <c r="BH122" i="3"/>
  <c r="BG122" i="3"/>
  <c r="BD122" i="3"/>
  <c r="BF122" i="3" s="1"/>
  <c r="BC122" i="3"/>
  <c r="BE122" i="3" s="1"/>
  <c r="BH121" i="3"/>
  <c r="BG121" i="3"/>
  <c r="BD121" i="3"/>
  <c r="BF121" i="3" s="1"/>
  <c r="BC121" i="3"/>
  <c r="BE121" i="3" s="1"/>
  <c r="BH120" i="3"/>
  <c r="BG120" i="3"/>
  <c r="BD120" i="3"/>
  <c r="BF120" i="3" s="1"/>
  <c r="BC120" i="3"/>
  <c r="BE120" i="3" s="1"/>
  <c r="BH119" i="3"/>
  <c r="BG119" i="3"/>
  <c r="BD119" i="3"/>
  <c r="BF119" i="3" s="1"/>
  <c r="BC119" i="3"/>
  <c r="BE119" i="3" s="1"/>
  <c r="BH118" i="3"/>
  <c r="BG118" i="3"/>
  <c r="BD118" i="3"/>
  <c r="BF118" i="3" s="1"/>
  <c r="BC118" i="3"/>
  <c r="BE118" i="3" s="1"/>
  <c r="BH117" i="3"/>
  <c r="BG117" i="3"/>
  <c r="BD117" i="3"/>
  <c r="BF117" i="3" s="1"/>
  <c r="BC117" i="3"/>
  <c r="BE117" i="3" s="1"/>
  <c r="BH116" i="3"/>
  <c r="BG116" i="3"/>
  <c r="BD116" i="3"/>
  <c r="BF116" i="3" s="1"/>
  <c r="BC116" i="3"/>
  <c r="BE116" i="3" s="1"/>
  <c r="BH115" i="3"/>
  <c r="BG115" i="3"/>
  <c r="BD115" i="3"/>
  <c r="BF115" i="3" s="1"/>
  <c r="BC115" i="3"/>
  <c r="BE115" i="3" s="1"/>
  <c r="BH114" i="3"/>
  <c r="BG114" i="3"/>
  <c r="BD114" i="3"/>
  <c r="BF114" i="3" s="1"/>
  <c r="BC114" i="3"/>
  <c r="BE114" i="3" s="1"/>
  <c r="BH113" i="3"/>
  <c r="BG113" i="3"/>
  <c r="BD113" i="3"/>
  <c r="BF113" i="3" s="1"/>
  <c r="BC113" i="3"/>
  <c r="BE113" i="3" s="1"/>
  <c r="BH112" i="3"/>
  <c r="BG112" i="3"/>
  <c r="BD112" i="3"/>
  <c r="BF112" i="3" s="1"/>
  <c r="BC112" i="3"/>
  <c r="BE112" i="3" s="1"/>
  <c r="BH111" i="3"/>
  <c r="BG111" i="3"/>
  <c r="BD111" i="3"/>
  <c r="BF111" i="3" s="1"/>
  <c r="BC111" i="3"/>
  <c r="BE111" i="3" s="1"/>
  <c r="BH110" i="3"/>
  <c r="BG110" i="3"/>
  <c r="BD110" i="3"/>
  <c r="BF110" i="3" s="1"/>
  <c r="BC110" i="3"/>
  <c r="BE110" i="3" s="1"/>
  <c r="BH109" i="3"/>
  <c r="BG109" i="3"/>
  <c r="BD109" i="3"/>
  <c r="BF109" i="3" s="1"/>
  <c r="BC109" i="3"/>
  <c r="BE109" i="3" s="1"/>
  <c r="BH108" i="3"/>
  <c r="BG108" i="3"/>
  <c r="BD108" i="3"/>
  <c r="BF108" i="3" s="1"/>
  <c r="BC108" i="3"/>
  <c r="BE108" i="3" s="1"/>
  <c r="BH107" i="3"/>
  <c r="BG107" i="3"/>
  <c r="BD107" i="3"/>
  <c r="BF107" i="3" s="1"/>
  <c r="BC107" i="3"/>
  <c r="BE107" i="3" s="1"/>
  <c r="BH106" i="3"/>
  <c r="BG106" i="3"/>
  <c r="BD106" i="3"/>
  <c r="BF106" i="3" s="1"/>
  <c r="BC106" i="3"/>
  <c r="BE106" i="3" s="1"/>
  <c r="A209" i="3"/>
  <c r="X7" i="3"/>
  <c r="A7" i="3" l="1"/>
  <c r="C9" i="2"/>
  <c r="A106" i="3"/>
  <c r="A8" i="3" l="1"/>
  <c r="C10" i="2"/>
  <c r="A9" i="3" l="1"/>
  <c r="C11" i="2"/>
  <c r="C12" i="2" s="1"/>
  <c r="C13" i="2" s="1"/>
  <c r="A211" i="3"/>
  <c r="A108" i="3"/>
  <c r="A210" i="3"/>
  <c r="A107" i="3"/>
  <c r="A10" i="3" l="1"/>
  <c r="A11" i="3"/>
  <c r="A12" i="3"/>
  <c r="C14" i="2"/>
  <c r="A13" i="3" s="1"/>
  <c r="A109" i="3"/>
  <c r="A212" i="3"/>
  <c r="C15" i="2" l="1"/>
  <c r="C16" i="2" s="1"/>
  <c r="A214" i="3"/>
  <c r="A111" i="3"/>
  <c r="A14" i="3" l="1"/>
  <c r="C17" i="2"/>
  <c r="A15" i="3"/>
  <c r="A216" i="3"/>
  <c r="A213" i="3"/>
  <c r="A110" i="3"/>
  <c r="A112" i="3"/>
  <c r="A215" i="3"/>
  <c r="A16" i="3" l="1"/>
  <c r="C18" i="2"/>
  <c r="A113" i="3"/>
  <c r="A17" i="3" l="1"/>
  <c r="C19" i="2"/>
  <c r="A217" i="3"/>
  <c r="A115" i="3"/>
  <c r="A218" i="3"/>
  <c r="A18" i="3" l="1"/>
  <c r="C20" i="2"/>
  <c r="C21" i="2" s="1"/>
  <c r="A114" i="3"/>
  <c r="A116" i="3"/>
  <c r="A219" i="3"/>
  <c r="A20" i="3" l="1"/>
  <c r="A19" i="3"/>
  <c r="C22" i="2"/>
  <c r="A21" i="3" s="1"/>
  <c r="A117" i="3"/>
  <c r="A220" i="3"/>
  <c r="C23" i="2" l="1"/>
  <c r="A22" i="3" s="1"/>
  <c r="A118" i="3"/>
  <c r="A221" i="3"/>
  <c r="C24" i="2" l="1"/>
  <c r="A23" i="3"/>
  <c r="A222" i="3"/>
  <c r="A119" i="3"/>
  <c r="C25" i="2" l="1"/>
  <c r="A24" i="3"/>
  <c r="A223" i="3"/>
  <c r="A120" i="3"/>
  <c r="C26" i="2" l="1"/>
  <c r="A25" i="3"/>
  <c r="A224" i="3"/>
  <c r="A121" i="3"/>
  <c r="C27" i="2" l="1"/>
  <c r="A26" i="3"/>
  <c r="A225" i="3"/>
  <c r="A122" i="3"/>
  <c r="C28" i="2" l="1"/>
  <c r="A27" i="3"/>
  <c r="A226" i="3"/>
  <c r="A123" i="3"/>
  <c r="C29" i="2" l="1"/>
  <c r="A28" i="3"/>
  <c r="A227" i="3"/>
  <c r="A124" i="3"/>
  <c r="C30" i="2" l="1"/>
  <c r="A29" i="3"/>
  <c r="A228" i="3"/>
  <c r="A125" i="3"/>
  <c r="C31" i="2" l="1"/>
  <c r="A30" i="3"/>
  <c r="A126" i="3"/>
  <c r="A229" i="3"/>
  <c r="C32" i="2" l="1"/>
  <c r="A31" i="3"/>
  <c r="A230" i="3"/>
  <c r="A127" i="3"/>
  <c r="C33" i="2" l="1"/>
  <c r="A32" i="3"/>
  <c r="A128" i="3"/>
  <c r="A231" i="3"/>
  <c r="C34" i="2" l="1"/>
  <c r="A33" i="3"/>
  <c r="A232" i="3"/>
  <c r="A129" i="3"/>
  <c r="C35" i="2" l="1"/>
  <c r="A34" i="3"/>
  <c r="A130" i="3"/>
  <c r="A233" i="3"/>
  <c r="C36" i="2" l="1"/>
  <c r="A35" i="3"/>
  <c r="A234" i="3"/>
  <c r="A131" i="3"/>
  <c r="C37" i="2" l="1"/>
  <c r="A36" i="3"/>
  <c r="A235" i="3"/>
  <c r="A132" i="3"/>
  <c r="C38" i="2" l="1"/>
  <c r="A37" i="3"/>
  <c r="A133" i="3"/>
  <c r="A236" i="3"/>
  <c r="C39" i="2" l="1"/>
  <c r="A38" i="3"/>
  <c r="A237" i="3"/>
  <c r="A134" i="3"/>
  <c r="C40" i="2" l="1"/>
  <c r="A39" i="3"/>
  <c r="A135" i="3"/>
  <c r="A238" i="3"/>
  <c r="C41" i="2" l="1"/>
  <c r="A40" i="3"/>
  <c r="A136" i="3"/>
  <c r="A239" i="3"/>
  <c r="C42" i="2" l="1"/>
  <c r="A41" i="3"/>
  <c r="A137" i="3"/>
  <c r="A240" i="3"/>
  <c r="C43" i="2" l="1"/>
  <c r="A42" i="3"/>
  <c r="A241" i="3"/>
  <c r="A138" i="3"/>
  <c r="C44" i="2" l="1"/>
  <c r="A43" i="3"/>
  <c r="A242" i="3"/>
  <c r="A139" i="3"/>
  <c r="C45" i="2" l="1"/>
  <c r="A44" i="3"/>
  <c r="A243" i="3"/>
  <c r="A140" i="3"/>
  <c r="C46" i="2" l="1"/>
  <c r="A45" i="3"/>
  <c r="A244" i="3"/>
  <c r="A141" i="3"/>
  <c r="C47" i="2" l="1"/>
  <c r="A46" i="3"/>
  <c r="A245" i="3"/>
  <c r="A142" i="3"/>
  <c r="C48" i="2" l="1"/>
  <c r="A47" i="3"/>
  <c r="A246" i="3"/>
  <c r="A143" i="3"/>
  <c r="C49" i="2" l="1"/>
  <c r="A48" i="3"/>
  <c r="A247" i="3"/>
  <c r="A144" i="3"/>
  <c r="C50" i="2" l="1"/>
  <c r="A49" i="3"/>
  <c r="A145" i="3"/>
  <c r="A248" i="3"/>
  <c r="C51" i="2" l="1"/>
  <c r="A50" i="3"/>
  <c r="A249" i="3"/>
  <c r="A146" i="3"/>
  <c r="C52" i="2" l="1"/>
  <c r="A51" i="3"/>
  <c r="A250" i="3"/>
  <c r="A147" i="3"/>
  <c r="A251" i="3" l="1"/>
  <c r="A148" i="3"/>
  <c r="A149" i="3" l="1"/>
  <c r="A252" i="3"/>
  <c r="A253" i="3" l="1"/>
  <c r="A150" i="3"/>
  <c r="A254" i="3" l="1"/>
  <c r="A151" i="3"/>
  <c r="A255" i="3" l="1"/>
  <c r="A152" i="3"/>
  <c r="A256" i="3" l="1"/>
  <c r="A153" i="3"/>
  <c r="D54" i="2"/>
  <c r="O54" i="2"/>
  <c r="Q54" i="2"/>
  <c r="H54" i="2"/>
  <c r="G54" i="2"/>
  <c r="I54" i="2"/>
  <c r="N54" i="2"/>
  <c r="P54" i="2"/>
  <c r="F54" i="2"/>
  <c r="A257" i="3" l="1"/>
  <c r="A154" i="3"/>
  <c r="D53" i="2"/>
  <c r="A52" i="3" s="1"/>
  <c r="N53" i="2"/>
  <c r="G53" i="2"/>
  <c r="I53" i="2"/>
  <c r="Q53" i="2"/>
  <c r="P53" i="2"/>
  <c r="H53" i="2"/>
  <c r="O53" i="2"/>
  <c r="F53" i="2"/>
  <c r="S22" i="2" l="1"/>
  <c r="A155" i="3"/>
  <c r="A258" i="3"/>
  <c r="S26" i="2" l="1"/>
  <c r="S23" i="2"/>
  <c r="S24" i="2"/>
  <c r="S2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M1" authorId="0" shapeId="0" xr:uid="{76948A58-3C52-4365-B13A-E5B4225FC28E}">
      <text>
        <r>
          <rPr>
            <sz val="10"/>
            <color indexed="81"/>
            <rFont val="MS P ゴシック"/>
            <family val="3"/>
            <charset val="128"/>
          </rPr>
          <t>数式の場合はL(mm)を手入力してKdを計算する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柳濟晟</author>
  </authors>
  <commentList>
    <comment ref="F2" authorId="0" shapeId="0" xr:uid="{E2F7472F-E3AD-40D5-9A75-03B4259955CE}">
      <text>
        <r>
          <rPr>
            <sz val="10"/>
            <color indexed="81"/>
            <rFont val="ＭＳ ゴシック"/>
            <family val="3"/>
            <charset val="128"/>
          </rPr>
          <t>[入力例]
・空白の場合：倍率をかけません。
・数字の場合：1.23 → 地震波を1.23倍します。
・数字の最後にAを付ける場合：123.45A → 最大加速度が123.45となるように倍率をかけます。</t>
        </r>
      </text>
    </comment>
    <comment ref="G2" authorId="0" shapeId="0" xr:uid="{0393DFD3-EB6C-483D-B839-F6E1CFD6856F}">
      <text>
        <r>
          <rPr>
            <sz val="10"/>
            <color indexed="81"/>
            <rFont val="ＭＳ ゴシック"/>
            <family val="3"/>
            <charset val="128"/>
          </rPr>
          <t>・L1   ：レベル1地震波
・L2   ：レベル2地震波
・L1&amp;L2：レベル1&amp;レベル2地震波(レベル1の入力加速度はレベル2の半分とします)</t>
        </r>
      </text>
    </comment>
  </commentList>
</comments>
</file>

<file path=xl/sharedStrings.xml><?xml version="1.0" encoding="utf-8"?>
<sst xmlns="http://schemas.openxmlformats.org/spreadsheetml/2006/main" count="620" uniqueCount="373">
  <si>
    <r>
      <t>(</t>
    </r>
    <r>
      <rPr>
        <sz val="10"/>
        <color rgb="FFFF0000"/>
        <rFont val="ＭＳ ゴシック"/>
        <family val="3"/>
        <charset val="128"/>
      </rPr>
      <t>kN</t>
    </r>
    <r>
      <rPr>
        <sz val="10"/>
        <rFont val="ＭＳ ゴシック"/>
        <family val="3"/>
        <charset val="128"/>
      </rPr>
      <t>)</t>
    </r>
    <phoneticPr fontId="5"/>
  </si>
  <si>
    <r>
      <t>(</t>
    </r>
    <r>
      <rPr>
        <sz val="10"/>
        <color rgb="FFFF0000"/>
        <rFont val="ＭＳ ゴシック"/>
        <family val="3"/>
        <charset val="128"/>
      </rPr>
      <t>cm</t>
    </r>
    <r>
      <rPr>
        <sz val="10"/>
        <rFont val="ＭＳ ゴシック"/>
        <family val="3"/>
        <charset val="128"/>
      </rPr>
      <t>)</t>
    </r>
    <phoneticPr fontId="5"/>
  </si>
  <si>
    <t>X方向</t>
    <rPh sb="1" eb="3">
      <t>ホウコウ</t>
    </rPh>
    <phoneticPr fontId="3"/>
  </si>
  <si>
    <t>Y方向</t>
    <phoneticPr fontId="5"/>
  </si>
  <si>
    <t>U方向</t>
    <phoneticPr fontId="5"/>
  </si>
  <si>
    <t>V方向</t>
    <phoneticPr fontId="5"/>
  </si>
  <si>
    <t>Y方向</t>
  </si>
  <si>
    <t>U方向</t>
  </si>
  <si>
    <t>V方向</t>
  </si>
  <si>
    <t>免震層</t>
    <rPh sb="0" eb="3">
      <t>メンシ</t>
    </rPh>
    <phoneticPr fontId="5"/>
  </si>
  <si>
    <r>
      <t>重量(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rPh sb="0" eb="2">
      <t>ジュウリョウ</t>
    </rPh>
    <phoneticPr fontId="5"/>
  </si>
  <si>
    <r>
      <t>構造階高(</t>
    </r>
    <r>
      <rPr>
        <sz val="10"/>
        <color rgb="FFFF0000"/>
        <rFont val="ＭＳ ゴシック"/>
        <family val="3"/>
        <charset val="128"/>
      </rPr>
      <t>cm</t>
    </r>
    <r>
      <rPr>
        <sz val="10"/>
        <color theme="1"/>
        <rFont val="ＭＳ ゴシック"/>
        <family val="3"/>
        <charset val="128"/>
      </rPr>
      <t>)</t>
    </r>
    <rPh sb="0" eb="2">
      <t>コウゾウ</t>
    </rPh>
    <rPh sb="2" eb="4">
      <t>カイダカ</t>
    </rPh>
    <phoneticPr fontId="5"/>
  </si>
  <si>
    <r>
      <t>L1等価剛性(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</si>
  <si>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r>
      <t>L2等価剛性(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4">
      <t>トウカ</t>
    </rPh>
    <rPh sb="4" eb="6">
      <t>ゴウセイ</t>
    </rPh>
    <phoneticPr fontId="5"/>
  </si>
  <si>
    <t>スウェイ</t>
  </si>
  <si>
    <r>
      <t>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</si>
  <si>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kN･sec/cm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</si>
  <si>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ロッキング</t>
  </si>
  <si>
    <r>
      <t>慣性モーメント(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rPh sb="0" eb="2">
      <t>カンセイ</t>
    </rPh>
    <phoneticPr fontId="5"/>
  </si>
  <si>
    <r>
      <t>剛性(</t>
    </r>
    <r>
      <rPr>
        <sz val="10"/>
        <color rgb="FFFF0000"/>
        <rFont val="ＭＳ ゴシック"/>
        <family val="3"/>
        <charset val="128"/>
      </rPr>
      <t>kN･cm/rad</t>
    </r>
    <r>
      <rPr>
        <sz val="10"/>
        <color theme="1"/>
        <rFont val="ＭＳ ゴシック"/>
        <family val="3"/>
        <charset val="128"/>
      </rPr>
      <t>)</t>
    </r>
    <rPh sb="0" eb="2">
      <t>ゴウセイ</t>
    </rPh>
    <phoneticPr fontId="5"/>
  </si>
  <si>
    <r>
      <t>減衰係数(</t>
    </r>
    <r>
      <rPr>
        <sz val="10"/>
        <color rgb="FFFF0000"/>
        <rFont val="ＭＳ ゴシック"/>
        <family val="3"/>
        <charset val="128"/>
      </rPr>
      <t>kN･cm･sec/rad</t>
    </r>
    <r>
      <rPr>
        <sz val="10"/>
        <color theme="1"/>
        <rFont val="ＭＳ ゴシック"/>
        <family val="3"/>
        <charset val="128"/>
      </rPr>
      <t>)</t>
    </r>
    <rPh sb="0" eb="2">
      <t>ゲンスイ</t>
    </rPh>
    <rPh sb="2" eb="4">
      <t>ケイスウ</t>
    </rPh>
    <phoneticPr fontId="5"/>
  </si>
  <si>
    <t>比例減衰の種類</t>
    <rPh sb="0" eb="2">
      <t>ヒレイ</t>
    </rPh>
    <rPh sb="2" eb="4">
      <t>ゲンスイ</t>
    </rPh>
    <rPh sb="5" eb="7">
      <t>シュルイ</t>
    </rPh>
    <phoneticPr fontId="5"/>
  </si>
  <si>
    <t>減衰定数(1次モード)</t>
    <rPh sb="0" eb="2">
      <t>ゲンスイ</t>
    </rPh>
    <rPh sb="2" eb="4">
      <t>ジョウスウ</t>
    </rPh>
    <phoneticPr fontId="5"/>
  </si>
  <si>
    <t>減衰定数(2次モード)</t>
    <rPh sb="0" eb="2">
      <t>ゲンスイ</t>
    </rPh>
    <rPh sb="2" eb="4">
      <t>ジョウスウ</t>
    </rPh>
    <phoneticPr fontId="5"/>
  </si>
  <si>
    <t>モデルタイプ</t>
    <phoneticPr fontId="5"/>
  </si>
  <si>
    <t>X方向</t>
    <rPh sb="1" eb="3">
      <t>ホウコウ</t>
    </rPh>
    <phoneticPr fontId="5"/>
  </si>
  <si>
    <t>Y方向</t>
    <rPh sb="1" eb="3">
      <t>ホウコウ</t>
    </rPh>
    <phoneticPr fontId="5"/>
  </si>
  <si>
    <t>U方向</t>
    <rPh sb="1" eb="3">
      <t>ホウコウ</t>
    </rPh>
    <phoneticPr fontId="5"/>
  </si>
  <si>
    <t>V方向</t>
    <rPh sb="1" eb="3">
      <t>ホウコウ</t>
    </rPh>
    <phoneticPr fontId="5"/>
  </si>
  <si>
    <t>(1) X方向</t>
    <phoneticPr fontId="5"/>
  </si>
  <si>
    <t>(2) Y方向</t>
    <phoneticPr fontId="5"/>
  </si>
  <si>
    <t>固有周期</t>
    <rPh sb="0" eb="4">
      <t>コユウシュウキ</t>
    </rPh>
    <phoneticPr fontId="5"/>
  </si>
  <si>
    <t>上部構造</t>
    <rPh sb="0" eb="2">
      <t>ジョウブ</t>
    </rPh>
    <rPh sb="2" eb="4">
      <t>コウゾウ</t>
    </rPh>
    <phoneticPr fontId="5"/>
  </si>
  <si>
    <t>上部構造＋免震層(L1地震時)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</si>
  <si>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上部構造＋免震層(L2地震時)</t>
    <rPh sb="0" eb="2">
      <t>ジョウブ</t>
    </rPh>
    <rPh sb="2" eb="4">
      <t>コウゾウ</t>
    </rPh>
    <rPh sb="5" eb="8">
      <t>メンシ</t>
    </rPh>
    <rPh sb="11" eb="14">
      <t>ジシンジ</t>
    </rPh>
    <phoneticPr fontId="5"/>
  </si>
  <si>
    <t>中間層免震の下部構造の固有周期(sec)</t>
    <phoneticPr fontId="5"/>
  </si>
  <si>
    <t>(3) U方向</t>
    <phoneticPr fontId="5"/>
  </si>
  <si>
    <t>(4) V方向</t>
    <phoneticPr fontId="5"/>
  </si>
  <si>
    <t>復元力特性(個別指定)</t>
    <rPh sb="0" eb="5">
      <t>フクゲンリョクトクセイ</t>
    </rPh>
    <rPh sb="6" eb="8">
      <t>コベツ</t>
    </rPh>
    <rPh sb="8" eb="10">
      <t>シテイ</t>
    </rPh>
    <phoneticPr fontId="5"/>
  </si>
  <si>
    <t>製品名</t>
    <rPh sb="0" eb="3">
      <t>セイヒン</t>
    </rPh>
    <phoneticPr fontId="5"/>
  </si>
  <si>
    <t>基準面圧</t>
    <rPh sb="0" eb="2">
      <t>キジュン</t>
    </rPh>
    <rPh sb="2" eb="4">
      <t>メンアツ</t>
    </rPh>
    <phoneticPr fontId="5"/>
  </si>
  <si>
    <t>ゴム総厚</t>
    <rPh sb="2" eb="3">
      <t>ソウ</t>
    </rPh>
    <rPh sb="3" eb="4">
      <t>コウ</t>
    </rPh>
    <phoneticPr fontId="5"/>
  </si>
  <si>
    <t>Ae</t>
  </si>
  <si>
    <t>Kh</t>
    <phoneticPr fontId="5"/>
  </si>
  <si>
    <t>Kv</t>
  </si>
  <si>
    <t>鉛本数</t>
    <rPh sb="0" eb="1">
      <t>ナマリ</t>
    </rPh>
    <rPh sb="1" eb="3">
      <t>ホンスウ</t>
    </rPh>
    <phoneticPr fontId="5"/>
  </si>
  <si>
    <t>Kd</t>
    <phoneticPr fontId="5"/>
  </si>
  <si>
    <t>Qd</t>
    <phoneticPr fontId="5"/>
  </si>
  <si>
    <t>HRB(状態2)</t>
    <rPh sb="4" eb="6">
      <t>ジョウタイ</t>
    </rPh>
    <phoneticPr fontId="5"/>
  </si>
  <si>
    <t>HRB(状態3)</t>
    <rPh sb="4" eb="6">
      <t>ジョウタイ</t>
    </rPh>
    <phoneticPr fontId="5"/>
  </si>
  <si>
    <t>LRB･SnRB(状態2)</t>
    <rPh sb="9" eb="11">
      <t>ジョウタイ</t>
    </rPh>
    <phoneticPr fontId="5"/>
  </si>
  <si>
    <t>LRB･SnRB(状態3)</t>
    <rPh sb="9" eb="11">
      <t>ジョウタイ</t>
    </rPh>
    <phoneticPr fontId="5"/>
  </si>
  <si>
    <t>NRB</t>
    <phoneticPr fontId="5"/>
  </si>
  <si>
    <t>SLB･SSB(状態2)</t>
    <rPh sb="8" eb="10">
      <t>ジョウタイ</t>
    </rPh>
    <phoneticPr fontId="5"/>
  </si>
  <si>
    <t>SLB･SSB(状態3)</t>
    <rPh sb="8" eb="10">
      <t>ジョウタイ</t>
    </rPh>
    <phoneticPr fontId="5"/>
  </si>
  <si>
    <t>オイルダンパー</t>
    <phoneticPr fontId="5"/>
  </si>
  <si>
    <t>基数</t>
    <rPh sb="0" eb="2">
      <t>キスウ</t>
    </rPh>
    <phoneticPr fontId="5"/>
  </si>
  <si>
    <t>C1</t>
    <phoneticPr fontId="5"/>
  </si>
  <si>
    <t>C2</t>
    <phoneticPr fontId="5"/>
  </si>
  <si>
    <t>Vr</t>
    <phoneticPr fontId="5"/>
  </si>
  <si>
    <t>Kd(kN/cm)</t>
    <phoneticPr fontId="5"/>
  </si>
  <si>
    <t>状態2</t>
    <rPh sb="0" eb="2">
      <t>ジョウタイ</t>
    </rPh>
    <phoneticPr fontId="5"/>
  </si>
  <si>
    <t>状態3</t>
    <rPh sb="0" eb="2">
      <t>ジョウタイ</t>
    </rPh>
    <phoneticPr fontId="5"/>
  </si>
  <si>
    <t>Qy1</t>
    <phoneticPr fontId="5"/>
  </si>
  <si>
    <t>α1</t>
    <phoneticPr fontId="5"/>
  </si>
  <si>
    <t>Qy2</t>
    <phoneticPr fontId="5"/>
  </si>
  <si>
    <t>α2</t>
    <phoneticPr fontId="5"/>
  </si>
  <si>
    <t>(N/mm2)</t>
  </si>
  <si>
    <t>(mm)</t>
  </si>
  <si>
    <t>(mm2)</t>
  </si>
  <si>
    <t>(kN/mm)</t>
    <phoneticPr fontId="5"/>
  </si>
  <si>
    <t>(kN/mm)</t>
  </si>
  <si>
    <t>(kN/cm)</t>
  </si>
  <si>
    <t>(kN)</t>
  </si>
  <si>
    <t>Geq</t>
    <phoneticPr fontId="5"/>
  </si>
  <si>
    <t>Heq &amp; u</t>
    <phoneticPr fontId="5"/>
  </si>
  <si>
    <t>K(状態2)</t>
    <rPh sb="2" eb="4">
      <t>ジョウタイ</t>
    </rPh>
    <phoneticPr fontId="5"/>
  </si>
  <si>
    <t>K(状態3)</t>
    <rPh sb="2" eb="4">
      <t>ジョウタイ</t>
    </rPh>
    <phoneticPr fontId="5"/>
  </si>
  <si>
    <t>K</t>
    <phoneticPr fontId="5"/>
  </si>
  <si>
    <t>μ</t>
    <phoneticPr fontId="5"/>
  </si>
  <si>
    <t>メーカー</t>
    <phoneticPr fontId="5"/>
  </si>
  <si>
    <t>シリーズ</t>
    <phoneticPr fontId="5"/>
  </si>
  <si>
    <t>製品名</t>
    <rPh sb="0" eb="3">
      <t>セイヒンメイ</t>
    </rPh>
    <phoneticPr fontId="5"/>
  </si>
  <si>
    <t>kN･s/cm</t>
    <phoneticPr fontId="5"/>
  </si>
  <si>
    <t>cm/s</t>
    <phoneticPr fontId="5"/>
  </si>
  <si>
    <t>X</t>
    <phoneticPr fontId="5"/>
  </si>
  <si>
    <t>Y</t>
    <phoneticPr fontId="5"/>
  </si>
  <si>
    <t>U</t>
    <phoneticPr fontId="5"/>
  </si>
  <si>
    <t>V</t>
    <phoneticPr fontId="5"/>
  </si>
  <si>
    <t>C1 &amp; C2</t>
    <phoneticPr fontId="5"/>
  </si>
  <si>
    <t>X方向とU方向の角度(度)</t>
    <rPh sb="1" eb="3">
      <t>ホウコウ</t>
    </rPh>
    <rPh sb="5" eb="7">
      <t>ホウコウ</t>
    </rPh>
    <rPh sb="8" eb="10">
      <t>カクド</t>
    </rPh>
    <rPh sb="11" eb="12">
      <t>ド</t>
    </rPh>
    <phoneticPr fontId="5"/>
  </si>
  <si>
    <t>β=1/4</t>
  </si>
  <si>
    <t>鋼材ダンパー</t>
    <rPh sb="0" eb="2">
      <t>コウザイ</t>
    </rPh>
    <phoneticPr fontId="5"/>
  </si>
  <si>
    <t>K1</t>
    <phoneticPr fontId="5"/>
  </si>
  <si>
    <t>K2</t>
    <phoneticPr fontId="5"/>
  </si>
  <si>
    <t>Qy</t>
    <phoneticPr fontId="5"/>
  </si>
  <si>
    <t>(kN/m)</t>
    <phoneticPr fontId="5"/>
  </si>
  <si>
    <t>(kN)</t>
    <phoneticPr fontId="5"/>
  </si>
  <si>
    <t>最高温度(℃)</t>
    <rPh sb="0" eb="2">
      <t>サイコウ</t>
    </rPh>
    <rPh sb="2" eb="4">
      <t>オンド</t>
    </rPh>
    <phoneticPr fontId="5"/>
  </si>
  <si>
    <t>最低温度(℃)</t>
    <rPh sb="0" eb="2">
      <t>サイテイ</t>
    </rPh>
    <rPh sb="2" eb="4">
      <t>オンド</t>
    </rPh>
    <phoneticPr fontId="5"/>
  </si>
  <si>
    <t>X方向</t>
  </si>
  <si>
    <t>Kdi/(Kfi＋Kdi)</t>
    <phoneticPr fontId="5"/>
  </si>
  <si>
    <t>X方向-δmax</t>
  </si>
  <si>
    <t>Y方向-δmax</t>
  </si>
  <si>
    <t>X方向-Qmax</t>
  </si>
  <si>
    <t>Y方向-Qmax</t>
  </si>
  <si>
    <t>X方向-Ci</t>
  </si>
  <si>
    <t>Y方向-Ci</t>
  </si>
  <si>
    <t>X方向-OTM</t>
  </si>
  <si>
    <t>Y方向-OTM</t>
  </si>
  <si>
    <t>Esfi</t>
    <phoneticPr fontId="5"/>
  </si>
  <si>
    <t>Esdi</t>
    <phoneticPr fontId="5"/>
  </si>
  <si>
    <t>ηfi</t>
    <phoneticPr fontId="5"/>
  </si>
  <si>
    <t>ηdi</t>
    <phoneticPr fontId="5"/>
  </si>
  <si>
    <t>μ=η/2+1</t>
  </si>
  <si>
    <t>グラフに表示するδmaxの選択</t>
    <rPh sb="4" eb="6">
      <t>ヒョウジ</t>
    </rPh>
    <rPh sb="13" eb="15">
      <t>センタク</t>
    </rPh>
    <phoneticPr fontId="5"/>
  </si>
  <si>
    <t>μ=η/2+1</t>
    <phoneticPr fontId="5"/>
  </si>
  <si>
    <t>manual5.3</t>
    <phoneticPr fontId="5"/>
  </si>
  <si>
    <t>manual5.4</t>
    <phoneticPr fontId="5"/>
  </si>
  <si>
    <t>X方向-δ/H</t>
  </si>
  <si>
    <t>Y方向-δ/H</t>
  </si>
  <si>
    <t>平均軸力</t>
    <rPh sb="0" eb="2">
      <t>ヘイキン</t>
    </rPh>
    <rPh sb="2" eb="3">
      <t>ジク</t>
    </rPh>
    <rPh sb="3" eb="4">
      <t>リョク</t>
    </rPh>
    <phoneticPr fontId="5"/>
  </si>
  <si>
    <t>メーカー</t>
  </si>
  <si>
    <t>装置</t>
    <rPh sb="0" eb="2">
      <t>ソウチ</t>
    </rPh>
    <phoneticPr fontId="5"/>
  </si>
  <si>
    <t>ゴム種</t>
    <rPh sb="2" eb="3">
      <t>タネ</t>
    </rPh>
    <phoneticPr fontId="5"/>
  </si>
  <si>
    <t>シリーズ</t>
  </si>
  <si>
    <t>ゴム外径</t>
    <rPh sb="2" eb="4">
      <t>ガイケイ</t>
    </rPh>
    <phoneticPr fontId="5"/>
  </si>
  <si>
    <t>鉛径</t>
    <rPh sb="0" eb="1">
      <t>ナマリ</t>
    </rPh>
    <rPh sb="1" eb="2">
      <t>ケイ</t>
    </rPh>
    <phoneticPr fontId="5"/>
  </si>
  <si>
    <t>加速度</t>
  </si>
  <si>
    <t>速度</t>
  </si>
  <si>
    <t>色</t>
    <rPh sb="0" eb="1">
      <t>イロ</t>
    </rPh>
    <phoneticPr fontId="5"/>
  </si>
  <si>
    <t>Δt(sec)</t>
    <phoneticPr fontId="5"/>
  </si>
  <si>
    <t>Δt分割数</t>
    <rPh sb="2" eb="5">
      <t>ブンカツスウ</t>
    </rPh>
    <phoneticPr fontId="5"/>
  </si>
  <si>
    <t>倍率</t>
    <rPh sb="0" eb="2">
      <t>バイリツ</t>
    </rPh>
    <phoneticPr fontId="5"/>
  </si>
  <si>
    <t>区分</t>
    <rPh sb="0" eb="2">
      <t>クブン</t>
    </rPh>
    <phoneticPr fontId="5"/>
  </si>
  <si>
    <t>地震波名</t>
    <phoneticPr fontId="5"/>
  </si>
  <si>
    <t>最初の行</t>
    <rPh sb="0" eb="4">
      <t>サイショ</t>
    </rPh>
    <phoneticPr fontId="5"/>
  </si>
  <si>
    <t>最後の行</t>
    <rPh sb="0" eb="2">
      <t>サイゴ</t>
    </rPh>
    <rPh sb="3" eb="4">
      <t>ギョウ</t>
    </rPh>
    <phoneticPr fontId="5"/>
  </si>
  <si>
    <t>フォーマット</t>
    <phoneticPr fontId="5"/>
  </si>
  <si>
    <t>観測波入力チェック</t>
    <phoneticPr fontId="5"/>
  </si>
  <si>
    <t>(cm/s2)</t>
    <phoneticPr fontId="5"/>
  </si>
  <si>
    <t>(cm/s)</t>
    <phoneticPr fontId="5"/>
  </si>
  <si>
    <t>Ve</t>
    <phoneticPr fontId="5"/>
  </si>
  <si>
    <t>Sd</t>
    <phoneticPr fontId="5"/>
  </si>
  <si>
    <t>Sv</t>
    <phoneticPr fontId="5"/>
  </si>
  <si>
    <t>Sa</t>
    <phoneticPr fontId="5"/>
  </si>
  <si>
    <t>pSv</t>
    <phoneticPr fontId="5"/>
  </si>
  <si>
    <t>pSv(L2)</t>
    <phoneticPr fontId="5"/>
  </si>
  <si>
    <t>pSv(L1)</t>
    <phoneticPr fontId="5"/>
  </si>
  <si>
    <t>T</t>
    <phoneticPr fontId="5"/>
  </si>
  <si>
    <t>(2) 速度(cm/sec)</t>
    <rPh sb="4" eb="6">
      <t>ソクド</t>
    </rPh>
    <phoneticPr fontId="5"/>
  </si>
  <si>
    <t>(4) 層間変位(cm)</t>
    <phoneticPr fontId="5"/>
  </si>
  <si>
    <t>(5) 層間変形角</t>
    <phoneticPr fontId="5"/>
  </si>
  <si>
    <t>(6) 層せん断力(kN)</t>
    <phoneticPr fontId="5"/>
  </si>
  <si>
    <t>(6) 層せん断力(kN)</t>
    <rPh sb="4" eb="5">
      <t>ソウ</t>
    </rPh>
    <rPh sb="7" eb="9">
      <t>ダン</t>
    </rPh>
    <phoneticPr fontId="5"/>
  </si>
  <si>
    <t>(7) 層せん断力係数</t>
    <phoneticPr fontId="5"/>
  </si>
  <si>
    <t>(8) 転倒モーメント(kN･m)</t>
    <phoneticPr fontId="5"/>
  </si>
  <si>
    <r>
      <t>(1) 加速度(cm/sec</t>
    </r>
    <r>
      <rPr>
        <vertAlign val="superscript"/>
        <sz val="10"/>
        <rFont val="ＭＳ ゴシック"/>
        <family val="3"/>
        <charset val="128"/>
      </rPr>
      <t>2</t>
    </r>
    <r>
      <rPr>
        <sz val="10"/>
        <rFont val="ＭＳ ゴシック"/>
        <family val="3"/>
        <charset val="128"/>
      </rPr>
      <t>)</t>
    </r>
    <rPh sb="4" eb="7">
      <t>カソクド</t>
    </rPh>
    <phoneticPr fontId="5"/>
  </si>
  <si>
    <t>OilDamper</t>
    <phoneticPr fontId="5"/>
  </si>
  <si>
    <t>Series</t>
  </si>
  <si>
    <t>Fmax</t>
  </si>
  <si>
    <t>Fr</t>
  </si>
  <si>
    <t>Vmax</t>
  </si>
  <si>
    <t>C1</t>
  </si>
  <si>
    <t>C2</t>
  </si>
  <si>
    <t>HalfStroke</t>
  </si>
  <si>
    <t>Lmax</t>
  </si>
  <si>
    <t>Kd</t>
  </si>
  <si>
    <t>Product</t>
  </si>
  <si>
    <t>角度</t>
    <rPh sb="0" eb="2">
      <t>カクド</t>
    </rPh>
    <phoneticPr fontId="5"/>
  </si>
  <si>
    <t>(+)側</t>
    <rPh sb="3" eb="4">
      <t>ガワ</t>
    </rPh>
    <phoneticPr fontId="5"/>
  </si>
  <si>
    <t>(-)側</t>
    <rPh sb="3" eb="4">
      <t>ガワ</t>
    </rPh>
    <phoneticPr fontId="5"/>
  </si>
  <si>
    <t>Vr</t>
  </si>
  <si>
    <t>Kj</t>
  </si>
  <si>
    <t>Maker</t>
  </si>
  <si>
    <t>kN</t>
  </si>
  <si>
    <t>cm/s</t>
  </si>
  <si>
    <t>kN･s/cm</t>
  </si>
  <si>
    <t>cm</t>
  </si>
  <si>
    <t>kN/cm</t>
  </si>
  <si>
    <t>(度)</t>
    <rPh sb="1" eb="2">
      <t>ド</t>
    </rPh>
    <phoneticPr fontId="5"/>
  </si>
  <si>
    <t>C1 &amp; C2</t>
  </si>
  <si>
    <t>使わない</t>
  </si>
  <si>
    <t>オイルダンパー</t>
  </si>
  <si>
    <t>Zener型ダンパー</t>
  </si>
  <si>
    <t>減衰定数</t>
    <rPh sb="0" eb="2">
      <t>ゲンスイ</t>
    </rPh>
    <rPh sb="2" eb="4">
      <t>ジョウスウ</t>
    </rPh>
    <phoneticPr fontId="6"/>
  </si>
  <si>
    <t>地域係数</t>
    <rPh sb="0" eb="2">
      <t>チイキ</t>
    </rPh>
    <rPh sb="2" eb="4">
      <t>ケイスウ</t>
    </rPh>
    <phoneticPr fontId="6"/>
  </si>
  <si>
    <t>状態</t>
    <rPh sb="0" eb="2">
      <t>ジョウタイ</t>
    </rPh>
    <phoneticPr fontId="1"/>
  </si>
  <si>
    <t>Wave</t>
    <phoneticPr fontId="5"/>
  </si>
  <si>
    <t>固有モード図(上部構造)</t>
    <rPh sb="0" eb="2">
      <t>コユウ</t>
    </rPh>
    <rPh sb="5" eb="6">
      <t>ズ</t>
    </rPh>
    <phoneticPr fontId="5"/>
  </si>
  <si>
    <t>固有モード図(上部構造＋SRばね)</t>
    <phoneticPr fontId="5"/>
  </si>
  <si>
    <t>応答スペクトル計算条件</t>
    <rPh sb="0" eb="2">
      <t>オウトウ</t>
    </rPh>
    <rPh sb="7" eb="9">
      <t>ケイサン</t>
    </rPh>
    <rPh sb="9" eb="11">
      <t>ジョウケン</t>
    </rPh>
    <phoneticPr fontId="1"/>
  </si>
  <si>
    <t>本ツールは[261013版]です。</t>
    <rPh sb="0" eb="1">
      <t>ホン</t>
    </rPh>
    <rPh sb="12" eb="13">
      <t>バン</t>
    </rPh>
    <phoneticPr fontId="1"/>
  </si>
  <si>
    <t>更新履歴</t>
    <rPh sb="0" eb="2">
      <t>コウシン</t>
    </rPh>
    <rPh sb="2" eb="4">
      <t>リレキ</t>
    </rPh>
    <phoneticPr fontId="1"/>
  </si>
  <si>
    <t>[261013版]</t>
    <phoneticPr fontId="1"/>
  </si>
  <si>
    <t>本ツールで使用しているライブラリを以下に示します。ソースコードの公開に感謝します。</t>
    <rPh sb="0" eb="1">
      <t>ホン</t>
    </rPh>
    <rPh sb="5" eb="7">
      <t>シヨウ</t>
    </rPh>
    <rPh sb="17" eb="19">
      <t>イカ</t>
    </rPh>
    <rPh sb="20" eb="21">
      <t>シメ</t>
    </rPh>
    <phoneticPr fontId="1"/>
  </si>
  <si>
    <t>下記のメッセージが表示される場合は、http://www.ch-werner.de/sqliteodbc/ にて sqliteodbc_w64.exe をダウンロードしてインストールしてください。</t>
    <rPh sb="0" eb="2">
      <t>カキ</t>
    </rPh>
    <rPh sb="9" eb="11">
      <t>ヒョウジ</t>
    </rPh>
    <phoneticPr fontId="1"/>
  </si>
  <si>
    <t>初版をリリースしました。</t>
    <rPh sb="0" eb="2">
      <t>ショハン</t>
    </rPh>
    <phoneticPr fontId="1"/>
  </si>
  <si>
    <t>クラウド環境は下記の Oracle Cloud Infrastructure の Always Free 枠内としています。</t>
    <rPh sb="4" eb="6">
      <t>カンキョウ</t>
    </rPh>
    <rPh sb="7" eb="9">
      <t>カキ</t>
    </rPh>
    <rPh sb="53" eb="54">
      <t>ワク</t>
    </rPh>
    <rPh sb="54" eb="55">
      <t>ナイ</t>
    </rPh>
    <phoneticPr fontId="1"/>
  </si>
  <si>
    <t>(1,500 OCPU hours and 9,000 GB hours per month → 2 OCPU + 12GB RAMを常時稼働)</t>
    <rPh sb="67" eb="69">
      <t>ジョウジ</t>
    </rPh>
    <rPh sb="69" eb="71">
      <t>カドウ</t>
    </rPh>
    <phoneticPr fontId="1"/>
  </si>
  <si>
    <t>(2) 速度(cm/sec)</t>
    <phoneticPr fontId="5"/>
  </si>
  <si>
    <t>(3) 変位(cm)</t>
    <phoneticPr fontId="5"/>
  </si>
  <si>
    <t>K-A</t>
  </si>
  <si>
    <t>免震部材のラインナップは以下の通りです。</t>
    <rPh sb="0" eb="2">
      <t>メンシン</t>
    </rPh>
    <rPh sb="2" eb="4">
      <t>ブザイ</t>
    </rPh>
    <rPh sb="12" eb="14">
      <t>イカ</t>
    </rPh>
    <rPh sb="15" eb="16">
      <t>トオ</t>
    </rPh>
    <phoneticPr fontId="1"/>
  </si>
  <si>
    <t>下記のメッセージが表示される場合は、コンテンツの有効化ボタンをクリックしてください。</t>
    <rPh sb="0" eb="2">
      <t>カキ</t>
    </rPh>
    <rPh sb="9" eb="11">
      <t>ヒョウジ</t>
    </rPh>
    <rPh sb="24" eb="27">
      <t>ユウコウカ</t>
    </rPh>
    <phoneticPr fontId="1"/>
  </si>
  <si>
    <t>© 2026 excel-dynamic-analysis.com</t>
    <phoneticPr fontId="1"/>
  </si>
  <si>
    <t>Qy1、α1：第1折れ点のせん断力、せん断剛性低下率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</si>
  <si>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Qy2、α2：第2折れ点のせん断力、せん断剛性低下率</t>
    <rPh sb="7" eb="8">
      <t>ダイ</t>
    </rPh>
    <rPh sb="9" eb="10">
      <t>オ</t>
    </rPh>
    <rPh sb="11" eb="12">
      <t>テン</t>
    </rPh>
    <rPh sb="15" eb="16">
      <t>ダン</t>
    </rPh>
    <rPh sb="16" eb="17">
      <t>リョク</t>
    </rPh>
    <rPh sb="20" eb="21">
      <t>ダン</t>
    </rPh>
    <rPh sb="21" eb="23">
      <t>ゴウセイ</t>
    </rPh>
    <rPh sb="23" eb="26">
      <t>テイカリツ</t>
    </rPh>
    <phoneticPr fontId="1"/>
  </si>
  <si>
    <t>LLT</t>
  </si>
  <si>
    <t>固有モード図(上部構造＋免震層｜レベル1地震時)</t>
    <rPh sb="0" eb="2">
      <t>コユウ</t>
    </rPh>
    <rPh sb="5" eb="6">
      <t>ズ</t>
    </rPh>
    <phoneticPr fontId="5"/>
  </si>
  <si>
    <t>固有モード図(上部構造＋免震層｜レベル2地震時)</t>
    <phoneticPr fontId="5"/>
  </si>
  <si>
    <t>固有モード図(上部構造＋免震層＋SRばね｜レベル1地震時)</t>
    <phoneticPr fontId="5"/>
  </si>
  <si>
    <t>固有モード図(上部構造＋免震層＋SRばね｜レベル2地震時)</t>
    <phoneticPr fontId="5"/>
  </si>
  <si>
    <t>重量</t>
    <phoneticPr fontId="3"/>
  </si>
  <si>
    <t>構造階高</t>
    <phoneticPr fontId="3"/>
  </si>
  <si>
    <t>X方向</t>
    <phoneticPr fontId="5"/>
  </si>
  <si>
    <r>
      <t>G･A(</t>
    </r>
    <r>
      <rPr>
        <sz val="10"/>
        <color rgb="FFFF0000"/>
        <rFont val="ＭＳ ゴシック"/>
        <family val="3"/>
        <charset val="128"/>
      </rPr>
      <t>kN</t>
    </r>
    <r>
      <rPr>
        <sz val="10"/>
        <color theme="1"/>
        <rFont val="ＭＳ ゴシック"/>
        <family val="3"/>
        <charset val="128"/>
      </rPr>
      <t>)</t>
    </r>
    <phoneticPr fontId="3"/>
  </si>
  <si>
    <r>
      <t>E･I(</t>
    </r>
    <r>
      <rPr>
        <sz val="10"/>
        <color rgb="FFFF0000"/>
        <rFont val="ＭＳ ゴシック"/>
        <family val="3"/>
        <charset val="128"/>
      </rPr>
      <t>kN･cm2</t>
    </r>
    <r>
      <rPr>
        <sz val="10"/>
        <color theme="1"/>
        <rFont val="ＭＳ ゴシック"/>
        <family val="3"/>
        <charset val="128"/>
      </rPr>
      <t>)</t>
    </r>
    <phoneticPr fontId="3"/>
  </si>
  <si>
    <t>(sec)</t>
    <phoneticPr fontId="1"/>
  </si>
  <si>
    <t>摩擦係数</t>
    <rPh sb="0" eb="4">
      <t>マサツケイスウ</t>
    </rPh>
    <phoneticPr fontId="1"/>
  </si>
  <si>
    <t>1次</t>
    <rPh sb="1" eb="2">
      <t>ジ</t>
    </rPh>
    <phoneticPr fontId="1"/>
  </si>
  <si>
    <t>2次</t>
    <rPh sb="1" eb="2">
      <t>ジ</t>
    </rPh>
    <phoneticPr fontId="1"/>
  </si>
  <si>
    <t>3次</t>
    <rPh sb="1" eb="2">
      <t>ジ</t>
    </rPh>
    <phoneticPr fontId="1"/>
  </si>
  <si>
    <t>4次</t>
    <rPh sb="1" eb="2">
      <t>ジ</t>
    </rPh>
    <phoneticPr fontId="1"/>
  </si>
  <si>
    <t>L2</t>
    <phoneticPr fontId="1"/>
  </si>
  <si>
    <t>状態1</t>
    <phoneticPr fontId="1"/>
  </si>
  <si>
    <t>本ツールの数値解法は以下の通りです。</t>
    <rPh sb="0" eb="1">
      <t>ホン</t>
    </rPh>
    <rPh sb="5" eb="7">
      <t>スウチ</t>
    </rPh>
    <rPh sb="7" eb="9">
      <t>カイホウ</t>
    </rPh>
    <rPh sb="10" eb="12">
      <t>イカ</t>
    </rPh>
    <rPh sb="13" eb="14">
      <t>トオ</t>
    </rPh>
    <phoneticPr fontId="1"/>
  </si>
  <si>
    <t>免震部材のモデル化は以下の通りです。</t>
    <rPh sb="0" eb="2">
      <t>メンシン</t>
    </rPh>
    <rPh sb="2" eb="4">
      <t>ブザイ</t>
    </rPh>
    <rPh sb="8" eb="9">
      <t>カ</t>
    </rPh>
    <rPh sb="10" eb="12">
      <t>イカ</t>
    </rPh>
    <rPh sb="13" eb="14">
      <t>トオ</t>
    </rPh>
    <phoneticPr fontId="1"/>
  </si>
  <si>
    <t>：linearモデル</t>
    <phoneticPr fontId="1"/>
  </si>
  <si>
    <t>：修正bi-linearモデル または Kikuchi-Aikenモデル</t>
    <phoneticPr fontId="1"/>
  </si>
  <si>
    <t>：修正bi-linearモデル</t>
    <phoneticPr fontId="1"/>
  </si>
  <si>
    <t>：bi-linearモデル(完全弾塑性型)</t>
    <phoneticPr fontId="1"/>
  </si>
  <si>
    <t>：bi-linearモデル(摩擦係数の速度依存性考慮)</t>
    <rPh sb="14" eb="18">
      <t>マサツケイスウ</t>
    </rPh>
    <rPh sb="19" eb="21">
      <t>ソクド</t>
    </rPh>
    <rPh sb="21" eb="24">
      <t>イゾンセイ</t>
    </rPh>
    <rPh sb="24" eb="26">
      <t>コウリョ</t>
    </rPh>
    <phoneticPr fontId="1"/>
  </si>
  <si>
    <t>：Maxwellモデル</t>
    <phoneticPr fontId="1"/>
  </si>
  <si>
    <t>：ニューマークβ法(Newmark beta method)</t>
    <phoneticPr fontId="1"/>
  </si>
  <si>
    <t>：ヤコビ法(Jacobi eigenvalue algorithm)</t>
    <phoneticPr fontId="1"/>
  </si>
  <si>
    <t>　・クラウドとの通信：cpp-httplib (https://github.com/yhirose/cpp-httplib、ライセンス：MIT license)</t>
    <rPh sb="8" eb="10">
      <t>ツウシン</t>
    </rPh>
    <phoneticPr fontId="1"/>
  </si>
  <si>
    <t>　・固有値解析</t>
    <rPh sb="2" eb="5">
      <t>コユウチ</t>
    </rPh>
    <rPh sb="5" eb="7">
      <t>カイセキ</t>
    </rPh>
    <phoneticPr fontId="1"/>
  </si>
  <si>
    <t>　・時刻歴応答解析</t>
    <rPh sb="2" eb="4">
      <t>ジコク</t>
    </rPh>
    <rPh sb="4" eb="5">
      <t>レキ</t>
    </rPh>
    <rPh sb="5" eb="9">
      <t>オウトウカイセキ</t>
    </rPh>
    <phoneticPr fontId="1"/>
  </si>
  <si>
    <t>　・ブリヂストン化工品ジャパン株式会社</t>
    <rPh sb="8" eb="10">
      <t>カコウ</t>
    </rPh>
    <rPh sb="10" eb="11">
      <t>ヒン</t>
    </rPh>
    <rPh sb="15" eb="19">
      <t>カブシキガイシャ</t>
    </rPh>
    <phoneticPr fontId="1"/>
  </si>
  <si>
    <t>　・オイレス工業株式会社</t>
    <rPh sb="6" eb="8">
      <t>コウギョウ</t>
    </rPh>
    <rPh sb="8" eb="12">
      <t>カブシキガイシャ</t>
    </rPh>
    <phoneticPr fontId="1"/>
  </si>
  <si>
    <t>　・日鉄エンジニアリング株式会社</t>
    <rPh sb="2" eb="4">
      <t>ニッテツ</t>
    </rPh>
    <rPh sb="12" eb="16">
      <t>カブシキガイシャ</t>
    </rPh>
    <phoneticPr fontId="1"/>
  </si>
  <si>
    <t>　・株式会社免制震ディバイス</t>
    <rPh sb="2" eb="6">
      <t>カブシキガイシャ</t>
    </rPh>
    <rPh sb="6" eb="7">
      <t>メン</t>
    </rPh>
    <rPh sb="7" eb="9">
      <t>セイシン</t>
    </rPh>
    <phoneticPr fontId="1"/>
  </si>
  <si>
    <t>　・株式会社川金コアテック</t>
    <rPh sb="2" eb="6">
      <t>カブシキガイシャ</t>
    </rPh>
    <rPh sb="6" eb="8">
      <t>カワキン</t>
    </rPh>
    <phoneticPr fontId="1"/>
  </si>
  <si>
    <t>：天然ゴム系積層ゴム支承(NRB)、高減衰ゴム系積層ゴム支承(HRB)、鉛プラグ入り積層ゴム支承(LRB)、弾性すべり支承(SLB)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</si>
  <si>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：天然ゴム系積層ゴム支承(NRB)、鉛プラグ入り積層ゴム支承(LRB)、弾性すべり支承(SLB)</t>
    <rPh sb="1" eb="3">
      <t>テンネン</t>
    </rPh>
    <rPh sb="5" eb="6">
      <t>ケイ</t>
    </rPh>
    <rPh sb="6" eb="8">
      <t>セキソウ</t>
    </rPh>
    <rPh sb="10" eb="12">
      <t>シショウ</t>
    </rPh>
    <phoneticPr fontId="1"/>
  </si>
  <si>
    <t>：球面すべり支承(SSB)、免震NSUダンパー(NSUD)</t>
    <rPh sb="1" eb="3">
      <t>キュウメン</t>
    </rPh>
    <rPh sb="6" eb="8">
      <t>シショウ</t>
    </rPh>
    <phoneticPr fontId="1"/>
  </si>
  <si>
    <t>：錫プラグ入り積層ゴム支承(SnRB)</t>
    <rPh sb="7" eb="9">
      <t>セキソウ</t>
    </rPh>
    <rPh sb="11" eb="13">
      <t>シショウ</t>
    </rPh>
    <phoneticPr fontId="1"/>
  </si>
  <si>
    <t>：KYM免震オイルダンパー(OD)</t>
    <rPh sb="4" eb="6">
      <t>メンシン</t>
    </rPh>
    <phoneticPr fontId="1"/>
  </si>
  <si>
    <t>　・NRB</t>
    <phoneticPr fontId="1"/>
  </si>
  <si>
    <t>　・HRB</t>
    <phoneticPr fontId="1"/>
  </si>
  <si>
    <t>　・LRB、SnRB</t>
    <phoneticPr fontId="1"/>
  </si>
  <si>
    <t>　・SSB</t>
    <phoneticPr fontId="1"/>
  </si>
  <si>
    <t>　・OD</t>
    <phoneticPr fontId="1"/>
  </si>
  <si>
    <t>要読込</t>
    <phoneticPr fontId="1"/>
  </si>
  <si>
    <t>操作マニュアル</t>
    <rPh sb="0" eb="2">
      <t>ソウサ</t>
    </rPh>
    <phoneticPr fontId="1"/>
  </si>
  <si>
    <r>
      <t>せん断剛性(</t>
    </r>
    <r>
      <rPr>
        <sz val="10"/>
        <color rgb="FFFF0000"/>
        <rFont val="ＭＳ ゴシック"/>
        <family val="3"/>
        <charset val="128"/>
      </rPr>
      <t>kN/cm</t>
    </r>
    <r>
      <rPr>
        <sz val="10"/>
        <color theme="1"/>
        <rFont val="ＭＳ ゴシック"/>
        <family val="3"/>
        <charset val="128"/>
      </rPr>
      <t>)</t>
    </r>
    <rPh sb="2" eb="3">
      <t>ダン</t>
    </rPh>
    <phoneticPr fontId="3"/>
  </si>
  <si>
    <t>　1. D、E列に重量、構造階高を入力する</t>
    <rPh sb="7" eb="8">
      <t>レツ</t>
    </rPh>
    <rPh sb="9" eb="11">
      <t>ジュウリョウ</t>
    </rPh>
    <rPh sb="12" eb="14">
      <t>コウゾウ</t>
    </rPh>
    <rPh sb="14" eb="16">
      <t>カイダカ</t>
    </rPh>
    <rPh sb="17" eb="19">
      <t>ニュウリョク</t>
    </rPh>
    <phoneticPr fontId="1"/>
  </si>
  <si>
    <t>　2. 等価せん断型モデルはF~I列にせん断剛性、等価曲げせん断型モデルはJ~Q列にG･A、E･Iを入力する</t>
    <rPh sb="4" eb="6">
      <t>トウカ</t>
    </rPh>
    <rPh sb="8" eb="9">
      <t>ダン</t>
    </rPh>
    <rPh sb="9" eb="10">
      <t>ガタ</t>
    </rPh>
    <rPh sb="17" eb="18">
      <t>レツ</t>
    </rPh>
    <rPh sb="21" eb="22">
      <t>ダン</t>
    </rPh>
    <rPh sb="22" eb="24">
      <t>ゴウセイ</t>
    </rPh>
    <rPh sb="25" eb="27">
      <t>トウカ</t>
    </rPh>
    <rPh sb="27" eb="28">
      <t>マ</t>
    </rPh>
    <rPh sb="31" eb="32">
      <t>ダン</t>
    </rPh>
    <rPh sb="32" eb="33">
      <t>ガタ</t>
    </rPh>
    <rPh sb="40" eb="41">
      <t>レツ</t>
    </rPh>
    <rPh sb="50" eb="52">
      <t>ニュウリョク</t>
    </rPh>
    <phoneticPr fontId="1"/>
  </si>
  <si>
    <t>　4. S18セルで比例減衰の種類を選択し、S19またはS20セルに減衰定数を入力する</t>
    <rPh sb="10" eb="12">
      <t>ヒレイ</t>
    </rPh>
    <rPh sb="12" eb="14">
      <t>ゲンスイ</t>
    </rPh>
    <rPh sb="15" eb="17">
      <t>シュルイ</t>
    </rPh>
    <rPh sb="18" eb="20">
      <t>センタク</t>
    </rPh>
    <rPh sb="34" eb="36">
      <t>ゲンスイ</t>
    </rPh>
    <rPh sb="36" eb="38">
      <t>ジョウスウ</t>
    </rPh>
    <rPh sb="39" eb="41">
      <t>ニュウリョク</t>
    </rPh>
    <phoneticPr fontId="1"/>
  </si>
  <si>
    <t>　↓</t>
    <phoneticPr fontId="1"/>
  </si>
  <si>
    <t>　1. 必要に応じてW列の選択肢を変更する</t>
    <rPh sb="4" eb="6">
      <t>ヒツヨウ</t>
    </rPh>
    <rPh sb="7" eb="8">
      <t>オウ</t>
    </rPh>
    <rPh sb="11" eb="12">
      <t>レツ</t>
    </rPh>
    <rPh sb="13" eb="16">
      <t>センタクシ</t>
    </rPh>
    <rPh sb="17" eb="19">
      <t>ヘンコウ</t>
    </rPh>
    <phoneticPr fontId="1"/>
  </si>
  <si>
    <t>　2. B~Q列において、復元力特性がBi-Linearの場合はQ1とα1、Takedaの場合は更にQ2とα2を入力する</t>
    <rPh sb="7" eb="8">
      <t>レツ</t>
    </rPh>
    <rPh sb="13" eb="15">
      <t>フクゲン</t>
    </rPh>
    <rPh sb="15" eb="16">
      <t>リョク</t>
    </rPh>
    <rPh sb="16" eb="18">
      <t>トクセイ</t>
    </rPh>
    <rPh sb="29" eb="31">
      <t>バアイ</t>
    </rPh>
    <rPh sb="45" eb="47">
      <t>バアイ</t>
    </rPh>
    <rPh sb="48" eb="49">
      <t>サラ</t>
    </rPh>
    <rPh sb="56" eb="58">
      <t>ニュウリョク</t>
    </rPh>
    <phoneticPr fontId="1"/>
  </si>
  <si>
    <t>　1. 支承材はC列→D列→…の順に項目を選択し、J列以降に諸元が出力されることを確認する</t>
    <rPh sb="4" eb="7">
      <t>シショウザイ</t>
    </rPh>
    <rPh sb="9" eb="10">
      <t>レツ</t>
    </rPh>
    <rPh sb="12" eb="13">
      <t>レツ</t>
    </rPh>
    <rPh sb="16" eb="17">
      <t>ジュン</t>
    </rPh>
    <rPh sb="18" eb="20">
      <t>コウモク</t>
    </rPh>
    <rPh sb="21" eb="23">
      <t>センタク</t>
    </rPh>
    <rPh sb="26" eb="27">
      <t>レツ</t>
    </rPh>
    <rPh sb="27" eb="29">
      <t>イコウ</t>
    </rPh>
    <rPh sb="30" eb="32">
      <t>ショゲン</t>
    </rPh>
    <rPh sb="33" eb="35">
      <t>シュツリョク</t>
    </rPh>
    <rPh sb="41" eb="43">
      <t>カクニン</t>
    </rPh>
    <phoneticPr fontId="1"/>
  </si>
  <si>
    <t>　2. オイルダンパー、鋼材ダンパーはB、C、D列で項目を選択し、E列以降に諸元が出力されることを確認する</t>
    <rPh sb="12" eb="14">
      <t>コウザイ</t>
    </rPh>
    <rPh sb="24" eb="25">
      <t>レツ</t>
    </rPh>
    <rPh sb="26" eb="28">
      <t>コウモク</t>
    </rPh>
    <rPh sb="29" eb="31">
      <t>センタク</t>
    </rPh>
    <rPh sb="34" eb="35">
      <t>レツ</t>
    </rPh>
    <rPh sb="35" eb="37">
      <t>イコウ</t>
    </rPh>
    <rPh sb="38" eb="40">
      <t>ショゲン</t>
    </rPh>
    <rPh sb="41" eb="43">
      <t>シュツリョク</t>
    </rPh>
    <rPh sb="49" eb="51">
      <t>カクニン</t>
    </rPh>
    <phoneticPr fontId="1"/>
  </si>
  <si>
    <t>　3. A列に基数を入力する</t>
    <rPh sb="5" eb="6">
      <t>レツ</t>
    </rPh>
    <rPh sb="7" eb="9">
      <t>キスウ</t>
    </rPh>
    <rPh sb="10" eb="12">
      <t>ニュウリョク</t>
    </rPh>
    <phoneticPr fontId="1"/>
  </si>
  <si>
    <t>　4. 弾性すべり支承、球面すべり支承はB列に平均軸力を入力する</t>
    <rPh sb="4" eb="6">
      <t>ダンセイ</t>
    </rPh>
    <rPh sb="9" eb="11">
      <t>シショウ</t>
    </rPh>
    <rPh sb="12" eb="14">
      <t>キュウメン</t>
    </rPh>
    <rPh sb="17" eb="19">
      <t>シショウ</t>
    </rPh>
    <rPh sb="21" eb="22">
      <t>レツ</t>
    </rPh>
    <rPh sb="23" eb="25">
      <t>ヘイキン</t>
    </rPh>
    <rPh sb="25" eb="27">
      <t>ジクリョク</t>
    </rPh>
    <rPh sb="28" eb="30">
      <t>ニュウリョク</t>
    </rPh>
    <phoneticPr fontId="1"/>
  </si>
  <si>
    <t>　1. A列に固定フォーマット形式の地震波データを入力する(説明文があってもOK)</t>
    <rPh sb="5" eb="6">
      <t>レツ</t>
    </rPh>
    <rPh sb="7" eb="9">
      <t>コテイ</t>
    </rPh>
    <rPh sb="15" eb="17">
      <t>ケイシキ</t>
    </rPh>
    <rPh sb="18" eb="21">
      <t>ジシンハ</t>
    </rPh>
    <rPh sb="25" eb="27">
      <t>ニュウリョク</t>
    </rPh>
    <rPh sb="30" eb="33">
      <t>セツメイブン</t>
    </rPh>
    <phoneticPr fontId="1"/>
  </si>
  <si>
    <t>　3. D~G列に必要事項を入力する。必要に応じてH列の地震波名を変更する</t>
    <rPh sb="7" eb="8">
      <t>レツ</t>
    </rPh>
    <rPh sb="9" eb="11">
      <t>ヒツヨウ</t>
    </rPh>
    <rPh sb="11" eb="13">
      <t>ジコウ</t>
    </rPh>
    <rPh sb="14" eb="16">
      <t>ニュウリョク</t>
    </rPh>
    <rPh sb="19" eb="21">
      <t>ヒツヨウ</t>
    </rPh>
    <rPh sb="22" eb="23">
      <t>オウ</t>
    </rPh>
    <rPh sb="26" eb="27">
      <t>レツ</t>
    </rPh>
    <rPh sb="28" eb="31">
      <t>ジシンハ</t>
    </rPh>
    <rPh sb="31" eb="32">
      <t>メイ</t>
    </rPh>
    <rPh sb="33" eb="35">
      <t>ヘンコウ</t>
    </rPh>
    <phoneticPr fontId="1"/>
  </si>
  <si>
    <t>　5. S23~S26セルが実行可になっていることを確認し、固有値解析実行ボタンをクリックする</t>
    <rPh sb="14" eb="16">
      <t>ジッコウ</t>
    </rPh>
    <rPh sb="16" eb="17">
      <t>カ</t>
    </rPh>
    <rPh sb="26" eb="28">
      <t>カクニン</t>
    </rPh>
    <rPh sb="30" eb="33">
      <t>コユウチ</t>
    </rPh>
    <rPh sb="33" eb="35">
      <t>カイセキ</t>
    </rPh>
    <rPh sb="35" eb="37">
      <t>ジッコウ</t>
    </rPh>
    <phoneticPr fontId="1"/>
  </si>
  <si>
    <t>[固有値]シート</t>
    <rPh sb="1" eb="4">
      <t>コユウチ</t>
    </rPh>
    <phoneticPr fontId="1"/>
  </si>
  <si>
    <t>[解析条件]シート</t>
    <rPh sb="1" eb="3">
      <t>カイセキ</t>
    </rPh>
    <rPh sb="3" eb="5">
      <t>ジョウケン</t>
    </rPh>
    <phoneticPr fontId="1"/>
  </si>
  <si>
    <t>[地震波]シート</t>
    <rPh sb="1" eb="4">
      <t>ジシンハ</t>
    </rPh>
    <phoneticPr fontId="1"/>
  </si>
  <si>
    <t>[X、Y、U、V方向]シート</t>
    <phoneticPr fontId="1"/>
  </si>
  <si>
    <t>　1. DA1セルで地震波の種類を選択する</t>
    <rPh sb="10" eb="13">
      <t>ジシンハ</t>
    </rPh>
    <rPh sb="14" eb="16">
      <t>シュルイ</t>
    </rPh>
    <rPh sb="17" eb="19">
      <t>センタク</t>
    </rPh>
    <phoneticPr fontId="1"/>
  </si>
  <si>
    <t>　2. 時刻歴応答解析実行ボタンをクリックする</t>
    <rPh sb="4" eb="11">
      <t>ジコクレキオウトウカイセキ</t>
    </rPh>
    <rPh sb="11" eb="13">
      <t>ジッコウ</t>
    </rPh>
    <phoneticPr fontId="1"/>
  </si>
  <si>
    <t>　5. T54、T55セルを変更するとT列以降の性能変動率が一括変更される。性能変動率＝温度＋製造ばらつき＋経年変化による性能変動率の合計</t>
    <rPh sb="14" eb="16">
      <t>ヘンコウ</t>
    </rPh>
    <rPh sb="20" eb="21">
      <t>レツ</t>
    </rPh>
    <rPh sb="21" eb="23">
      <t>イコウ</t>
    </rPh>
    <rPh sb="24" eb="29">
      <t>セイノウヘンドウリツ</t>
    </rPh>
    <rPh sb="30" eb="32">
      <t>イッカツ</t>
    </rPh>
    <rPh sb="32" eb="34">
      <t>ヘンコウ</t>
    </rPh>
    <rPh sb="38" eb="40">
      <t>セイノウ</t>
    </rPh>
    <rPh sb="40" eb="43">
      <t>ヘンドウリツ</t>
    </rPh>
    <rPh sb="44" eb="46">
      <t>オンド</t>
    </rPh>
    <rPh sb="47" eb="49">
      <t>セイゾウ</t>
    </rPh>
    <rPh sb="54" eb="56">
      <t>ケイネン</t>
    </rPh>
    <rPh sb="56" eb="58">
      <t>ヘンカ</t>
    </rPh>
    <rPh sb="61" eb="63">
      <t>セイノウ</t>
    </rPh>
    <rPh sb="63" eb="66">
      <t>ヘンドウリツ</t>
    </rPh>
    <rPh sb="67" eb="69">
      <t>ゴウケイ</t>
    </rPh>
    <phoneticPr fontId="1"/>
  </si>
  <si>
    <t>　6. 高減衰ゴム系積層ゴム支承の復元力特性はT57セルで変更する</t>
    <rPh sb="4" eb="5">
      <t>タカ</t>
    </rPh>
    <rPh sb="5" eb="7">
      <t>ゲンスイ</t>
    </rPh>
    <rPh sb="9" eb="12">
      <t>ケイセキソウ</t>
    </rPh>
    <rPh sb="14" eb="16">
      <t>シショウ</t>
    </rPh>
    <rPh sb="17" eb="22">
      <t>フクゲンリョクトクセイ</t>
    </rPh>
    <rPh sb="29" eb="31">
      <t>ヘンコウ</t>
    </rPh>
    <phoneticPr fontId="1"/>
  </si>
  <si>
    <t>　2.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</si>
  <si>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　4. 地震波読込実行ボタンをクリックする</t>
    <rPh sb="4" eb="7">
      <t>ジシンハ</t>
    </rPh>
    <rPh sb="7" eb="9">
      <t>ヨミコミ</t>
    </rPh>
    <rPh sb="9" eb="11">
      <t>ジッコウ</t>
    </rPh>
    <phoneticPr fontId="1"/>
  </si>
  <si>
    <t>[共通実行]</t>
    <rPh sb="1" eb="3">
      <t>キョウツウ</t>
    </rPh>
    <rPh sb="3" eb="5">
      <t>ジッコウ</t>
    </rPh>
    <phoneticPr fontId="1"/>
  </si>
  <si>
    <t>解析リボンをクリックすると、本ツールの各種実行ボタンが表示されます。</t>
    <rPh sb="0" eb="2">
      <t>カイセキ</t>
    </rPh>
    <rPh sb="14" eb="15">
      <t>ホン</t>
    </rPh>
    <rPh sb="19" eb="21">
      <t>カクシュ</t>
    </rPh>
    <rPh sb="21" eb="23">
      <t>ジッコウ</t>
    </rPh>
    <rPh sb="27" eb="29">
      <t>ヒョウジ</t>
    </rPh>
    <phoneticPr fontId="1"/>
  </si>
  <si>
    <t>　3. 免震層がある場合はS3~S6セルに必要事項を入力する</t>
    <rPh sb="4" eb="6">
      <t>メンシン</t>
    </rPh>
    <rPh sb="6" eb="7">
      <t>ソウ</t>
    </rPh>
    <rPh sb="10" eb="12">
      <t>バアイ</t>
    </rPh>
    <rPh sb="21" eb="23">
      <t>ヒツヨウ</t>
    </rPh>
    <rPh sb="23" eb="25">
      <t>ジコウ</t>
    </rPh>
    <rPh sb="26" eb="28">
      <t>ニュウリョク</t>
    </rPh>
    <phoneticPr fontId="1"/>
  </si>
  <si>
    <t>　3. W5セルと異なる復元力特性は、R~U列で指定する</t>
    <rPh sb="9" eb="10">
      <t>コト</t>
    </rPh>
    <rPh sb="12" eb="17">
      <t>フクゲンリョクトクセイ</t>
    </rPh>
    <rPh sb="24" eb="26">
      <t>シテイ</t>
    </rPh>
    <phoneticPr fontId="1"/>
  </si>
  <si>
    <t>[免震部材]シート（免震層がある場合のみ）</t>
    <rPh sb="1" eb="3">
      <t>メンシン</t>
    </rPh>
    <rPh sb="3" eb="5">
      <t>ブザイ</t>
    </rPh>
    <rPh sb="10" eb="12">
      <t>メンシン</t>
    </rPh>
    <rPh sb="12" eb="13">
      <t>ソウ</t>
    </rPh>
    <rPh sb="16" eb="18">
      <t>バアイ</t>
    </rPh>
    <phoneticPr fontId="1"/>
  </si>
  <si>
    <t>　5. 地震波の色を変更する場合は、C列のセルの色を変更し、地震波読込実行ボタンをクリックする</t>
    <rPh sb="4" eb="7">
      <t>ジシンハ</t>
    </rPh>
    <rPh sb="8" eb="9">
      <t>イロ</t>
    </rPh>
    <rPh sb="10" eb="12">
      <t>ヘンコウ</t>
    </rPh>
    <rPh sb="14" eb="16">
      <t>バアイ</t>
    </rPh>
    <rPh sb="19" eb="20">
      <t>レツ</t>
    </rPh>
    <rPh sb="24" eb="25">
      <t>イロ</t>
    </rPh>
    <rPh sb="26" eb="28">
      <t>ヘンコウ</t>
    </rPh>
    <rPh sb="30" eb="33">
      <t>ジシンハ</t>
    </rPh>
    <rPh sb="33" eb="35">
      <t>ヨミコミ</t>
    </rPh>
    <rPh sb="35" eb="37">
      <t>ジッコウ</t>
    </rPh>
    <phoneticPr fontId="1"/>
  </si>
  <si>
    <t>　3. 免震層がある場合は、DA3セルを変更し、状態1～3の解析結果を確認する</t>
    <rPh sb="4" eb="6">
      <t>メンシン</t>
    </rPh>
    <rPh sb="6" eb="7">
      <t>ソウ</t>
    </rPh>
    <rPh sb="10" eb="12">
      <t>バアイ</t>
    </rPh>
    <rPh sb="20" eb="22">
      <t>ヘンコウ</t>
    </rPh>
    <rPh sb="24" eb="26">
      <t>ジョウタイ</t>
    </rPh>
    <rPh sb="30" eb="32">
      <t>カイセキ</t>
    </rPh>
    <rPh sb="32" eb="34">
      <t>ケッカ</t>
    </rPh>
    <rPh sb="35" eb="37">
      <t>カクニン</t>
    </rPh>
    <phoneticPr fontId="1"/>
  </si>
  <si>
    <t>　・SLB</t>
    <phoneticPr fontId="1"/>
  </si>
  <si>
    <t>　・NSUD</t>
    <phoneticPr fontId="1"/>
  </si>
  <si>
    <t>：bi-linearモデル</t>
    <phoneticPr fontId="1"/>
  </si>
  <si>
    <t>　・行列計算　　　　：Eigen (https://libeigen.gitlab.io、ライセンス：MPL 2.0)</t>
    <rPh sb="2" eb="4">
      <t>ギョウレツ</t>
    </rPh>
    <rPh sb="4" eb="6">
      <t>ケイサン</t>
    </rPh>
    <phoneticPr fontId="1"/>
  </si>
  <si>
    <t>下記のメッセージが表示される場合は、Excelファイルを右クリック → プロパティ → セキュリティ → 許可するにチェックを入れる → OKボタンをクリックしてください。</t>
    <rPh sb="0" eb="2">
      <t>カキ</t>
    </rPh>
    <rPh sb="9" eb="11">
      <t>ヒョウジ</t>
    </rPh>
    <rPh sb="28" eb="29">
      <t>ミギ</t>
    </rPh>
    <rPh sb="53" eb="55">
      <t>キョカ</t>
    </rPh>
    <rPh sb="63" eb="64">
      <t>イ</t>
    </rPh>
    <phoneticPr fontId="1"/>
  </si>
  <si>
    <t>If the message below appears, click the "Enable Content" button.</t>
  </si>
  <si>
    <t>If the message below appears, right-click the Excel file → Properties → Security → check "Unblock" → click OK.</t>
  </si>
  <si>
    <t>[General]</t>
  </si>
  <si>
    <t>Click the "Analysis" ribbon tab to show the run buttons for this tool.</t>
  </si>
  <si>
    <t>If the message below appears, download sqliteodbc_w64.exe from http://www.ch-werner.de/sqliteodbc/ and install it.</t>
  </si>
  <si>
    <t>[固有値 (Eigenvalue)] sheet</t>
  </si>
  <si>
    <t xml:space="preserve">  1. Enter the weight and structural story height in columns D and E.</t>
  </si>
  <si>
    <t xml:space="preserve">  3. If there is a seismic isolation layer, fill in the required items in cells S3–S6.</t>
  </si>
  <si>
    <t xml:space="preserve">  4. Select the proportional damping type in cell S18 and enter the damping ratio in cell S19 or S20.</t>
  </si>
  <si>
    <t xml:space="preserve">  5. Confirm that cells S23–S26 show "実行可" (ready), then click the Eigenvalue Analysis "Run" button.</t>
  </si>
  <si>
    <t xml:space="preserve">  ↓</t>
  </si>
  <si>
    <t>[解析条件 (Analysis Conditions)] sheet</t>
  </si>
  <si>
    <t>The libraries used in this tool are listed below. Many thanks to their authors for publishing the source code.</t>
  </si>
  <si>
    <t xml:space="preserve">  1. Change the options in column W as needed.</t>
  </si>
  <si>
    <t xml:space="preserve">  2. In columns B–Q, enter Q1 and α1 if the hysteresis model is Bi-Linear; for Takeda, also enter Q2 and α2.</t>
  </si>
  <si>
    <t xml:space="preserve">  3. Specify any hysteresis model that differs from cell W5 in columns R–U.</t>
  </si>
  <si>
    <t>The cloud environment runs within the Oracle Cloud Infrastructure Always Free tier shown below.</t>
  </si>
  <si>
    <t>(1,500 OCPU hours and 9,000 GB hours per month → 2 OCPU + 12 GB RAM running continuously)</t>
  </si>
  <si>
    <t xml:space="preserve">  1. For bearings, select items in order from column C → D → …, and confirm that the specifications appear in column J onward.</t>
  </si>
  <si>
    <t xml:space="preserve">  2. For oil dampers and steel dampers, select items in columns B, C and D, and confirm that the specifications appear in column E onward.</t>
  </si>
  <si>
    <t>The numerical methods used in this tool are as follows.</t>
  </si>
  <si>
    <t xml:space="preserve">  3. Enter the number of units in column A.</t>
  </si>
  <si>
    <t xml:space="preserve">  • Eigenvalue analysis</t>
  </si>
  <si>
    <t>: Jacobi eigenvalue algorithm</t>
  </si>
  <si>
    <t xml:space="preserve">  4. For elastic sliding bearings and spherical sliding bearings, enter the average axial force in column B.</t>
  </si>
  <si>
    <t xml:space="preserve">  • Time-history response analysis</t>
  </si>
  <si>
    <t>: Newmark-β method</t>
  </si>
  <si>
    <t xml:space="preserve">  6. Change the hysteresis model of high-damping rubber bearings in cell T57.</t>
  </si>
  <si>
    <t>The isolation device lineup is as follows.</t>
  </si>
  <si>
    <t>[地震波 (Seismic Waves)] sheet</t>
  </si>
  <si>
    <t xml:space="preserve">  1. Enter fixed-format seismic wave data in column A (header/description lines are OK).</t>
  </si>
  <si>
    <t xml:space="preserve">  2. Click the Load Seismic Waves "Run" button.</t>
  </si>
  <si>
    <t xml:space="preserve">  3. Fill in the required items in columns D–G. Change the wave names in column H as needed.</t>
  </si>
  <si>
    <t xml:space="preserve">  4. Click the Load Seismic Waves "Run" button.</t>
  </si>
  <si>
    <t xml:space="preserve">  5. To change a wave's color, change the fill color of its cell in column C, then click the Load Seismic Waves "Run" button.</t>
  </si>
  <si>
    <t>[X方向 / Y方向 / U方向 / V方向 (X/Y/U/V direction)] sheets</t>
  </si>
  <si>
    <t xml:space="preserve">  1. Select the seismic wave level in cell DA1.</t>
  </si>
  <si>
    <t>: KYM isolation oil dampers (OD)</t>
  </si>
  <si>
    <t xml:space="preserve">  2. Click the Time-History Response Analysis "Run" button.</t>
  </si>
  <si>
    <t xml:space="preserve">  3. If there is an isolation layer, change cell DA3 and check the results for 状態1–3 (States 1–3).</t>
  </si>
  <si>
    <t>The isolation devices are modeled as follows.</t>
  </si>
  <si>
    <t xml:space="preserve">  • NRB</t>
  </si>
  <si>
    <t xml:space="preserve">  • HRB</t>
  </si>
  <si>
    <t xml:space="preserve">  • LRB, SnRB</t>
  </si>
  <si>
    <t xml:space="preserve">  • SLB</t>
  </si>
  <si>
    <t xml:space="preserve">  • NSUD</t>
  </si>
  <si>
    <t xml:space="preserve">  • SSB</t>
  </si>
  <si>
    <t xml:space="preserve">  • OD</t>
  </si>
  <si>
    <t>This tool is version [261013]</t>
    <phoneticPr fontId="1"/>
  </si>
  <si>
    <t>Revision History</t>
    <phoneticPr fontId="1"/>
  </si>
  <si>
    <t>Initial release.</t>
    <phoneticPr fontId="1"/>
  </si>
  <si>
    <t>[免震部材 (Isolation Devices)] sheet (only if there is a seismic isolation layer)</t>
    <phoneticPr fontId="1"/>
  </si>
  <si>
    <t xml:space="preserve">  5. Changing cells T54 and T55 updates all performance variation rates in column T onward at once.</t>
    <phoneticPr fontId="1"/>
  </si>
  <si>
    <t>　　Performance variation rate = sum of the variations due to temperature + manufacturing tolerance + aging.</t>
    <phoneticPr fontId="1"/>
  </si>
  <si>
    <t xml:space="preserve">  2. For the equivalent shear model, enter the shear stiffness in columns F–I.</t>
    <phoneticPr fontId="1"/>
  </si>
  <si>
    <t>　　For the equivalent bending-shear model, enter G·A and E·I in columns J–Q.</t>
    <phoneticPr fontId="1"/>
  </si>
  <si>
    <t xml:space="preserve">  • Cloud communication</t>
    <phoneticPr fontId="1"/>
  </si>
  <si>
    <t>: cpp-httplib (https://github.com/yhirose/cpp-httplib, License: MIT license)</t>
    <phoneticPr fontId="1"/>
  </si>
  <si>
    <t xml:space="preserve">  • Matrix computation</t>
    <phoneticPr fontId="1"/>
  </si>
  <si>
    <t>: Eigen (https://libeigen.gitlab.io, License: MPL 2.0)</t>
  </si>
  <si>
    <t xml:space="preserve">  • Bridgestone Diversified Products Japan Co.,Ltd.</t>
    <phoneticPr fontId="1"/>
  </si>
  <si>
    <t xml:space="preserve">  • Oiles Corporation</t>
    <phoneticPr fontId="1"/>
  </si>
  <si>
    <t xml:space="preserve">  • Nippon Steel Engineering Co., Ltd.</t>
    <phoneticPr fontId="1"/>
  </si>
  <si>
    <t xml:space="preserve">  • Aseismic Devices Co., Ltd.</t>
    <phoneticPr fontId="1"/>
  </si>
  <si>
    <t>: natural rubber bearings (NRB), high-damping rubber bearings (HRB), lead-plug rubber bearings (LRB), elastic sliding bearings (SLB)</t>
    <phoneticPr fontId="1"/>
  </si>
  <si>
    <t>: spherical sliding bearings (SSB), NSU isolation dampers (NSUD)</t>
    <phoneticPr fontId="1"/>
  </si>
  <si>
    <t>: tin-plug rubber bearings (SnRB)</t>
    <phoneticPr fontId="1"/>
  </si>
  <si>
    <t>: natural rubber bearings (NRB), lead-plug rubber bearings (LRB), elastic sliding bearings (SLB)</t>
    <phoneticPr fontId="1"/>
  </si>
  <si>
    <t xml:space="preserve">  • Kawakin Core-Tech Co., Ltd.</t>
    <phoneticPr fontId="1"/>
  </si>
  <si>
    <t>: linear model</t>
    <phoneticPr fontId="1"/>
  </si>
  <si>
    <t>: modified bi-linear model or Kikuchi-Aiken model</t>
    <phoneticPr fontId="1"/>
  </si>
  <si>
    <t>: modified bi-linear model</t>
    <phoneticPr fontId="1"/>
  </si>
  <si>
    <t>: bi-linear model (perfectly elastic-plastic)</t>
    <phoneticPr fontId="1"/>
  </si>
  <si>
    <t>: bi-linear model</t>
    <phoneticPr fontId="1"/>
  </si>
  <si>
    <t>: bi-linear model (with velocity-dependent friction coefficient)</t>
    <phoneticPr fontId="1"/>
  </si>
  <si>
    <t>: Maxwell model</t>
    <phoneticPr fontId="1"/>
  </si>
  <si>
    <t>Version [261013]</t>
    <phoneticPr fontId="1"/>
  </si>
  <si>
    <t>User Manual</t>
    <phoneticPr fontId="1"/>
  </si>
  <si>
    <t>↓</t>
    <phoneticPr fontId="1"/>
  </si>
  <si>
    <t>JPN</t>
    <phoneticPr fontId="1"/>
  </si>
  <si>
    <t>Takeda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</si>
</sst>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10"/>
      <color rgb="FF0066CC"/>
      <name val="ＭＳ Ｐゴシック"/>
      <family val="3"/>
      <charset val="128"/>
    </font>
    <font>
      <sz val="10"/>
      <color theme="1"/>
      <name val="ＭＳ Ｐゴシック"/>
      <family val="2"/>
      <charset val="128"/>
    </font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00FF"/>
      <name val="ＭＳ ゴシック"/>
      <family val="3"/>
      <charset val="128"/>
    </font>
    <font>
      <sz val="10"/>
      <color theme="0" tint="-0.249977111117893"/>
      <name val="ＭＳ ゴシック"/>
      <family val="3"/>
      <charset val="128"/>
    </font>
    <font>
      <sz val="10"/>
      <color rgb="FF0066CC"/>
      <name val="ＭＳ Ｐゴシック"/>
      <family val="3"/>
      <charset val="128"/>
    </font>
    <font>
      <sz val="10"/>
      <color theme="0"/>
      <name val="ＭＳ ゴシック"/>
      <family val="3"/>
      <charset val="128"/>
    </font>
    <font>
      <b/>
      <sz val="10"/>
      <color rgb="FF008000"/>
      <name val="ＭＳ Ｐゴシック"/>
      <family val="3"/>
      <charset val="128"/>
    </font>
    <font>
      <sz val="10"/>
      <color theme="1"/>
      <name val="游ゴシック"/>
      <family val="2"/>
      <charset val="128"/>
      <scheme val="minor"/>
    </font>
    <font>
      <vertAlign val="superscript"/>
      <sz val="10"/>
      <name val="ＭＳ ゴシック"/>
      <family val="3"/>
      <charset val="128"/>
    </font>
    <font>
      <sz val="10"/>
      <color indexed="81"/>
      <name val="MS P ゴシック"/>
      <family val="3"/>
      <charset val="128"/>
    </font>
    <font>
      <sz val="10"/>
      <color indexed="81"/>
      <name val="ＭＳ ゴシック"/>
      <family val="3"/>
      <charset val="128"/>
    </font>
    <font>
      <sz val="10"/>
      <name val="ＭＳ ゴシック"/>
      <family val="2"/>
      <charset val="128"/>
    </font>
    <font>
      <sz val="10"/>
      <color theme="1"/>
      <name val="メイリオ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rgb="FFD86DCD"/>
        <bgColor indexed="64"/>
      </patternFill>
    </fill>
    <fill>
      <patternFill patternType="solid">
        <fgColor rgb="FF61CBF3"/>
        <bgColor indexed="64"/>
      </patternFill>
    </fill>
    <fill>
      <patternFill patternType="solid">
        <fgColor rgb="FF47D359"/>
        <bgColor indexed="64"/>
      </patternFill>
    </fill>
    <fill>
      <patternFill patternType="solid">
        <fgColor rgb="FFF1A983"/>
        <bgColor indexed="64"/>
      </patternFill>
    </fill>
    <fill>
      <patternFill patternType="solid">
        <fgColor rgb="FF44B3E1"/>
        <bgColor indexed="64"/>
      </patternFill>
    </fill>
    <fill>
      <patternFill patternType="solid">
        <fgColor rgb="FF4D93D9"/>
        <bgColor indexed="64"/>
      </patternFill>
    </fill>
    <fill>
      <patternFill patternType="solid">
        <fgColor rgb="FF747474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BFBFBF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13" fillId="0" borderId="0">
      <alignment vertical="center"/>
    </xf>
  </cellStyleXfs>
  <cellXfs count="165">
    <xf numFmtId="0" fontId="0" fillId="0" borderId="0" xfId="0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1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7" fillId="0" borderId="3" xfId="1" applyFont="1" applyBorder="1" applyAlignment="1" applyProtection="1">
      <alignment horizontal="center" vertical="center"/>
      <protection locked="0"/>
    </xf>
    <xf numFmtId="0" fontId="4" fillId="0" borderId="0" xfId="1" applyFont="1" applyAlignment="1">
      <alignment horizontal="right" vertical="center"/>
    </xf>
    <xf numFmtId="0" fontId="8" fillId="2" borderId="5" xfId="1" applyFont="1" applyFill="1" applyBorder="1" applyProtection="1">
      <alignment vertical="center"/>
      <protection locked="0"/>
    </xf>
    <xf numFmtId="0" fontId="8" fillId="2" borderId="7" xfId="1" applyFont="1" applyFill="1" applyBorder="1" applyProtection="1">
      <alignment vertical="center"/>
      <protection locked="0"/>
    </xf>
    <xf numFmtId="0" fontId="8" fillId="2" borderId="8" xfId="1" applyFont="1" applyFill="1" applyBorder="1" applyProtection="1">
      <alignment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7" fillId="0" borderId="0" xfId="1" applyFont="1" applyProtection="1">
      <alignment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7" fillId="0" borderId="0" xfId="1" applyFont="1">
      <alignment vertical="center"/>
    </xf>
    <xf numFmtId="0" fontId="4" fillId="0" borderId="0" xfId="1" applyFont="1">
      <alignment vertical="center"/>
    </xf>
    <xf numFmtId="0" fontId="7" fillId="0" borderId="0" xfId="1" applyFont="1" applyAlignment="1" applyProtection="1">
      <alignment horizontal="right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left" vertical="center"/>
      <protection locked="0"/>
    </xf>
    <xf numFmtId="0" fontId="4" fillId="0" borderId="3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4" fillId="0" borderId="5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4" fillId="0" borderId="7" xfId="1" applyFont="1" applyBorder="1" applyAlignment="1" applyProtection="1">
      <alignment horizontal="center" vertical="center"/>
      <protection locked="0"/>
    </xf>
    <xf numFmtId="0" fontId="4" fillId="0" borderId="13" xfId="1" applyFont="1" applyBorder="1" applyAlignment="1" applyProtection="1">
      <alignment horizontal="center" vertical="center"/>
      <protection locked="0"/>
    </xf>
    <xf numFmtId="0" fontId="7" fillId="0" borderId="15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3" xfId="1" applyFont="1" applyBorder="1" applyAlignment="1">
      <alignment horizontal="center" vertical="center"/>
    </xf>
    <xf numFmtId="0" fontId="7" fillId="0" borderId="18" xfId="1" applyFont="1" applyBorder="1" applyAlignment="1">
      <alignment horizontal="center" vertical="center"/>
    </xf>
    <xf numFmtId="0" fontId="7" fillId="0" borderId="2" xfId="1" applyFont="1" applyBorder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8" fillId="2" borderId="19" xfId="1" applyFont="1" applyFill="1" applyBorder="1">
      <alignment vertical="center"/>
    </xf>
    <xf numFmtId="0" fontId="8" fillId="2" borderId="20" xfId="1" applyFont="1" applyFill="1" applyBorder="1">
      <alignment vertical="center"/>
    </xf>
    <xf numFmtId="0" fontId="8" fillId="2" borderId="21" xfId="1" applyFont="1" applyFill="1" applyBorder="1">
      <alignment vertical="center"/>
    </xf>
    <xf numFmtId="0" fontId="8" fillId="2" borderId="22" xfId="1" applyFont="1" applyFill="1" applyBorder="1" applyAlignment="1">
      <alignment horizontal="center" vertical="center"/>
    </xf>
    <xf numFmtId="0" fontId="8" fillId="2" borderId="23" xfId="1" applyFont="1" applyFill="1" applyBorder="1" applyAlignment="1">
      <alignment horizontal="center" vertical="center"/>
    </xf>
    <xf numFmtId="0" fontId="8" fillId="2" borderId="2" xfId="1" applyFont="1" applyFill="1" applyBorder="1" applyAlignment="1">
      <alignment horizontal="center" vertical="center"/>
    </xf>
    <xf numFmtId="0" fontId="4" fillId="0" borderId="25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27" xfId="1" applyFont="1" applyBorder="1">
      <alignment vertical="center"/>
    </xf>
    <xf numFmtId="0" fontId="4" fillId="0" borderId="28" xfId="1" applyFont="1" applyBorder="1">
      <alignment vertical="center"/>
    </xf>
    <xf numFmtId="0" fontId="4" fillId="0" borderId="29" xfId="1" applyFont="1" applyBorder="1">
      <alignment vertical="center"/>
    </xf>
    <xf numFmtId="0" fontId="4" fillId="0" borderId="15" xfId="1" applyFont="1" applyBorder="1">
      <alignment vertical="center"/>
    </xf>
    <xf numFmtId="0" fontId="4" fillId="0" borderId="14" xfId="1" applyFont="1" applyBorder="1">
      <alignment vertical="center"/>
    </xf>
    <xf numFmtId="0" fontId="8" fillId="2" borderId="30" xfId="1" applyFont="1" applyFill="1" applyBorder="1">
      <alignment vertical="center"/>
    </xf>
    <xf numFmtId="0" fontId="8" fillId="2" borderId="28" xfId="1" applyFont="1" applyFill="1" applyBorder="1">
      <alignment vertical="center"/>
    </xf>
    <xf numFmtId="0" fontId="8" fillId="2" borderId="29" xfId="1" applyFont="1" applyFill="1" applyBorder="1">
      <alignment vertical="center"/>
    </xf>
    <xf numFmtId="0" fontId="8" fillId="2" borderId="27" xfId="1" applyFont="1" applyFill="1" applyBorder="1" applyAlignment="1">
      <alignment horizontal="center" vertical="center"/>
    </xf>
    <xf numFmtId="0" fontId="8" fillId="2" borderId="31" xfId="1" applyFont="1" applyFill="1" applyBorder="1" applyAlignment="1">
      <alignment horizontal="center" vertical="center"/>
    </xf>
    <xf numFmtId="0" fontId="7" fillId="0" borderId="28" xfId="1" applyFont="1" applyBorder="1">
      <alignment vertical="center"/>
    </xf>
    <xf numFmtId="0" fontId="4" fillId="0" borderId="32" xfId="1" applyFont="1" applyBorder="1" applyAlignment="1">
      <alignment horizontal="center" vertical="center"/>
    </xf>
    <xf numFmtId="0" fontId="4" fillId="0" borderId="33" xfId="1" applyFont="1" applyBorder="1" applyAlignment="1">
      <alignment horizontal="center" vertical="center"/>
    </xf>
    <xf numFmtId="0" fontId="4" fillId="0" borderId="34" xfId="1" applyFont="1" applyBorder="1">
      <alignment vertical="center"/>
    </xf>
    <xf numFmtId="0" fontId="4" fillId="0" borderId="30" xfId="1" applyFont="1" applyBorder="1">
      <alignment vertical="center"/>
    </xf>
    <xf numFmtId="0" fontId="8" fillId="2" borderId="34" xfId="1" applyFont="1" applyFill="1" applyBorder="1">
      <alignment vertical="center"/>
    </xf>
    <xf numFmtId="0" fontId="8" fillId="2" borderId="24" xfId="1" applyFont="1" applyFill="1" applyBorder="1">
      <alignment vertical="center"/>
    </xf>
    <xf numFmtId="0" fontId="8" fillId="2" borderId="25" xfId="1" applyFont="1" applyFill="1" applyBorder="1">
      <alignment vertical="center"/>
    </xf>
    <xf numFmtId="0" fontId="4" fillId="0" borderId="6" xfId="1" applyFont="1" applyBorder="1">
      <alignment vertical="center"/>
    </xf>
    <xf numFmtId="0" fontId="8" fillId="2" borderId="35" xfId="1" applyFont="1" applyFill="1" applyBorder="1">
      <alignment vertical="center"/>
    </xf>
    <xf numFmtId="0" fontId="8" fillId="2" borderId="36" xfId="1" applyFont="1" applyFill="1" applyBorder="1">
      <alignment vertical="center"/>
    </xf>
    <xf numFmtId="0" fontId="8" fillId="2" borderId="37" xfId="1" applyFont="1" applyFill="1" applyBorder="1">
      <alignment vertical="center"/>
    </xf>
    <xf numFmtId="0" fontId="8" fillId="2" borderId="38" xfId="1" applyFont="1" applyFill="1" applyBorder="1" applyAlignment="1">
      <alignment horizontal="center" vertical="center"/>
    </xf>
    <xf numFmtId="0" fontId="8" fillId="2" borderId="0" xfId="1" applyFont="1" applyFill="1" applyAlignment="1">
      <alignment horizontal="center" vertical="center"/>
    </xf>
    <xf numFmtId="0" fontId="8" fillId="2" borderId="39" xfId="1" applyFont="1" applyFill="1" applyBorder="1">
      <alignment vertical="center"/>
    </xf>
    <xf numFmtId="0" fontId="8" fillId="2" borderId="40" xfId="1" applyFont="1" applyFill="1" applyBorder="1">
      <alignment vertical="center"/>
    </xf>
    <xf numFmtId="0" fontId="8" fillId="2" borderId="41" xfId="1" applyFont="1" applyFill="1" applyBorder="1">
      <alignment vertical="center"/>
    </xf>
    <xf numFmtId="0" fontId="4" fillId="0" borderId="39" xfId="1" applyFont="1" applyBorder="1">
      <alignment vertical="center"/>
    </xf>
    <xf numFmtId="0" fontId="4" fillId="0" borderId="41" xfId="1" applyFont="1" applyBorder="1">
      <alignment vertical="center"/>
    </xf>
    <xf numFmtId="0" fontId="8" fillId="2" borderId="19" xfId="1" applyFont="1" applyFill="1" applyBorder="1" applyAlignment="1">
      <alignment horizontal="center" vertical="center"/>
    </xf>
    <xf numFmtId="0" fontId="8" fillId="2" borderId="20" xfId="1" applyFont="1" applyFill="1" applyBorder="1" applyAlignment="1">
      <alignment horizontal="center" vertical="center"/>
    </xf>
    <xf numFmtId="0" fontId="8" fillId="2" borderId="21" xfId="1" applyFont="1" applyFill="1" applyBorder="1" applyAlignment="1">
      <alignment horizontal="center" vertical="center"/>
    </xf>
    <xf numFmtId="0" fontId="4" fillId="0" borderId="22" xfId="1" applyFont="1" applyBorder="1">
      <alignment vertical="center"/>
    </xf>
    <xf numFmtId="0" fontId="4" fillId="0" borderId="20" xfId="1" applyFont="1" applyBorder="1">
      <alignment vertical="center"/>
    </xf>
    <xf numFmtId="0" fontId="4" fillId="0" borderId="21" xfId="1" applyFont="1" applyBorder="1">
      <alignment vertical="center"/>
    </xf>
    <xf numFmtId="0" fontId="8" fillId="2" borderId="30" xfId="1" applyFont="1" applyFill="1" applyBorder="1" applyAlignment="1">
      <alignment horizontal="center" vertical="center"/>
    </xf>
    <xf numFmtId="0" fontId="8" fillId="2" borderId="28" xfId="1" applyFont="1" applyFill="1" applyBorder="1" applyAlignment="1">
      <alignment horizontal="center" vertical="center"/>
    </xf>
    <xf numFmtId="0" fontId="8" fillId="2" borderId="29" xfId="1" applyFont="1" applyFill="1" applyBorder="1" applyAlignment="1">
      <alignment horizontal="center" vertical="center"/>
    </xf>
    <xf numFmtId="0" fontId="8" fillId="2" borderId="4" xfId="1" applyFont="1" applyFill="1" applyBorder="1">
      <alignment vertical="center"/>
    </xf>
    <xf numFmtId="0" fontId="8" fillId="2" borderId="4" xfId="1" applyFont="1" applyFill="1" applyBorder="1" applyAlignment="1">
      <alignment horizontal="center" vertical="center"/>
    </xf>
    <xf numFmtId="0" fontId="8" fillId="2" borderId="26" xfId="1" applyFont="1" applyFill="1" applyBorder="1">
      <alignment vertical="center"/>
    </xf>
    <xf numFmtId="0" fontId="8" fillId="2" borderId="7" xfId="1" applyFont="1" applyFill="1" applyBorder="1">
      <alignment vertical="center"/>
    </xf>
    <xf numFmtId="0" fontId="8" fillId="2" borderId="15" xfId="1" applyFont="1" applyFill="1" applyBorder="1">
      <alignment vertical="center"/>
    </xf>
    <xf numFmtId="0" fontId="8" fillId="2" borderId="15" xfId="1" applyFont="1" applyFill="1" applyBorder="1" applyAlignment="1">
      <alignment horizontal="center" vertical="center"/>
    </xf>
    <xf numFmtId="0" fontId="8" fillId="2" borderId="13" xfId="1" applyFont="1" applyFill="1" applyBorder="1">
      <alignment vertical="center"/>
    </xf>
    <xf numFmtId="0" fontId="8" fillId="2" borderId="9" xfId="1" applyFont="1" applyFill="1" applyBorder="1">
      <alignment vertical="center"/>
    </xf>
    <xf numFmtId="0" fontId="4" fillId="2" borderId="30" xfId="1" applyFont="1" applyFill="1" applyBorder="1">
      <alignment vertical="center"/>
    </xf>
    <xf numFmtId="0" fontId="4" fillId="2" borderId="28" xfId="1" applyFont="1" applyFill="1" applyBorder="1">
      <alignment vertical="center"/>
    </xf>
    <xf numFmtId="0" fontId="4" fillId="2" borderId="29" xfId="1" applyFont="1" applyFill="1" applyBorder="1">
      <alignment vertical="center"/>
    </xf>
    <xf numFmtId="0" fontId="4" fillId="2" borderId="40" xfId="1" applyFont="1" applyFill="1" applyBorder="1">
      <alignment vertical="center"/>
    </xf>
    <xf numFmtId="0" fontId="4" fillId="2" borderId="41" xfId="1" applyFont="1" applyFill="1" applyBorder="1">
      <alignment vertical="center"/>
    </xf>
    <xf numFmtId="0" fontId="4" fillId="0" borderId="40" xfId="1" applyFont="1" applyBorder="1">
      <alignment vertical="center"/>
    </xf>
    <xf numFmtId="0" fontId="4" fillId="0" borderId="11" xfId="1" applyFont="1" applyBorder="1">
      <alignment vertical="center"/>
    </xf>
    <xf numFmtId="0" fontId="7" fillId="0" borderId="0" xfId="2" applyFont="1">
      <alignment vertical="center"/>
    </xf>
    <xf numFmtId="0" fontId="4" fillId="0" borderId="0" xfId="2" applyFont="1">
      <alignment vertical="center"/>
    </xf>
    <xf numFmtId="0" fontId="9" fillId="0" borderId="0" xfId="2" applyFont="1">
      <alignment vertical="center"/>
    </xf>
    <xf numFmtId="0" fontId="9" fillId="0" borderId="0" xfId="1" applyFont="1">
      <alignment vertical="center"/>
    </xf>
    <xf numFmtId="0" fontId="4" fillId="0" borderId="0" xfId="1" applyFont="1" applyAlignment="1">
      <alignment horizontal="center" vertical="center"/>
    </xf>
    <xf numFmtId="0" fontId="8" fillId="4" borderId="2" xfId="1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7" fillId="0" borderId="14" xfId="1" applyFont="1" applyBorder="1">
      <alignment vertical="center"/>
    </xf>
    <xf numFmtId="0" fontId="4" fillId="0" borderId="0" xfId="0" applyFont="1" applyAlignment="1">
      <alignment horizontal="center" vertical="center"/>
    </xf>
    <xf numFmtId="0" fontId="4" fillId="0" borderId="14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0" fontId="4" fillId="0" borderId="8" xfId="1" applyFont="1" applyBorder="1" applyAlignment="1">
      <alignment horizontal="center" vertical="center"/>
    </xf>
    <xf numFmtId="0" fontId="8" fillId="2" borderId="5" xfId="1" applyFont="1" applyFill="1" applyBorder="1" applyAlignment="1">
      <alignment horizontal="center" vertical="center"/>
    </xf>
    <xf numFmtId="0" fontId="8" fillId="2" borderId="8" xfId="1" applyFont="1" applyFill="1" applyBorder="1" applyAlignment="1">
      <alignment horizontal="center" vertical="center"/>
    </xf>
    <xf numFmtId="0" fontId="4" fillId="0" borderId="0" xfId="0" applyFont="1" applyProtection="1">
      <alignment vertical="center"/>
      <protection locked="0"/>
    </xf>
    <xf numFmtId="0" fontId="4" fillId="0" borderId="14" xfId="0" applyFont="1" applyBorder="1" applyProtection="1">
      <alignment vertical="center"/>
      <protection locked="0"/>
    </xf>
    <xf numFmtId="0" fontId="8" fillId="2" borderId="4" xfId="1" applyFont="1" applyFill="1" applyBorder="1" applyProtection="1">
      <alignment vertical="center"/>
      <protection locked="0"/>
    </xf>
    <xf numFmtId="0" fontId="7" fillId="0" borderId="0" xfId="1" applyFont="1" applyAlignment="1">
      <alignment horizontal="center" vertical="center"/>
    </xf>
    <xf numFmtId="0" fontId="7" fillId="6" borderId="5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7" borderId="7" xfId="1" applyFont="1" applyFill="1" applyBorder="1" applyAlignment="1">
      <alignment horizontal="center" vertical="center"/>
    </xf>
    <xf numFmtId="0" fontId="7" fillId="8" borderId="7" xfId="1" applyFont="1" applyFill="1" applyBorder="1" applyAlignment="1">
      <alignment horizontal="center" vertical="center"/>
    </xf>
    <xf numFmtId="0" fontId="7" fillId="9" borderId="7" xfId="1" applyFont="1" applyFill="1" applyBorder="1" applyAlignment="1">
      <alignment horizontal="center" vertical="center"/>
    </xf>
    <xf numFmtId="0" fontId="7" fillId="10" borderId="7" xfId="1" applyFont="1" applyFill="1" applyBorder="1" applyAlignment="1">
      <alignment horizontal="center" vertical="center"/>
    </xf>
    <xf numFmtId="0" fontId="7" fillId="11" borderId="7" xfId="1" applyFont="1" applyFill="1" applyBorder="1" applyAlignment="1">
      <alignment horizontal="center" vertical="center"/>
    </xf>
    <xf numFmtId="0" fontId="7" fillId="12" borderId="7" xfId="1" applyFont="1" applyFill="1" applyBorder="1" applyAlignment="1">
      <alignment horizontal="center" vertical="center"/>
    </xf>
    <xf numFmtId="0" fontId="7" fillId="13" borderId="7" xfId="1" applyFont="1" applyFill="1" applyBorder="1" applyAlignment="1">
      <alignment horizontal="center" vertical="center"/>
    </xf>
    <xf numFmtId="0" fontId="7" fillId="14" borderId="7" xfId="1" applyFont="1" applyFill="1" applyBorder="1" applyAlignment="1">
      <alignment horizontal="center" vertical="center"/>
    </xf>
    <xf numFmtId="0" fontId="7" fillId="15" borderId="7" xfId="1" applyFont="1" applyFill="1" applyBorder="1" applyAlignment="1">
      <alignment horizontal="center" vertical="center"/>
    </xf>
    <xf numFmtId="0" fontId="7" fillId="16" borderId="7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7" fillId="18" borderId="7" xfId="1" applyFont="1" applyFill="1" applyBorder="1" applyAlignment="1">
      <alignment horizontal="center" vertical="center"/>
    </xf>
    <xf numFmtId="0" fontId="7" fillId="19" borderId="7" xfId="1" applyFont="1" applyFill="1" applyBorder="1" applyAlignment="1">
      <alignment horizontal="center" vertical="center"/>
    </xf>
    <xf numFmtId="0" fontId="7" fillId="20" borderId="7" xfId="1" applyFont="1" applyFill="1" applyBorder="1" applyAlignment="1">
      <alignment horizontal="center" vertical="center"/>
    </xf>
    <xf numFmtId="0" fontId="7" fillId="21" borderId="7" xfId="1" applyFont="1" applyFill="1" applyBorder="1" applyAlignment="1">
      <alignment horizontal="center" vertical="center"/>
    </xf>
    <xf numFmtId="0" fontId="7" fillId="22" borderId="7" xfId="1" applyFont="1" applyFill="1" applyBorder="1" applyAlignment="1">
      <alignment horizontal="center" vertical="center"/>
    </xf>
    <xf numFmtId="0" fontId="7" fillId="23" borderId="7" xfId="1" applyFont="1" applyFill="1" applyBorder="1" applyAlignment="1">
      <alignment horizontal="center" vertical="center"/>
    </xf>
    <xf numFmtId="0" fontId="7" fillId="24" borderId="13" xfId="1" applyFont="1" applyFill="1" applyBorder="1" applyAlignment="1">
      <alignment horizontal="center" vertical="center"/>
    </xf>
    <xf numFmtId="0" fontId="11" fillId="0" borderId="0" xfId="1" applyFont="1">
      <alignment vertical="center"/>
    </xf>
    <xf numFmtId="0" fontId="17" fillId="0" borderId="0" xfId="0" applyFont="1">
      <alignment vertical="center"/>
    </xf>
    <xf numFmtId="0" fontId="7" fillId="0" borderId="0" xfId="0" applyFont="1">
      <alignment vertical="center"/>
    </xf>
    <xf numFmtId="0" fontId="18" fillId="0" borderId="0" xfId="0" applyFont="1">
      <alignment vertical="center"/>
    </xf>
    <xf numFmtId="0" fontId="18" fillId="0" borderId="0" xfId="0" applyFont="1" applyProtection="1">
      <alignment vertical="center"/>
      <protection locked="0"/>
    </xf>
    <xf numFmtId="0" fontId="8" fillId="3" borderId="5" xfId="1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3" borderId="8" xfId="1" applyFont="1" applyFill="1" applyBorder="1" applyProtection="1">
      <alignment vertical="center"/>
      <protection locked="0"/>
    </xf>
    <xf numFmtId="0" fontId="11" fillId="0" borderId="0" xfId="1" applyFont="1" applyAlignment="1">
      <alignment horizontal="center" vertical="center"/>
    </xf>
    <xf numFmtId="0" fontId="4" fillId="0" borderId="0" xfId="1" applyFont="1" applyAlignment="1" applyProtection="1">
      <alignment horizontal="center" vertical="center"/>
      <protection locked="0"/>
    </xf>
    <xf numFmtId="0" fontId="4" fillId="0" borderId="6" xfId="1" applyFont="1" applyBorder="1" applyProtection="1">
      <alignment vertical="center"/>
      <protection locked="0"/>
    </xf>
    <xf numFmtId="0" fontId="4" fillId="0" borderId="0" xfId="1" applyFont="1" applyProtection="1">
      <alignment vertical="center"/>
      <protection locked="0"/>
    </xf>
    <xf numFmtId="0" fontId="4" fillId="0" borderId="10" xfId="1" applyFont="1" applyBorder="1" applyAlignment="1" applyProtection="1">
      <alignment horizontal="center" vertical="center"/>
      <protection locked="0"/>
    </xf>
    <xf numFmtId="0" fontId="4" fillId="0" borderId="11" xfId="1" applyFont="1" applyBorder="1" applyAlignment="1" applyProtection="1">
      <alignment horizontal="center" vertical="center"/>
      <protection locked="0"/>
    </xf>
    <xf numFmtId="0" fontId="4" fillId="0" borderId="12" xfId="1" applyFont="1" applyBorder="1" applyAlignment="1" applyProtection="1">
      <alignment horizontal="center" vertical="center"/>
      <protection locked="0"/>
    </xf>
    <xf numFmtId="0" fontId="7" fillId="0" borderId="10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4" fillId="0" borderId="2" xfId="1" applyFont="1" applyBorder="1" applyAlignment="1" applyProtection="1">
      <alignment horizontal="center" vertical="center"/>
      <protection locked="0"/>
    </xf>
    <xf numFmtId="0" fontId="4" fillId="0" borderId="10" xfId="1" applyFont="1" applyBorder="1" applyAlignment="1">
      <alignment horizontal="center" vertical="center"/>
    </xf>
    <xf numFmtId="0" fontId="4" fillId="0" borderId="11" xfId="1" applyFont="1" applyBorder="1" applyAlignment="1">
      <alignment horizontal="center" vertical="center"/>
    </xf>
    <xf numFmtId="0" fontId="4" fillId="0" borderId="12" xfId="1" applyFont="1" applyBorder="1" applyAlignment="1">
      <alignment horizontal="center" vertical="center"/>
    </xf>
    <xf numFmtId="0" fontId="8" fillId="2" borderId="10" xfId="1" applyFont="1" applyFill="1" applyBorder="1" applyAlignment="1">
      <alignment horizontal="center" vertical="center"/>
    </xf>
    <xf numFmtId="0" fontId="8" fillId="2" borderId="12" xfId="1" applyFont="1" applyFill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0" fontId="7" fillId="0" borderId="0" xfId="1" applyFont="1" applyAlignment="1">
      <alignment horizontal="center"/>
    </xf>
    <xf numFmtId="0" fontId="8" fillId="2" borderId="1" xfId="1" applyFont="1" applyFill="1" applyBorder="1" applyAlignment="1">
      <alignment horizontal="center" vertical="center"/>
    </xf>
    <xf numFmtId="0" fontId="8" fillId="2" borderId="3" xfId="1" applyFont="1" applyFill="1" applyBorder="1" applyAlignment="1">
      <alignment horizontal="center" vertical="center"/>
    </xf>
  </cellXfs>
  <cellStyles count="3">
    <cellStyle name="標準" xfId="0" builtinId="0"/>
    <cellStyle name="標準 2" xfId="1" xr:uid="{CBBCB6E3-C8AF-428B-87AB-E9178019ED0D}"/>
    <cellStyle name="標準 2 2" xfId="2" xr:uid="{B521A654-6793-4217-BA25-BF775D30943D}"/>
  </cellStyles>
  <dxfs count="23">
    <dxf>
      <font>
        <color theme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0000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00FF"/>
        </patternFill>
      </fill>
    </dxf>
  </dxfs>
  <tableStyles count="0" defaultTableStyle="TableStyleMedium2" defaultPivotStyle="PivotStyleLight16"/>
  <colors>
    <mruColors>
      <color rgb="FF00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76D3-4BA4-AD36-7A72A6368442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76D3-4BA4-AD36-7A72A6368442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D3-4BA4-AD36-7A72A6368442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D3-4BA4-AD36-7A72A6368442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D3-4BA4-AD36-7A72A6368442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D3-4BA4-AD36-7A72A6368442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D3-4BA4-AD36-7A72A6368442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D3-4BA4-AD36-7A72A6368442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D3-4BA4-AD36-7A72A6368442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D3-4BA4-AD36-7A72A6368442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D3-4BA4-AD36-7A72A6368442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D3-4BA4-AD36-7A72A6368442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D3-4BA4-AD36-7A72A6368442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D3-4BA4-AD36-7A72A6368442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D3-4BA4-AD36-7A72A6368442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D3-4BA4-AD36-7A72A6368442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D3-4BA4-AD36-7A72A6368442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D3-4BA4-AD36-7A72A6368442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D3-4BA4-AD36-7A72A6368442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D3-4BA4-AD36-7A72A6368442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76D3-4BA4-AD36-7A72A6368442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76D3-4BA4-AD36-7A72A6368442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76D3-4BA4-AD36-7A72A6368442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76D3-4BA4-AD36-7A72A6368442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76D3-4BA4-AD36-7A72A6368442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76D3-4BA4-AD36-7A72A6368442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76D3-4BA4-AD36-7A72A6368442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76D3-4BA4-AD36-7A72A6368442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76D3-4BA4-AD36-7A72A6368442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76D3-4BA4-AD36-7A72A6368442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76D3-4BA4-AD36-7A72A6368442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76D3-4BA4-AD36-7A72A6368442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76D3-4BA4-AD36-7A72A6368442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76D3-4BA4-AD36-7A72A6368442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76D3-4BA4-AD36-7A72A6368442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76D3-4BA4-AD36-7A72A6368442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76D3-4BA4-AD36-7A72A6368442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76D3-4BA4-AD36-7A72A6368442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76D3-4BA4-AD36-7A72A6368442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76D3-4BA4-AD36-7A72A6368442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76D3-4BA4-AD36-7A72A6368442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76D3-4BA4-AD36-7A72A6368442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76D3-4BA4-AD36-7A72A6368442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76D3-4BA4-AD36-7A72A6368442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76D3-4BA4-AD36-7A72A6368442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76D3-4BA4-AD36-7A72A6368442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76D3-4BA4-AD36-7A72A6368442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76D3-4BA4-AD36-7A72A6368442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76D3-4BA4-AD36-7A72A6368442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76D3-4BA4-AD36-7A72A63684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03D-401B-878D-AE6C246C398B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03D-401B-878D-AE6C246C398B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03D-401B-878D-AE6C246C398B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03D-401B-878D-AE6C246C398B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03D-401B-878D-AE6C246C398B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03D-401B-878D-AE6C246C398B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03D-401B-878D-AE6C246C398B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03D-401B-878D-AE6C246C398B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03D-401B-878D-AE6C246C398B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03D-401B-878D-AE6C246C398B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03D-401B-878D-AE6C246C398B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03D-401B-878D-AE6C246C398B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03D-401B-878D-AE6C246C398B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03D-401B-878D-AE6C246C398B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03D-401B-878D-AE6C246C398B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03D-401B-878D-AE6C246C398B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03D-401B-878D-AE6C246C398B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03D-401B-878D-AE6C246C398B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03D-401B-878D-AE6C246C398B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03D-401B-878D-AE6C246C398B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03D-401B-878D-AE6C246C398B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03D-401B-878D-AE6C246C398B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03D-401B-878D-AE6C246C398B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03D-401B-878D-AE6C246C398B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03D-401B-878D-AE6C246C398B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03D-401B-878D-AE6C246C398B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03D-401B-878D-AE6C246C398B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03D-401B-878D-AE6C246C398B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03D-401B-878D-AE6C246C398B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03D-401B-878D-AE6C246C398B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03D-401B-878D-AE6C246C398B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03D-401B-878D-AE6C246C398B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03D-401B-878D-AE6C246C398B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03D-401B-878D-AE6C246C398B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03D-401B-878D-AE6C246C398B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03D-401B-878D-AE6C246C398B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03D-401B-878D-AE6C246C398B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03D-401B-878D-AE6C246C398B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03D-401B-878D-AE6C246C398B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03D-401B-878D-AE6C246C398B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03D-401B-878D-AE6C246C398B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03D-401B-878D-AE6C246C398B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03D-401B-878D-AE6C246C398B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03D-401B-878D-AE6C246C398B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03D-401B-878D-AE6C246C398B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03D-401B-878D-AE6C246C398B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03D-401B-878D-AE6C246C398B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03D-401B-878D-AE6C246C398B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03D-401B-878D-AE6C246C398B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03D-401B-878D-AE6C246C3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CCB-4E7F-B7B5-0BD2974C374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CCB-4E7F-B7B5-0BD2974C374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CCB-4E7F-B7B5-0BD2974C374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CCB-4E7F-B7B5-0BD2974C374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CB-4E7F-B7B5-0BD2974C374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CB-4E7F-B7B5-0BD2974C374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CB-4E7F-B7B5-0BD2974C374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CB-4E7F-B7B5-0BD2974C374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CB-4E7F-B7B5-0BD2974C374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CB-4E7F-B7B5-0BD2974C374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CB-4E7F-B7B5-0BD2974C374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CB-4E7F-B7B5-0BD2974C374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CB-4E7F-B7B5-0BD2974C374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CB-4E7F-B7B5-0BD2974C374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CB-4E7F-B7B5-0BD2974C374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CB-4E7F-B7B5-0BD2974C374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CB-4E7F-B7B5-0BD2974C374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CB-4E7F-B7B5-0BD2974C374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CB-4E7F-B7B5-0BD2974C374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CB-4E7F-B7B5-0BD2974C374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CCB-4E7F-B7B5-0BD2974C374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CCB-4E7F-B7B5-0BD2974C374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CCB-4E7F-B7B5-0BD2974C374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CCB-4E7F-B7B5-0BD2974C374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CCB-4E7F-B7B5-0BD2974C374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CCB-4E7F-B7B5-0BD2974C374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CCB-4E7F-B7B5-0BD2974C374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CCB-4E7F-B7B5-0BD2974C374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CCB-4E7F-B7B5-0BD2974C374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CCB-4E7F-B7B5-0BD2974C374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CCB-4E7F-B7B5-0BD2974C374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CCB-4E7F-B7B5-0BD2974C374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CCB-4E7F-B7B5-0BD2974C374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CCB-4E7F-B7B5-0BD2974C374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CCB-4E7F-B7B5-0BD2974C374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CCB-4E7F-B7B5-0BD2974C374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CCB-4E7F-B7B5-0BD2974C374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CCB-4E7F-B7B5-0BD2974C374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CCB-4E7F-B7B5-0BD2974C374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CCB-4E7F-B7B5-0BD2974C374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CCB-4E7F-B7B5-0BD2974C374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CCB-4E7F-B7B5-0BD2974C374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CCB-4E7F-B7B5-0BD2974C374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CCB-4E7F-B7B5-0BD2974C374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CCB-4E7F-B7B5-0BD2974C374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CCB-4E7F-B7B5-0BD2974C374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CCB-4E7F-B7B5-0BD2974C374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CCB-4E7F-B7B5-0BD2974C374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CCB-4E7F-B7B5-0BD2974C374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CCB-4E7F-B7B5-0BD2974C3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DAD-44D5-9FF2-14097712EC1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DAD-44D5-9FF2-14097712EC1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DAD-44D5-9FF2-14097712EC1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DAD-44D5-9FF2-14097712EC1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DAD-44D5-9FF2-14097712EC1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DAD-44D5-9FF2-14097712EC1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DAD-44D5-9FF2-14097712EC1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DAD-44D5-9FF2-14097712EC1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DAD-44D5-9FF2-14097712EC1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DAD-44D5-9FF2-14097712EC1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DAD-44D5-9FF2-14097712EC1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DAD-44D5-9FF2-14097712EC1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DAD-44D5-9FF2-14097712EC1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DAD-44D5-9FF2-14097712EC1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DAD-44D5-9FF2-14097712EC1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DAD-44D5-9FF2-14097712EC1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DAD-44D5-9FF2-14097712EC1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DAD-44D5-9FF2-14097712EC1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DAD-44D5-9FF2-14097712EC1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DAD-44D5-9FF2-14097712EC1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DAD-44D5-9FF2-14097712EC1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DAD-44D5-9FF2-14097712EC1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DAD-44D5-9FF2-14097712EC1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DAD-44D5-9FF2-14097712EC1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DAD-44D5-9FF2-14097712EC1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DAD-44D5-9FF2-14097712EC1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DAD-44D5-9FF2-14097712EC1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DAD-44D5-9FF2-14097712EC1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DAD-44D5-9FF2-14097712EC1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DAD-44D5-9FF2-14097712EC1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DAD-44D5-9FF2-14097712EC1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DAD-44D5-9FF2-14097712EC1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DAD-44D5-9FF2-14097712EC1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DAD-44D5-9FF2-14097712EC1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DAD-44D5-9FF2-14097712EC1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DAD-44D5-9FF2-14097712EC1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DAD-44D5-9FF2-14097712EC1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DAD-44D5-9FF2-14097712EC1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DAD-44D5-9FF2-14097712EC1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DAD-44D5-9FF2-14097712EC1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DAD-44D5-9FF2-14097712EC1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DAD-44D5-9FF2-14097712EC1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DAD-44D5-9FF2-14097712EC1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DAD-44D5-9FF2-14097712EC1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DAD-44D5-9FF2-14097712EC1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DAD-44D5-9FF2-14097712EC1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DAD-44D5-9FF2-14097712EC1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DAD-44D5-9FF2-14097712EC1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DAD-44D5-9FF2-14097712EC1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DAD-44D5-9FF2-14097712E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1B-426D-9857-0D30ADE67AF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1B-426D-9857-0D30ADE67AF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C1B-426D-9857-0D30ADE67AF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C1B-426D-9857-0D30ADE67AF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1B-426D-9857-0D30ADE67AF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1B-426D-9857-0D30ADE67AF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1B-426D-9857-0D30ADE67AF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1B-426D-9857-0D30ADE67AF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1B-426D-9857-0D30ADE67AF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1B-426D-9857-0D30ADE67AF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1B-426D-9857-0D30ADE67AF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1B-426D-9857-0D30ADE67AF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1B-426D-9857-0D30ADE67AF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1B-426D-9857-0D30ADE67AF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1B-426D-9857-0D30ADE67AF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1B-426D-9857-0D30ADE67AF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1B-426D-9857-0D30ADE67AF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1B-426D-9857-0D30ADE67AF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1B-426D-9857-0D30ADE67AF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1B-426D-9857-0D30ADE67AF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1B-426D-9857-0D30ADE67AF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1B-426D-9857-0D30ADE67AF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1B-426D-9857-0D30ADE67AF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1B-426D-9857-0D30ADE67AF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1B-426D-9857-0D30ADE67AF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1B-426D-9857-0D30ADE67AF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1B-426D-9857-0D30ADE67AF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1B-426D-9857-0D30ADE67AF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1B-426D-9857-0D30ADE67AF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1B-426D-9857-0D30ADE67AF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1B-426D-9857-0D30ADE67AF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1B-426D-9857-0D30ADE67AF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1B-426D-9857-0D30ADE67AF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1B-426D-9857-0D30ADE67AF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1B-426D-9857-0D30ADE67AF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1B-426D-9857-0D30ADE67AF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1B-426D-9857-0D30ADE67AF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1B-426D-9857-0D30ADE67AF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1B-426D-9857-0D30ADE67AF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1B-426D-9857-0D30ADE67AF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1B-426D-9857-0D30ADE67AF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1B-426D-9857-0D30ADE67AF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1B-426D-9857-0D30ADE67AF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1B-426D-9857-0D30ADE67AF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1B-426D-9857-0D30ADE67AF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1B-426D-9857-0D30ADE67AF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1B-426D-9857-0D30ADE67AF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1B-426D-9857-0D30ADE67AF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1B-426D-9857-0D30ADE67AF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1B-426D-9857-0D30ADE67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C1E-476F-B36F-BAD04302C8F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C1E-476F-B36F-BAD04302C8F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C1E-476F-B36F-BAD04302C8F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C1E-476F-B36F-BAD04302C8F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C1E-476F-B36F-BAD04302C8F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C1E-476F-B36F-BAD04302C8F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C1E-476F-B36F-BAD04302C8F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C1E-476F-B36F-BAD04302C8F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C1E-476F-B36F-BAD04302C8F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C1E-476F-B36F-BAD04302C8F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C1E-476F-B36F-BAD04302C8F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C1E-476F-B36F-BAD04302C8F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C1E-476F-B36F-BAD04302C8F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C1E-476F-B36F-BAD04302C8F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C1E-476F-B36F-BAD04302C8F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C1E-476F-B36F-BAD04302C8F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C1E-476F-B36F-BAD04302C8F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C1E-476F-B36F-BAD04302C8F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C1E-476F-B36F-BAD04302C8F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C1E-476F-B36F-BAD04302C8F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C1E-476F-B36F-BAD04302C8F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C1E-476F-B36F-BAD04302C8F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C1E-476F-B36F-BAD04302C8F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C1E-476F-B36F-BAD04302C8F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C1E-476F-B36F-BAD04302C8F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C1E-476F-B36F-BAD04302C8F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C1E-476F-B36F-BAD04302C8F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C1E-476F-B36F-BAD04302C8F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C1E-476F-B36F-BAD04302C8F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C1E-476F-B36F-BAD04302C8F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C1E-476F-B36F-BAD04302C8F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C1E-476F-B36F-BAD04302C8F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C1E-476F-B36F-BAD04302C8F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C1E-476F-B36F-BAD04302C8F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C1E-476F-B36F-BAD04302C8F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C1E-476F-B36F-BAD04302C8F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C1E-476F-B36F-BAD04302C8F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C1E-476F-B36F-BAD04302C8F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C1E-476F-B36F-BAD04302C8F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C1E-476F-B36F-BAD04302C8F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C1E-476F-B36F-BAD04302C8F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C1E-476F-B36F-BAD04302C8F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C1E-476F-B36F-BAD04302C8F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C1E-476F-B36F-BAD04302C8F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C1E-476F-B36F-BAD04302C8F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C1E-476F-B36F-BAD04302C8F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C1E-476F-B36F-BAD04302C8F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C1E-476F-B36F-BAD04302C8F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C1E-476F-B36F-BAD04302C8F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C1E-476F-B36F-BAD04302C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C4A-408B-B90B-01570F983663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C4A-408B-B90B-01570F983663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C4A-408B-B90B-01570F983663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C4A-408B-B90B-01570F983663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C4A-408B-B90B-01570F983663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C4A-408B-B90B-01570F983663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C4A-408B-B90B-01570F983663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C4A-408B-B90B-01570F983663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C4A-408B-B90B-01570F983663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C4A-408B-B90B-01570F983663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C4A-408B-B90B-01570F983663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C4A-408B-B90B-01570F983663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C4A-408B-B90B-01570F983663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C4A-408B-B90B-01570F983663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C4A-408B-B90B-01570F983663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C4A-408B-B90B-01570F983663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C4A-408B-B90B-01570F983663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C4A-408B-B90B-01570F983663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C4A-408B-B90B-01570F983663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C4A-408B-B90B-01570F983663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C4A-408B-B90B-01570F983663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C4A-408B-B90B-01570F983663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C4A-408B-B90B-01570F983663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C4A-408B-B90B-01570F983663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C4A-408B-B90B-01570F983663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C4A-408B-B90B-01570F983663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C4A-408B-B90B-01570F983663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C4A-408B-B90B-01570F983663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C4A-408B-B90B-01570F983663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C4A-408B-B90B-01570F983663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C4A-408B-B90B-01570F983663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C4A-408B-B90B-01570F983663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C4A-408B-B90B-01570F983663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C4A-408B-B90B-01570F983663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C4A-408B-B90B-01570F983663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C4A-408B-B90B-01570F983663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C4A-408B-B90B-01570F983663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C4A-408B-B90B-01570F983663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C4A-408B-B90B-01570F983663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C4A-408B-B90B-01570F983663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C4A-408B-B90B-01570F983663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C4A-408B-B90B-01570F983663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C4A-408B-B90B-01570F983663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C4A-408B-B90B-01570F983663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C4A-408B-B90B-01570F983663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C4A-408B-B90B-01570F983663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C4A-408B-B90B-01570F983663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C4A-408B-B90B-01570F983663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C4A-408B-B90B-01570F983663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C4A-408B-B90B-01570F983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CF7-4713-A28B-F1E58DF2AC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CF7-4713-A28B-F1E58DF2AC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CF7-4713-A28B-F1E58DF2AC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ACF7-4713-A28B-F1E58DF2AC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CF7-4713-A28B-F1E58DF2AC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CF7-4713-A28B-F1E58DF2AC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CF7-4713-A28B-F1E58DF2AC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CF7-4713-A28B-F1E58DF2AC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CF7-4713-A28B-F1E58DF2AC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CF7-4713-A28B-F1E58DF2AC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ACF7-4713-A28B-F1E58DF2AC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CF7-4713-A28B-F1E58DF2AC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CF7-4713-A28B-F1E58DF2AC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CF7-4713-A28B-F1E58DF2AC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ACF7-4713-A28B-F1E58DF2AC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ACF7-4713-A28B-F1E58DF2AC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CF7-4713-A28B-F1E58DF2AC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CF7-4713-A28B-F1E58DF2AC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CF7-4713-A28B-F1E58DF2AC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ACF7-4713-A28B-F1E58DF2AC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ACF7-4713-A28B-F1E58DF2AC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ACF7-4713-A28B-F1E58DF2AC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ACF7-4713-A28B-F1E58DF2AC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ACF7-4713-A28B-F1E58DF2AC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ACF7-4713-A28B-F1E58DF2AC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ACF7-4713-A28B-F1E58DF2AC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ACF7-4713-A28B-F1E58DF2AC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ACF7-4713-A28B-F1E58DF2AC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ACF7-4713-A28B-F1E58DF2AC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ACF7-4713-A28B-F1E58DF2AC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ACF7-4713-A28B-F1E58DF2AC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ACF7-4713-A28B-F1E58DF2AC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ACF7-4713-A28B-F1E58DF2AC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ACF7-4713-A28B-F1E58DF2AC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ACF7-4713-A28B-F1E58DF2AC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ACF7-4713-A28B-F1E58DF2AC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ACF7-4713-A28B-F1E58DF2AC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ACF7-4713-A28B-F1E58DF2AC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ACF7-4713-A28B-F1E58DF2AC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ACF7-4713-A28B-F1E58DF2AC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ACF7-4713-A28B-F1E58DF2AC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ACF7-4713-A28B-F1E58DF2AC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ACF7-4713-A28B-F1E58DF2AC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ACF7-4713-A28B-F1E58DF2AC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ACF7-4713-A28B-F1E58DF2AC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ACF7-4713-A28B-F1E58DF2AC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ACF7-4713-A28B-F1E58DF2AC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ACF7-4713-A28B-F1E58DF2AC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ACF7-4713-A28B-F1E58DF2AC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ACF7-4713-A28B-F1E58DF2A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9B0-4F9F-97BC-6DC9971C1D20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9B0-4F9F-97BC-6DC9971C1D20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9B0-4F9F-97BC-6DC9971C1D20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9B0-4F9F-97BC-6DC9971C1D20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9B0-4F9F-97BC-6DC9971C1D20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9B0-4F9F-97BC-6DC9971C1D20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9B0-4F9F-97BC-6DC9971C1D20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9B0-4F9F-97BC-6DC9971C1D20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9B0-4F9F-97BC-6DC9971C1D20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9B0-4F9F-97BC-6DC9971C1D20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9B0-4F9F-97BC-6DC9971C1D20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9B0-4F9F-97BC-6DC9971C1D20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9B0-4F9F-97BC-6DC9971C1D20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9B0-4F9F-97BC-6DC9971C1D20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9B0-4F9F-97BC-6DC9971C1D20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9B0-4F9F-97BC-6DC9971C1D20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9B0-4F9F-97BC-6DC9971C1D20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9B0-4F9F-97BC-6DC9971C1D20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9B0-4F9F-97BC-6DC9971C1D20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9B0-4F9F-97BC-6DC9971C1D20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9B0-4F9F-97BC-6DC9971C1D20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9B0-4F9F-97BC-6DC9971C1D20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9B0-4F9F-97BC-6DC9971C1D20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9B0-4F9F-97BC-6DC9971C1D20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9B0-4F9F-97BC-6DC9971C1D20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9B0-4F9F-97BC-6DC9971C1D20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9B0-4F9F-97BC-6DC9971C1D20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9B0-4F9F-97BC-6DC9971C1D20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9B0-4F9F-97BC-6DC9971C1D20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9B0-4F9F-97BC-6DC9971C1D20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9B0-4F9F-97BC-6DC9971C1D20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9B0-4F9F-97BC-6DC9971C1D20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9B0-4F9F-97BC-6DC9971C1D20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9B0-4F9F-97BC-6DC9971C1D20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9B0-4F9F-97BC-6DC9971C1D20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9B0-4F9F-97BC-6DC9971C1D20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9B0-4F9F-97BC-6DC9971C1D20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9B0-4F9F-97BC-6DC9971C1D20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9B0-4F9F-97BC-6DC9971C1D20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9B0-4F9F-97BC-6DC9971C1D20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9B0-4F9F-97BC-6DC9971C1D20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9B0-4F9F-97BC-6DC9971C1D20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9B0-4F9F-97BC-6DC9971C1D20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9B0-4F9F-97BC-6DC9971C1D20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9B0-4F9F-97BC-6DC9971C1D20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9B0-4F9F-97BC-6DC9971C1D20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9B0-4F9F-97BC-6DC9971C1D20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9B0-4F9F-97BC-6DC9971C1D20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9B0-4F9F-97BC-6DC9971C1D20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9B0-4F9F-97BC-6DC9971C1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4F2A-438B-BDB1-186E64C81F2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4F2A-438B-BDB1-186E64C81F2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4F2A-438B-BDB1-186E64C81F2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4F2A-438B-BDB1-186E64C81F2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F2A-438B-BDB1-186E64C81F2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F2A-438B-BDB1-186E64C81F2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F2A-438B-BDB1-186E64C81F2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F2A-438B-BDB1-186E64C81F2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F2A-438B-BDB1-186E64C81F2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F2A-438B-BDB1-186E64C81F2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F2A-438B-BDB1-186E64C81F2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F2A-438B-BDB1-186E64C81F2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F2A-438B-BDB1-186E64C81F2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F2A-438B-BDB1-186E64C81F2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F2A-438B-BDB1-186E64C81F2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F2A-438B-BDB1-186E64C81F2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F2A-438B-BDB1-186E64C81F2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F2A-438B-BDB1-186E64C81F2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F2A-438B-BDB1-186E64C81F2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F2A-438B-BDB1-186E64C81F2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4F2A-438B-BDB1-186E64C81F2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4F2A-438B-BDB1-186E64C81F2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4F2A-438B-BDB1-186E64C81F2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4F2A-438B-BDB1-186E64C81F2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4F2A-438B-BDB1-186E64C81F2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4F2A-438B-BDB1-186E64C81F2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4F2A-438B-BDB1-186E64C81F2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4F2A-438B-BDB1-186E64C81F2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4F2A-438B-BDB1-186E64C81F2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4F2A-438B-BDB1-186E64C81F2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4F2A-438B-BDB1-186E64C81F2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4F2A-438B-BDB1-186E64C81F2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4F2A-438B-BDB1-186E64C81F2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4F2A-438B-BDB1-186E64C81F2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4F2A-438B-BDB1-186E64C81F2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4F2A-438B-BDB1-186E64C81F2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4F2A-438B-BDB1-186E64C81F2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4F2A-438B-BDB1-186E64C81F2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4F2A-438B-BDB1-186E64C81F2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4F2A-438B-BDB1-186E64C81F2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4F2A-438B-BDB1-186E64C81F2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4F2A-438B-BDB1-186E64C81F2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4F2A-438B-BDB1-186E64C81F2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4F2A-438B-BDB1-186E64C81F2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4F2A-438B-BDB1-186E64C81F2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4F2A-438B-BDB1-186E64C81F2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4F2A-438B-BDB1-186E64C81F2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4F2A-438B-BDB1-186E64C81F2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4F2A-438B-BDB1-186E64C81F2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4F2A-438B-BDB1-186E64C81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01-4E0C-891C-D27E1497D67C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01-4E0C-891C-D27E1497D67C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6001-4E0C-891C-D27E1497D67C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6001-4E0C-891C-D27E1497D67C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001-4E0C-891C-D27E1497D67C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001-4E0C-891C-D27E1497D67C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001-4E0C-891C-D27E1497D67C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001-4E0C-891C-D27E1497D67C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001-4E0C-891C-D27E1497D67C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001-4E0C-891C-D27E1497D67C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001-4E0C-891C-D27E1497D67C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001-4E0C-891C-D27E1497D67C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001-4E0C-891C-D27E1497D67C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001-4E0C-891C-D27E1497D67C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001-4E0C-891C-D27E1497D67C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001-4E0C-891C-D27E1497D67C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001-4E0C-891C-D27E1497D67C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001-4E0C-891C-D27E1497D67C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001-4E0C-891C-D27E1497D67C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001-4E0C-891C-D27E1497D67C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6001-4E0C-891C-D27E1497D67C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6001-4E0C-891C-D27E1497D67C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6001-4E0C-891C-D27E1497D67C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6001-4E0C-891C-D27E1497D67C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6001-4E0C-891C-D27E1497D67C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6001-4E0C-891C-D27E1497D67C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6001-4E0C-891C-D27E1497D67C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6001-4E0C-891C-D27E1497D67C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6001-4E0C-891C-D27E1497D67C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6001-4E0C-891C-D27E1497D67C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6001-4E0C-891C-D27E1497D67C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6001-4E0C-891C-D27E1497D67C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6001-4E0C-891C-D27E1497D67C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6001-4E0C-891C-D27E1497D67C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6001-4E0C-891C-D27E1497D67C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6001-4E0C-891C-D27E1497D67C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6001-4E0C-891C-D27E1497D67C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6001-4E0C-891C-D27E1497D67C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6001-4E0C-891C-D27E1497D67C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6001-4E0C-891C-D27E1497D67C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6001-4E0C-891C-D27E1497D67C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6001-4E0C-891C-D27E1497D67C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6001-4E0C-891C-D27E1497D67C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6001-4E0C-891C-D27E1497D67C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6001-4E0C-891C-D27E1497D67C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6001-4E0C-891C-D27E1497D67C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6001-4E0C-891C-D27E1497D67C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6001-4E0C-891C-D27E1497D67C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6001-4E0C-891C-D27E1497D67C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6001-4E0C-891C-D27E1497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19FF-4B69-88CD-31EDDAC8A371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19FF-4B69-88CD-31EDDAC8A371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19FF-4B69-88CD-31EDDAC8A371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19FF-4B69-88CD-31EDDAC8A371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9FF-4B69-88CD-31EDDAC8A371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9FF-4B69-88CD-31EDDAC8A371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9FF-4B69-88CD-31EDDAC8A371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9FF-4B69-88CD-31EDDAC8A371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9FF-4B69-88CD-31EDDAC8A371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9FF-4B69-88CD-31EDDAC8A371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9FF-4B69-88CD-31EDDAC8A371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9FF-4B69-88CD-31EDDAC8A371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9FF-4B69-88CD-31EDDAC8A371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9FF-4B69-88CD-31EDDAC8A371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9FF-4B69-88CD-31EDDAC8A371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9FF-4B69-88CD-31EDDAC8A371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9FF-4B69-88CD-31EDDAC8A371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9FF-4B69-88CD-31EDDAC8A371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9FF-4B69-88CD-31EDDAC8A371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9FF-4B69-88CD-31EDDAC8A371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19FF-4B69-88CD-31EDDAC8A371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19FF-4B69-88CD-31EDDAC8A371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19FF-4B69-88CD-31EDDAC8A371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19FF-4B69-88CD-31EDDAC8A371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19FF-4B69-88CD-31EDDAC8A371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19FF-4B69-88CD-31EDDAC8A371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19FF-4B69-88CD-31EDDAC8A371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19FF-4B69-88CD-31EDDAC8A371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19FF-4B69-88CD-31EDDAC8A371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19FF-4B69-88CD-31EDDAC8A371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19FF-4B69-88CD-31EDDAC8A371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19FF-4B69-88CD-31EDDAC8A371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19FF-4B69-88CD-31EDDAC8A371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19FF-4B69-88CD-31EDDAC8A371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19FF-4B69-88CD-31EDDAC8A371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19FF-4B69-88CD-31EDDAC8A371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19FF-4B69-88CD-31EDDAC8A371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19FF-4B69-88CD-31EDDAC8A371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19FF-4B69-88CD-31EDDAC8A371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19FF-4B69-88CD-31EDDAC8A371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19FF-4B69-88CD-31EDDAC8A371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19FF-4B69-88CD-31EDDAC8A371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19FF-4B69-88CD-31EDDAC8A371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19FF-4B69-88CD-31EDDAC8A371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19FF-4B69-88CD-31EDDAC8A371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19FF-4B69-88CD-31EDDAC8A371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19FF-4B69-88CD-31EDDAC8A371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19FF-4B69-88CD-31EDDAC8A371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19FF-4B69-88CD-31EDDAC8A371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19FF-4B69-88CD-31EDDAC8A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2048-4863-A2A9-D8BF34845118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2048-4863-A2A9-D8BF34845118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2048-4863-A2A9-D8BF34845118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048-4863-A2A9-D8BF34845118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048-4863-A2A9-D8BF34845118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048-4863-A2A9-D8BF34845118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048-4863-A2A9-D8BF34845118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048-4863-A2A9-D8BF34845118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048-4863-A2A9-D8BF34845118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048-4863-A2A9-D8BF34845118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048-4863-A2A9-D8BF34845118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048-4863-A2A9-D8BF34845118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048-4863-A2A9-D8BF34845118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048-4863-A2A9-D8BF34845118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048-4863-A2A9-D8BF34845118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048-4863-A2A9-D8BF34845118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048-4863-A2A9-D8BF34845118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048-4863-A2A9-D8BF34845118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048-4863-A2A9-D8BF34845118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048-4863-A2A9-D8BF34845118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2048-4863-A2A9-D8BF34845118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2048-4863-A2A9-D8BF34845118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2048-4863-A2A9-D8BF34845118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2048-4863-A2A9-D8BF34845118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2048-4863-A2A9-D8BF34845118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2048-4863-A2A9-D8BF34845118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2048-4863-A2A9-D8BF34845118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2048-4863-A2A9-D8BF34845118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2048-4863-A2A9-D8BF34845118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2048-4863-A2A9-D8BF34845118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2048-4863-A2A9-D8BF34845118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2048-4863-A2A9-D8BF34845118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2048-4863-A2A9-D8BF34845118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2048-4863-A2A9-D8BF34845118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2048-4863-A2A9-D8BF34845118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2048-4863-A2A9-D8BF34845118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2048-4863-A2A9-D8BF34845118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2048-4863-A2A9-D8BF34845118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2048-4863-A2A9-D8BF34845118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2048-4863-A2A9-D8BF34845118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2048-4863-A2A9-D8BF34845118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2048-4863-A2A9-D8BF34845118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2048-4863-A2A9-D8BF34845118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2048-4863-A2A9-D8BF34845118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2048-4863-A2A9-D8BF34845118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2048-4863-A2A9-D8BF34845118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2048-4863-A2A9-D8BF34845118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2048-4863-A2A9-D8BF34845118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2048-4863-A2A9-D8BF34845118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2048-4863-A2A9-D8BF34845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45-4758-8531-69516F82EBA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45-4758-8531-69516F82EBA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845-4758-8531-69516F82EBA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845-4758-8531-69516F82EBA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845-4758-8531-69516F82EBA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845-4758-8531-69516F82EBA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845-4758-8531-69516F82EBA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845-4758-8531-69516F82EBA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845-4758-8531-69516F82EBA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845-4758-8531-69516F82EBA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845-4758-8531-69516F82EBA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845-4758-8531-69516F82EBA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845-4758-8531-69516F82EBA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845-4758-8531-69516F82EBA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845-4758-8531-69516F82EBA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845-4758-8531-69516F82EBA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845-4758-8531-69516F82EBA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845-4758-8531-69516F82EBA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845-4758-8531-69516F82EBA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845-4758-8531-69516F82EBA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845-4758-8531-69516F82EBA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845-4758-8531-69516F82EBA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845-4758-8531-69516F82EBA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845-4758-8531-69516F82EBA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845-4758-8531-69516F82EBA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845-4758-8531-69516F82EBA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845-4758-8531-69516F82EBA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845-4758-8531-69516F82EBA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845-4758-8531-69516F82EBA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845-4758-8531-69516F82EBA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845-4758-8531-69516F82EBA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845-4758-8531-69516F82EBA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845-4758-8531-69516F82EBA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845-4758-8531-69516F82EBA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845-4758-8531-69516F82EBA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845-4758-8531-69516F82EBA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845-4758-8531-69516F82EBA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845-4758-8531-69516F82EBA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845-4758-8531-69516F82EBA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845-4758-8531-69516F82EBA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845-4758-8531-69516F82EBA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845-4758-8531-69516F82EBA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845-4758-8531-69516F82EBA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845-4758-8531-69516F82EBA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845-4758-8531-69516F82EBA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845-4758-8531-69516F82EBA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845-4758-8531-69516F82EBA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845-4758-8531-69516F82EBA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845-4758-8531-69516F82EBA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845-4758-8531-69516F82E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F5F6-4712-AF37-9CB4B3F86AE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F5F6-4712-AF37-9CB4B3F86AE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F5F6-4712-AF37-9CB4B3F86AE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F5F6-4712-AF37-9CB4B3F86AE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5F6-4712-AF37-9CB4B3F86AE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5F6-4712-AF37-9CB4B3F86AE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5F6-4712-AF37-9CB4B3F86AE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5F6-4712-AF37-9CB4B3F86AE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5F6-4712-AF37-9CB4B3F86AE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5F6-4712-AF37-9CB4B3F86AE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5F6-4712-AF37-9CB4B3F86AE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5F6-4712-AF37-9CB4B3F86AE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5F6-4712-AF37-9CB4B3F86AE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5F6-4712-AF37-9CB4B3F86AE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5F6-4712-AF37-9CB4B3F86AE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5F6-4712-AF37-9CB4B3F86AE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5F6-4712-AF37-9CB4B3F86AE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5F6-4712-AF37-9CB4B3F86AE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5F6-4712-AF37-9CB4B3F86AE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5F6-4712-AF37-9CB4B3F86AE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F5F6-4712-AF37-9CB4B3F86AE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F5F6-4712-AF37-9CB4B3F86AE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F5F6-4712-AF37-9CB4B3F86AE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F5F6-4712-AF37-9CB4B3F86AE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F5F6-4712-AF37-9CB4B3F86AE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F5F6-4712-AF37-9CB4B3F86AE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F5F6-4712-AF37-9CB4B3F86AE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F5F6-4712-AF37-9CB4B3F86AE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F5F6-4712-AF37-9CB4B3F86AE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F5F6-4712-AF37-9CB4B3F86AE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F5F6-4712-AF37-9CB4B3F86AE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F5F6-4712-AF37-9CB4B3F86AE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F5F6-4712-AF37-9CB4B3F86AE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F5F6-4712-AF37-9CB4B3F86AE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F5F6-4712-AF37-9CB4B3F86AE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F5F6-4712-AF37-9CB4B3F86AE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F5F6-4712-AF37-9CB4B3F86AE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F5F6-4712-AF37-9CB4B3F86AE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F5F6-4712-AF37-9CB4B3F86AE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F5F6-4712-AF37-9CB4B3F86AE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F5F6-4712-AF37-9CB4B3F86AE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F5F6-4712-AF37-9CB4B3F86AE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F5F6-4712-AF37-9CB4B3F86AE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F5F6-4712-AF37-9CB4B3F86AE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F5F6-4712-AF37-9CB4B3F86AE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F5F6-4712-AF37-9CB4B3F86AE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F5F6-4712-AF37-9CB4B3F86AE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F5F6-4712-AF37-9CB4B3F86AE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F5F6-4712-AF37-9CB4B3F86AE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F5F6-4712-AF37-9CB4B3F86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2E-45C2-8620-7D051F93953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2E-45C2-8620-7D051F93953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2E-45C2-8620-7D051F93953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2E-45C2-8620-7D051F93953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2E-45C2-8620-7D051F93953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2E-45C2-8620-7D051F93953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2E-45C2-8620-7D051F93953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2E-45C2-8620-7D051F93953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2E-45C2-8620-7D051F93953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2E-45C2-8620-7D051F93953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2E-45C2-8620-7D051F93953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2E-45C2-8620-7D051F93953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2E-45C2-8620-7D051F93953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2E-45C2-8620-7D051F93953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2E-45C2-8620-7D051F93953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2E-45C2-8620-7D051F93953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2E-45C2-8620-7D051F93953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2E-45C2-8620-7D051F93953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2E-45C2-8620-7D051F93953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2E-45C2-8620-7D051F93953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2E-45C2-8620-7D051F93953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2E-45C2-8620-7D051F93953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2E-45C2-8620-7D051F93953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2E-45C2-8620-7D051F93953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2E-45C2-8620-7D051F93953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2E-45C2-8620-7D051F93953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2E-45C2-8620-7D051F93953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2E-45C2-8620-7D051F93953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2E-45C2-8620-7D051F93953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2E-45C2-8620-7D051F93953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2E-45C2-8620-7D051F93953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2E-45C2-8620-7D051F93953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2E-45C2-8620-7D051F93953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2E-45C2-8620-7D051F93953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2E-45C2-8620-7D051F93953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2E-45C2-8620-7D051F93953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2E-45C2-8620-7D051F93953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2E-45C2-8620-7D051F93953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2E-45C2-8620-7D051F93953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2E-45C2-8620-7D051F93953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2E-45C2-8620-7D051F93953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2E-45C2-8620-7D051F93953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2E-45C2-8620-7D051F93953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2E-45C2-8620-7D051F93953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2E-45C2-8620-7D051F93953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2E-45C2-8620-7D051F93953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2E-45C2-8620-7D051F93953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2E-45C2-8620-7D051F93953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2E-45C2-8620-7D051F93953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2E-45C2-8620-7D051F939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777-4CDC-A75C-CC0FD2464077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777-4CDC-A75C-CC0FD2464077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0777-4CDC-A75C-CC0FD2464077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0777-4CDC-A75C-CC0FD2464077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777-4CDC-A75C-CC0FD2464077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77-4CDC-A75C-CC0FD2464077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777-4CDC-A75C-CC0FD2464077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777-4CDC-A75C-CC0FD2464077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777-4CDC-A75C-CC0FD2464077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777-4CDC-A75C-CC0FD2464077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77-4CDC-A75C-CC0FD2464077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77-4CDC-A75C-CC0FD2464077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77-4CDC-A75C-CC0FD2464077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77-4CDC-A75C-CC0FD2464077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77-4CDC-A75C-CC0FD2464077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77-4CDC-A75C-CC0FD2464077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77-4CDC-A75C-CC0FD2464077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77-4CDC-A75C-CC0FD2464077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77-4CDC-A75C-CC0FD2464077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77-4CDC-A75C-CC0FD2464077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77-4CDC-A75C-CC0FD2464077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77-4CDC-A75C-CC0FD2464077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77-4CDC-A75C-CC0FD2464077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77-4CDC-A75C-CC0FD2464077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77-4CDC-A75C-CC0FD2464077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77-4CDC-A75C-CC0FD2464077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77-4CDC-A75C-CC0FD2464077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77-4CDC-A75C-CC0FD2464077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77-4CDC-A75C-CC0FD2464077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77-4CDC-A75C-CC0FD2464077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0777-4CDC-A75C-CC0FD2464077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0777-4CDC-A75C-CC0FD2464077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0777-4CDC-A75C-CC0FD2464077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0777-4CDC-A75C-CC0FD2464077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0777-4CDC-A75C-CC0FD2464077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0777-4CDC-A75C-CC0FD2464077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0777-4CDC-A75C-CC0FD2464077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0777-4CDC-A75C-CC0FD2464077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0777-4CDC-A75C-CC0FD2464077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0777-4CDC-A75C-CC0FD2464077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0777-4CDC-A75C-CC0FD2464077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0777-4CDC-A75C-CC0FD2464077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0777-4CDC-A75C-CC0FD2464077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0777-4CDC-A75C-CC0FD2464077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0777-4CDC-A75C-CC0FD2464077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0777-4CDC-A75C-CC0FD2464077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777-4CDC-A75C-CC0FD2464077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0777-4CDC-A75C-CC0FD2464077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0777-4CDC-A75C-CC0FD2464077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0777-4CDC-A75C-CC0FD2464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5285-4E1A-82DE-BCC130221FE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5285-4E1A-82DE-BCC130221FE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5285-4E1A-82DE-BCC130221FE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5285-4E1A-82DE-BCC130221FE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285-4E1A-82DE-BCC130221FE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285-4E1A-82DE-BCC130221FE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285-4E1A-82DE-BCC130221FE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285-4E1A-82DE-BCC130221FE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285-4E1A-82DE-BCC130221FE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285-4E1A-82DE-BCC130221FE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285-4E1A-82DE-BCC130221FE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285-4E1A-82DE-BCC130221FE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285-4E1A-82DE-BCC130221FE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285-4E1A-82DE-BCC130221FE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285-4E1A-82DE-BCC130221FE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285-4E1A-82DE-BCC130221FE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285-4E1A-82DE-BCC130221FE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285-4E1A-82DE-BCC130221FE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285-4E1A-82DE-BCC130221FE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285-4E1A-82DE-BCC130221FE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5285-4E1A-82DE-BCC130221FE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5285-4E1A-82DE-BCC130221FE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5285-4E1A-82DE-BCC130221FE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5285-4E1A-82DE-BCC130221FE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5285-4E1A-82DE-BCC130221FE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5285-4E1A-82DE-BCC130221FE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5285-4E1A-82DE-BCC130221FE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5285-4E1A-82DE-BCC130221FE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5285-4E1A-82DE-BCC130221FE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5285-4E1A-82DE-BCC130221FE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5285-4E1A-82DE-BCC130221FE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5285-4E1A-82DE-BCC130221FE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5285-4E1A-82DE-BCC130221FE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5285-4E1A-82DE-BCC130221FE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5285-4E1A-82DE-BCC130221FE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5285-4E1A-82DE-BCC130221FE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5285-4E1A-82DE-BCC130221FE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5285-4E1A-82DE-BCC130221FE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5285-4E1A-82DE-BCC130221FE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5285-4E1A-82DE-BCC130221FE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5285-4E1A-82DE-BCC130221FE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5285-4E1A-82DE-BCC130221FE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5285-4E1A-82DE-BCC130221FE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5285-4E1A-82DE-BCC130221FE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5285-4E1A-82DE-BCC130221FE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5285-4E1A-82DE-BCC130221FE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5285-4E1A-82DE-BCC130221FE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5285-4E1A-82DE-BCC130221FE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5285-4E1A-82DE-BCC130221FE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5285-4E1A-82DE-BCC130221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43A-4854-9224-A86DAB381275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43A-4854-9224-A86DAB381275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43A-4854-9224-A86DAB381275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43A-4854-9224-A86DAB381275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43A-4854-9224-A86DAB381275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43A-4854-9224-A86DAB381275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43A-4854-9224-A86DAB381275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43A-4854-9224-A86DAB381275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43A-4854-9224-A86DAB381275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43A-4854-9224-A86DAB381275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43A-4854-9224-A86DAB381275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43A-4854-9224-A86DAB381275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43A-4854-9224-A86DAB381275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43A-4854-9224-A86DAB381275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43A-4854-9224-A86DAB381275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43A-4854-9224-A86DAB381275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43A-4854-9224-A86DAB381275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43A-4854-9224-A86DAB381275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43A-4854-9224-A86DAB381275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43A-4854-9224-A86DAB381275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43A-4854-9224-A86DAB381275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43A-4854-9224-A86DAB381275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43A-4854-9224-A86DAB381275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43A-4854-9224-A86DAB381275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43A-4854-9224-A86DAB381275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43A-4854-9224-A86DAB381275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43A-4854-9224-A86DAB381275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43A-4854-9224-A86DAB381275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43A-4854-9224-A86DAB381275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43A-4854-9224-A86DAB381275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43A-4854-9224-A86DAB381275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43A-4854-9224-A86DAB381275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43A-4854-9224-A86DAB381275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43A-4854-9224-A86DAB381275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43A-4854-9224-A86DAB381275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43A-4854-9224-A86DAB381275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43A-4854-9224-A86DAB381275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43A-4854-9224-A86DAB381275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43A-4854-9224-A86DAB381275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43A-4854-9224-A86DAB381275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43A-4854-9224-A86DAB381275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43A-4854-9224-A86DAB381275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43A-4854-9224-A86DAB381275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43A-4854-9224-A86DAB381275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43A-4854-9224-A86DAB381275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43A-4854-9224-A86DAB381275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43A-4854-9224-A86DAB381275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43A-4854-9224-A86DAB381275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43A-4854-9224-A86DAB381275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43A-4854-9224-A86DAB381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9A8-41D0-BFAD-00147DFDEB2F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9A8-41D0-BFAD-00147DFDEB2F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39A8-41D0-BFAD-00147DFDEB2F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39A8-41D0-BFAD-00147DFDEB2F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9A8-41D0-BFAD-00147DFDEB2F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9A8-41D0-BFAD-00147DFDEB2F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9A8-41D0-BFAD-00147DFDEB2F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9A8-41D0-BFAD-00147DFDEB2F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9A8-41D0-BFAD-00147DFDEB2F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9A8-41D0-BFAD-00147DFDEB2F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9A8-41D0-BFAD-00147DFDEB2F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9A8-41D0-BFAD-00147DFDEB2F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9A8-41D0-BFAD-00147DFDEB2F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9A8-41D0-BFAD-00147DFDEB2F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9A8-41D0-BFAD-00147DFDEB2F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9A8-41D0-BFAD-00147DFDEB2F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9A8-41D0-BFAD-00147DFDEB2F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9A8-41D0-BFAD-00147DFDEB2F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9A8-41D0-BFAD-00147DFDEB2F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9A8-41D0-BFAD-00147DFDEB2F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39A8-41D0-BFAD-00147DFDEB2F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39A8-41D0-BFAD-00147DFDEB2F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39A8-41D0-BFAD-00147DFDEB2F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39A8-41D0-BFAD-00147DFDEB2F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39A8-41D0-BFAD-00147DFDEB2F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9A8-41D0-BFAD-00147DFDEB2F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39A8-41D0-BFAD-00147DFDEB2F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39A8-41D0-BFAD-00147DFDEB2F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39A8-41D0-BFAD-00147DFDEB2F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39A8-41D0-BFAD-00147DFDEB2F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39A8-41D0-BFAD-00147DFDEB2F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39A8-41D0-BFAD-00147DFDEB2F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39A8-41D0-BFAD-00147DFDEB2F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39A8-41D0-BFAD-00147DFDEB2F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39A8-41D0-BFAD-00147DFDEB2F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39A8-41D0-BFAD-00147DFDEB2F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39A8-41D0-BFAD-00147DFDEB2F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39A8-41D0-BFAD-00147DFDEB2F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39A8-41D0-BFAD-00147DFDEB2F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39A8-41D0-BFAD-00147DFDEB2F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39A8-41D0-BFAD-00147DFDEB2F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39A8-41D0-BFAD-00147DFDEB2F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39A8-41D0-BFAD-00147DFDEB2F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39A8-41D0-BFAD-00147DFDEB2F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39A8-41D0-BFAD-00147DFDEB2F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39A8-41D0-BFAD-00147DFDEB2F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39A8-41D0-BFAD-00147DFDEB2F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39A8-41D0-BFAD-00147DFDEB2F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39A8-41D0-BFAD-00147DFDEB2F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39A8-41D0-BFAD-00147DFDEB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CBDB-4BB9-88DE-5CACFF39D7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CBDB-4BB9-88DE-5CACFF39D7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CBDB-4BB9-88DE-5CACFF39D7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CBDB-4BB9-88DE-5CACFF39D7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BDB-4BB9-88DE-5CACFF39D7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BDB-4BB9-88DE-5CACFF39D7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BDB-4BB9-88DE-5CACFF39D7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BDB-4BB9-88DE-5CACFF39D7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BDB-4BB9-88DE-5CACFF39D7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BDB-4BB9-88DE-5CACFF39D7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BDB-4BB9-88DE-5CACFF39D7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BDB-4BB9-88DE-5CACFF39D7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BDB-4BB9-88DE-5CACFF39D7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BDB-4BB9-88DE-5CACFF39D7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BDB-4BB9-88DE-5CACFF39D7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BDB-4BB9-88DE-5CACFF39D7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BDB-4BB9-88DE-5CACFF39D7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BDB-4BB9-88DE-5CACFF39D7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BDB-4BB9-88DE-5CACFF39D7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BDB-4BB9-88DE-5CACFF39D7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CBDB-4BB9-88DE-5CACFF39D7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CBDB-4BB9-88DE-5CACFF39D7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CBDB-4BB9-88DE-5CACFF39D7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CBDB-4BB9-88DE-5CACFF39D7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CBDB-4BB9-88DE-5CACFF39D7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CBDB-4BB9-88DE-5CACFF39D7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CBDB-4BB9-88DE-5CACFF39D7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CBDB-4BB9-88DE-5CACFF39D7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CBDB-4BB9-88DE-5CACFF39D7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CBDB-4BB9-88DE-5CACFF39D7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CBDB-4BB9-88DE-5CACFF39D7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CBDB-4BB9-88DE-5CACFF39D7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CBDB-4BB9-88DE-5CACFF39D7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CBDB-4BB9-88DE-5CACFF39D7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CBDB-4BB9-88DE-5CACFF39D7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CBDB-4BB9-88DE-5CACFF39D7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CBDB-4BB9-88DE-5CACFF39D7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CBDB-4BB9-88DE-5CACFF39D7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CBDB-4BB9-88DE-5CACFF39D7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CBDB-4BB9-88DE-5CACFF39D7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CBDB-4BB9-88DE-5CACFF39D7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CBDB-4BB9-88DE-5CACFF39D7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CBDB-4BB9-88DE-5CACFF39D7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CBDB-4BB9-88DE-5CACFF39D7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CBDB-4BB9-88DE-5CACFF39D7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CBDB-4BB9-88DE-5CACFF39D7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CBDB-4BB9-88DE-5CACFF39D7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CBDB-4BB9-88DE-5CACFF39D7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CBDB-4BB9-88DE-5CACFF39D7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CBDB-4BB9-88DE-5CACFF39D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B82A-4037-B772-716140F3512A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B82A-4037-B772-716140F3512A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B82A-4037-B772-716140F3512A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B82A-4037-B772-716140F3512A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2A-4037-B772-716140F3512A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82A-4037-B772-716140F3512A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82A-4037-B772-716140F3512A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82A-4037-B772-716140F3512A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82A-4037-B772-716140F3512A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82A-4037-B772-716140F3512A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82A-4037-B772-716140F3512A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82A-4037-B772-716140F3512A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82A-4037-B772-716140F3512A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82A-4037-B772-716140F3512A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82A-4037-B772-716140F3512A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82A-4037-B772-716140F3512A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82A-4037-B772-716140F3512A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82A-4037-B772-716140F3512A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82A-4037-B772-716140F3512A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82A-4037-B772-716140F3512A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B82A-4037-B772-716140F3512A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B82A-4037-B772-716140F3512A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B82A-4037-B772-716140F3512A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B82A-4037-B772-716140F3512A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B82A-4037-B772-716140F3512A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B82A-4037-B772-716140F3512A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B82A-4037-B772-716140F3512A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B82A-4037-B772-716140F3512A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B82A-4037-B772-716140F3512A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B82A-4037-B772-716140F3512A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B82A-4037-B772-716140F3512A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B82A-4037-B772-716140F3512A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B82A-4037-B772-716140F3512A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B82A-4037-B772-716140F3512A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B82A-4037-B772-716140F3512A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B82A-4037-B772-716140F3512A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B82A-4037-B772-716140F3512A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B82A-4037-B772-716140F3512A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B82A-4037-B772-716140F3512A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B82A-4037-B772-716140F3512A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B82A-4037-B772-716140F3512A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B82A-4037-B772-716140F3512A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B82A-4037-B772-716140F3512A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B82A-4037-B772-716140F3512A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B82A-4037-B772-716140F3512A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B82A-4037-B772-716140F3512A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B82A-4037-B772-716140F3512A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B82A-4037-B772-716140F3512A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B82A-4037-B772-716140F3512A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B82A-4037-B772-716140F35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8BD9-4742-A286-E5DEA6E41196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8BD9-4742-A286-E5DEA6E41196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BD9-4742-A286-E5DEA6E41196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8BD9-4742-A286-E5DEA6E41196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BD9-4742-A286-E5DEA6E41196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BD9-4742-A286-E5DEA6E41196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BD9-4742-A286-E5DEA6E41196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BD9-4742-A286-E5DEA6E41196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BD9-4742-A286-E5DEA6E41196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BD9-4742-A286-E5DEA6E41196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BD9-4742-A286-E5DEA6E41196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BD9-4742-A286-E5DEA6E41196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BD9-4742-A286-E5DEA6E41196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BD9-4742-A286-E5DEA6E41196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BD9-4742-A286-E5DEA6E41196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BD9-4742-A286-E5DEA6E41196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BD9-4742-A286-E5DEA6E41196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BD9-4742-A286-E5DEA6E41196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BD9-4742-A286-E5DEA6E41196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BD9-4742-A286-E5DEA6E41196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8BD9-4742-A286-E5DEA6E41196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8BD9-4742-A286-E5DEA6E41196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8BD9-4742-A286-E5DEA6E41196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8BD9-4742-A286-E5DEA6E41196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8BD9-4742-A286-E5DEA6E41196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8BD9-4742-A286-E5DEA6E41196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8BD9-4742-A286-E5DEA6E41196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8BD9-4742-A286-E5DEA6E41196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8BD9-4742-A286-E5DEA6E41196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8BD9-4742-A286-E5DEA6E41196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8BD9-4742-A286-E5DEA6E41196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8BD9-4742-A286-E5DEA6E41196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8BD9-4742-A286-E5DEA6E41196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8BD9-4742-A286-E5DEA6E41196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8BD9-4742-A286-E5DEA6E41196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8BD9-4742-A286-E5DEA6E41196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8BD9-4742-A286-E5DEA6E41196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8BD9-4742-A286-E5DEA6E41196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8BD9-4742-A286-E5DEA6E41196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8BD9-4742-A286-E5DEA6E41196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8BD9-4742-A286-E5DEA6E41196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8BD9-4742-A286-E5DEA6E41196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8BD9-4742-A286-E5DEA6E41196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8BD9-4742-A286-E5DEA6E41196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8BD9-4742-A286-E5DEA6E41196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8BD9-4742-A286-E5DEA6E41196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8BD9-4742-A286-E5DEA6E41196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8BD9-4742-A286-E5DEA6E41196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8BD9-4742-A286-E5DEA6E41196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8BD9-4742-A286-E5DEA6E41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013-4C30-B55E-4A2D98BF0BED}"/>
            </c:ext>
          </c:extLst>
        </c:ser>
        <c:ser>
          <c:idx val="1"/>
          <c:order val="1"/>
          <c:tx>
            <c:v/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013-4C30-B55E-4A2D98BF0BED}"/>
            </c:ext>
          </c:extLst>
        </c:ser>
        <c:ser>
          <c:idx val="2"/>
          <c:order val="2"/>
          <c:tx>
            <c:v/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E013-4C30-B55E-4A2D98BF0BED}"/>
            </c:ext>
          </c:extLst>
        </c:ser>
        <c:ser>
          <c:idx val="3"/>
          <c:order val="3"/>
          <c:tx>
            <c:v/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3-E013-4C30-B55E-4A2D98BF0BED}"/>
            </c:ext>
          </c:extLst>
        </c:ser>
        <c:ser>
          <c:idx val="4"/>
          <c:order val="4"/>
          <c:tx>
            <c:v/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013-4C30-B55E-4A2D98BF0BED}"/>
            </c:ext>
          </c:extLst>
        </c:ser>
        <c:ser>
          <c:idx val="5"/>
          <c:order val="5"/>
          <c:tx>
            <c:v/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013-4C30-B55E-4A2D98BF0BED}"/>
            </c:ext>
          </c:extLst>
        </c:ser>
        <c:ser>
          <c:idx val="6"/>
          <c:order val="6"/>
          <c:tx>
            <c:v/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013-4C30-B55E-4A2D98BF0BED}"/>
            </c:ext>
          </c:extLst>
        </c:ser>
        <c:ser>
          <c:idx val="7"/>
          <c:order val="7"/>
          <c:tx>
            <c:v/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013-4C30-B55E-4A2D98BF0BED}"/>
            </c:ext>
          </c:extLst>
        </c:ser>
        <c:ser>
          <c:idx val="8"/>
          <c:order val="8"/>
          <c:tx>
            <c:v/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013-4C30-B55E-4A2D98BF0BED}"/>
            </c:ext>
          </c:extLst>
        </c:ser>
        <c:ser>
          <c:idx val="9"/>
          <c:order val="9"/>
          <c:tx>
            <c:v/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013-4C30-B55E-4A2D98BF0BED}"/>
            </c:ext>
          </c:extLst>
        </c:ser>
        <c:ser>
          <c:idx val="10"/>
          <c:order val="10"/>
          <c:tx>
            <c:v/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013-4C30-B55E-4A2D98BF0BED}"/>
            </c:ext>
          </c:extLst>
        </c:ser>
        <c:ser>
          <c:idx val="11"/>
          <c:order val="11"/>
          <c:tx>
            <c:v/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013-4C30-B55E-4A2D98BF0BED}"/>
            </c:ext>
          </c:extLst>
        </c:ser>
        <c:ser>
          <c:idx val="12"/>
          <c:order val="12"/>
          <c:tx>
            <c:v/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013-4C30-B55E-4A2D98BF0BED}"/>
            </c:ext>
          </c:extLst>
        </c:ser>
        <c:ser>
          <c:idx val="13"/>
          <c:order val="13"/>
          <c:tx>
            <c:v/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013-4C30-B55E-4A2D98BF0BED}"/>
            </c:ext>
          </c:extLst>
        </c:ser>
        <c:ser>
          <c:idx val="14"/>
          <c:order val="14"/>
          <c:tx>
            <c:v/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013-4C30-B55E-4A2D98BF0BED}"/>
            </c:ext>
          </c:extLst>
        </c:ser>
        <c:ser>
          <c:idx val="15"/>
          <c:order val="15"/>
          <c:tx>
            <c:v/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013-4C30-B55E-4A2D98BF0BED}"/>
            </c:ext>
          </c:extLst>
        </c:ser>
        <c:ser>
          <c:idx val="16"/>
          <c:order val="16"/>
          <c:tx>
            <c:v/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013-4C30-B55E-4A2D98BF0BED}"/>
            </c:ext>
          </c:extLst>
        </c:ser>
        <c:ser>
          <c:idx val="17"/>
          <c:order val="17"/>
          <c:tx>
            <c:v/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013-4C30-B55E-4A2D98BF0BED}"/>
            </c:ext>
          </c:extLst>
        </c:ser>
        <c:ser>
          <c:idx val="18"/>
          <c:order val="18"/>
          <c:tx>
            <c:v/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013-4C30-B55E-4A2D98BF0BED}"/>
            </c:ext>
          </c:extLst>
        </c:ser>
        <c:ser>
          <c:idx val="19"/>
          <c:order val="19"/>
          <c:tx>
            <c:v/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013-4C30-B55E-4A2D98BF0BED}"/>
            </c:ext>
          </c:extLst>
        </c:ser>
        <c:ser>
          <c:idx val="20"/>
          <c:order val="20"/>
          <c:tx>
            <c:v/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E013-4C30-B55E-4A2D98BF0BED}"/>
            </c:ext>
          </c:extLst>
        </c:ser>
        <c:ser>
          <c:idx val="21"/>
          <c:order val="21"/>
          <c:tx>
            <c:v/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E013-4C30-B55E-4A2D98BF0BED}"/>
            </c:ext>
          </c:extLst>
        </c:ser>
        <c:ser>
          <c:idx val="22"/>
          <c:order val="22"/>
          <c:tx>
            <c:v/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E013-4C30-B55E-4A2D98BF0BED}"/>
            </c:ext>
          </c:extLst>
        </c:ser>
        <c:ser>
          <c:idx val="23"/>
          <c:order val="23"/>
          <c:tx>
            <c:v/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E013-4C30-B55E-4A2D98BF0BED}"/>
            </c:ext>
          </c:extLst>
        </c:ser>
        <c:ser>
          <c:idx val="24"/>
          <c:order val="24"/>
          <c:tx>
            <c:v/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E013-4C30-B55E-4A2D98BF0BED}"/>
            </c:ext>
          </c:extLst>
        </c:ser>
        <c:ser>
          <c:idx val="25"/>
          <c:order val="25"/>
          <c:tx>
            <c:v/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E013-4C30-B55E-4A2D98BF0BED}"/>
            </c:ext>
          </c:extLst>
        </c:ser>
        <c:ser>
          <c:idx val="26"/>
          <c:order val="26"/>
          <c:tx>
            <c:v/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E013-4C30-B55E-4A2D98BF0BED}"/>
            </c:ext>
          </c:extLst>
        </c:ser>
        <c:ser>
          <c:idx val="27"/>
          <c:order val="27"/>
          <c:tx>
            <c:v/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E013-4C30-B55E-4A2D98BF0BED}"/>
            </c:ext>
          </c:extLst>
        </c:ser>
        <c:ser>
          <c:idx val="28"/>
          <c:order val="28"/>
          <c:tx>
            <c:v/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E013-4C30-B55E-4A2D98BF0BED}"/>
            </c:ext>
          </c:extLst>
        </c:ser>
        <c:ser>
          <c:idx val="29"/>
          <c:order val="29"/>
          <c:tx>
            <c:v/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E013-4C30-B55E-4A2D98BF0BED}"/>
            </c:ext>
          </c:extLst>
        </c:ser>
        <c:ser>
          <c:idx val="30"/>
          <c:order val="30"/>
          <c:tx>
            <c:v/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E013-4C30-B55E-4A2D98BF0BED}"/>
            </c:ext>
          </c:extLst>
        </c:ser>
        <c:ser>
          <c:idx val="31"/>
          <c:order val="31"/>
          <c:tx>
            <c:v/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E013-4C30-B55E-4A2D98BF0BED}"/>
            </c:ext>
          </c:extLst>
        </c:ser>
        <c:ser>
          <c:idx val="32"/>
          <c:order val="32"/>
          <c:tx>
            <c:v/>
          </c:tx>
          <c:spPr>
            <a:ln w="19050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E013-4C30-B55E-4A2D98BF0BED}"/>
            </c:ext>
          </c:extLst>
        </c:ser>
        <c:ser>
          <c:idx val="33"/>
          <c:order val="33"/>
          <c:tx>
            <c:v/>
          </c:tx>
          <c:spPr>
            <a:ln w="1905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1-E013-4C30-B55E-4A2D98BF0BED}"/>
            </c:ext>
          </c:extLst>
        </c:ser>
        <c:ser>
          <c:idx val="34"/>
          <c:order val="34"/>
          <c:tx>
            <c:v/>
          </c:tx>
          <c:spPr>
            <a:ln w="19050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2-E013-4C30-B55E-4A2D98BF0BED}"/>
            </c:ext>
          </c:extLst>
        </c:ser>
        <c:ser>
          <c:idx val="35"/>
          <c:order val="35"/>
          <c:tx>
            <c:v/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3-E013-4C30-B55E-4A2D98BF0BED}"/>
            </c:ext>
          </c:extLst>
        </c:ser>
        <c:ser>
          <c:idx val="36"/>
          <c:order val="36"/>
          <c:tx>
            <c:v/>
          </c:tx>
          <c:spPr>
            <a:ln w="19050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4-E013-4C30-B55E-4A2D98BF0BED}"/>
            </c:ext>
          </c:extLst>
        </c:ser>
        <c:ser>
          <c:idx val="37"/>
          <c:order val="37"/>
          <c:tx>
            <c:v/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5-E013-4C30-B55E-4A2D98BF0BED}"/>
            </c:ext>
          </c:extLst>
        </c:ser>
        <c:ser>
          <c:idx val="38"/>
          <c:order val="38"/>
          <c:tx>
            <c:v/>
          </c:tx>
          <c:spPr>
            <a:ln w="19050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6-E013-4C30-B55E-4A2D98BF0BED}"/>
            </c:ext>
          </c:extLst>
        </c:ser>
        <c:ser>
          <c:idx val="39"/>
          <c:order val="39"/>
          <c:tx>
            <c:v/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7-E013-4C30-B55E-4A2D98BF0BED}"/>
            </c:ext>
          </c:extLst>
        </c:ser>
        <c:ser>
          <c:idx val="40"/>
          <c:order val="40"/>
          <c:tx>
            <c:v/>
          </c:tx>
          <c:spPr>
            <a:ln w="19050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8-E013-4C30-B55E-4A2D98BF0BED}"/>
            </c:ext>
          </c:extLst>
        </c:ser>
        <c:ser>
          <c:idx val="41"/>
          <c:order val="41"/>
          <c:tx>
            <c:v/>
          </c:tx>
          <c:spPr>
            <a:ln w="19050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9-E013-4C30-B55E-4A2D98BF0BED}"/>
            </c:ext>
          </c:extLst>
        </c:ser>
        <c:ser>
          <c:idx val="42"/>
          <c:order val="42"/>
          <c:tx>
            <c:v/>
          </c:tx>
          <c:spPr>
            <a:ln w="19050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A-E013-4C30-B55E-4A2D98BF0BED}"/>
            </c:ext>
          </c:extLst>
        </c:ser>
        <c:ser>
          <c:idx val="43"/>
          <c:order val="43"/>
          <c:tx>
            <c:v/>
          </c:tx>
          <c:spPr>
            <a:ln w="19050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B-E013-4C30-B55E-4A2D98BF0BED}"/>
            </c:ext>
          </c:extLst>
        </c:ser>
        <c:ser>
          <c:idx val="44"/>
          <c:order val="44"/>
          <c:tx>
            <c:v/>
          </c:tx>
          <c:spPr>
            <a:ln w="19050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C-E013-4C30-B55E-4A2D98BF0BED}"/>
            </c:ext>
          </c:extLst>
        </c:ser>
        <c:ser>
          <c:idx val="45"/>
          <c:order val="45"/>
          <c:tx>
            <c:v/>
          </c:tx>
          <c:spPr>
            <a:ln w="19050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D-E013-4C30-B55E-4A2D98BF0BED}"/>
            </c:ext>
          </c:extLst>
        </c:ser>
        <c:ser>
          <c:idx val="46"/>
          <c:order val="46"/>
          <c:tx>
            <c:v/>
          </c:tx>
          <c:spPr>
            <a:ln w="19050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E013-4C30-B55E-4A2D98BF0BED}"/>
            </c:ext>
          </c:extLst>
        </c:ser>
        <c:ser>
          <c:idx val="47"/>
          <c:order val="47"/>
          <c:tx>
            <c:v/>
          </c:tx>
          <c:spPr>
            <a:ln w="19050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F-E013-4C30-B55E-4A2D98BF0BED}"/>
            </c:ext>
          </c:extLst>
        </c:ser>
        <c:ser>
          <c:idx val="48"/>
          <c:order val="48"/>
          <c:tx>
            <c:v/>
          </c:tx>
          <c:spPr>
            <a:ln w="19050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0-E013-4C30-B55E-4A2D98BF0BED}"/>
            </c:ext>
          </c:extLst>
        </c:ser>
        <c:ser>
          <c:idx val="49"/>
          <c:order val="49"/>
          <c:tx>
            <c:v/>
          </c:tx>
          <c:spPr>
            <a:ln w="19050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31-E013-4C30-B55E-4A2D98BF0B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/>
      </c:scatterChart>
      <c:valAx>
        <c:axId val="515004880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5536"/>
        <c:crosses val="autoZero"/>
        <c:crossBetween val="midCat"/>
      </c:valAx>
      <c:valAx>
        <c:axId val="515005536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515004880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83B-4D8E-BB52-DBB6EC5E9A6A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83B-4D8E-BB52-DBB6EC5E9A6A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83B-4D8E-BB52-DBB6EC5E9A6A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83B-4D8E-BB52-DBB6EC5E9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83B-4D8E-BB52-DBB6EC5E9A6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83B-4D8E-BB52-DBB6EC5E9A6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83B-4D8E-BB52-DBB6EC5E9A6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83B-4D8E-BB52-DBB6EC5E9A6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83B-4D8E-BB52-DBB6EC5E9A6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83B-4D8E-BB52-DBB6EC5E9A6A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83B-4D8E-BB52-DBB6EC5E9A6A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83B-4D8E-BB52-DBB6EC5E9A6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83B-4D8E-BB52-DBB6EC5E9A6A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83B-4D8E-BB52-DBB6EC5E9A6A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83B-4D8E-BB52-DBB6EC5E9A6A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83B-4D8E-BB52-DBB6EC5E9A6A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83B-4D8E-BB52-DBB6EC5E9A6A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83B-4D8E-BB52-DBB6EC5E9A6A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83B-4D8E-BB52-DBB6EC5E9A6A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83B-4D8E-BB52-DBB6EC5E9A6A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08A8-4D15-8248-A72B1BB64DD2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08A8-4D15-8248-A72B1BB64DD2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8A8-4D15-8248-A72B1BB64DD2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8A8-4D15-8248-A72B1BB64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08A8-4D15-8248-A72B1BB64DD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08A8-4D15-8248-A72B1BB64DD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8A8-4D15-8248-A72B1BB64DD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8A8-4D15-8248-A72B1BB64DD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8A8-4D15-8248-A72B1BB64DD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8A8-4D15-8248-A72B1BB64DD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8A8-4D15-8248-A72B1BB64DD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08A8-4D15-8248-A72B1BB64DD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8A8-4D15-8248-A72B1BB64DD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8A8-4D15-8248-A72B1BB64DD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8A8-4D15-8248-A72B1BB64DD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08A8-4D15-8248-A72B1BB64DD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8A8-4D15-8248-A72B1BB64DD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8A8-4D15-8248-A72B1BB64DD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8A8-4D15-8248-A72B1BB64DD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08A8-4D15-8248-A72B1BB64DD2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39682539682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37AE-4312-9F13-DAE35CCC7BAE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37AE-4312-9F13-DAE35CCC7BAE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7AE-4312-9F13-DAE35CCC7BAE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AE-4312-9F13-DAE35CCC7B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37AE-4312-9F13-DAE35CCC7BA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37AE-4312-9F13-DAE35CCC7BA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AE-4312-9F13-DAE35CCC7BA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AE-4312-9F13-DAE35CCC7BA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AE-4312-9F13-DAE35CCC7BA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AE-4312-9F13-DAE35CCC7BA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7AE-4312-9F13-DAE35CCC7BA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7AE-4312-9F13-DAE35CCC7BA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7AE-4312-9F13-DAE35CCC7BA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7AE-4312-9F13-DAE35CCC7BA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7AE-4312-9F13-DAE35CCC7BA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7AE-4312-9F13-DAE35CCC7BA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7AE-4312-9F13-DAE35CCC7BA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7AE-4312-9F13-DAE35CCC7BA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7AE-4312-9F13-DAE35CCC7BA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7AE-4312-9F13-DAE35CCC7BAE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606D-4991-91CC-B91185C76C1B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606D-4991-91CC-B91185C76C1B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06D-4991-91CC-B91185C76C1B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06D-4991-91CC-B91185C76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606D-4991-91CC-B91185C76C1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06D-4991-91CC-B91185C76C1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06D-4991-91CC-B91185C76C1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06D-4991-91CC-B91185C76C1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06D-4991-91CC-B91185C76C1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06D-4991-91CC-B91185C76C1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06D-4991-91CC-B91185C76C1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06D-4991-91CC-B91185C76C1B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06D-4991-91CC-B91185C76C1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06D-4991-91CC-B91185C76C1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606D-4991-91CC-B91185C76C1B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606D-4991-91CC-B91185C76C1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606D-4991-91CC-B91185C76C1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06D-4991-91CC-B91185C76C1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06D-4991-91CC-B91185C76C1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06D-4991-91CC-B91185C76C1B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EC2A-4B3F-B559-8905C107C997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EC2A-4B3F-B559-8905C107C997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C2A-4B3F-B559-8905C107C997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C2A-4B3F-B559-8905C107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EC2A-4B3F-B559-8905C107C997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C2A-4B3F-B559-8905C107C997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C2A-4B3F-B559-8905C107C997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C2A-4B3F-B559-8905C107C997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C2A-4B3F-B559-8905C107C997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C2A-4B3F-B559-8905C107C997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C2A-4B3F-B559-8905C107C997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C2A-4B3F-B559-8905C107C997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C2A-4B3F-B559-8905C107C997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C2A-4B3F-B559-8905C107C997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C2A-4B3F-B559-8905C107C997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C2A-4B3F-B559-8905C107C997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C2A-4B3F-B559-8905C107C997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C2A-4B3F-B559-8905C107C997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EC2A-4B3F-B559-8905C107C997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EC2A-4B3F-B559-8905C107C997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0.6050663871418589"/>
          <c:h val="0.47404040404040404"/>
        </c:manualLayout>
      </c:layout>
      <c:scatterChart>
        <c:scatterStyle val="lineMarker"/>
        <c:varyColors val="0"/>
        <c:ser>
          <c:idx val="0"/>
          <c:order val="0"/>
          <c:tx>
            <c:v>1次モード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0-A402-4037-872A-2502B67CF63D}"/>
            </c:ext>
          </c:extLst>
        </c:ser>
        <c:ser>
          <c:idx val="1"/>
          <c:order val="1"/>
          <c:tx>
            <c:v>2次モード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triangle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1-A402-4037-872A-2502B67CF63D}"/>
            </c:ext>
          </c:extLst>
        </c:ser>
        <c:ser>
          <c:idx val="2"/>
          <c:order val="2"/>
          <c:tx>
            <c:v>3次モード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diamond"/>
            <c:size val="6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402-4037-872A-2502B67CF63D}"/>
            </c:ext>
          </c:extLst>
        </c:ser>
        <c:ser>
          <c:idx val="3"/>
          <c:order val="3"/>
          <c:tx>
            <c:v>4次モード</c:v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square"/>
            <c:size val="5"/>
            <c:spPr>
              <a:solidFill>
                <a:srgbClr val="FFFFF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402-4037-872A-2502B67CF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04880"/>
        <c:axId val="515005536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4"/>
                <c:tx>
                  <c:v>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04-A402-4037-872A-2502B67CF63D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402-4037-872A-2502B67CF63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402-4037-872A-2502B67CF63D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402-4037-872A-2502B67CF63D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402-4037-872A-2502B67CF63D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10次モード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402-4037-872A-2502B67CF63D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11次モード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402-4037-872A-2502B67CF63D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12次モード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402-4037-872A-2502B67CF63D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v>13次モード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402-4037-872A-2502B67CF63D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14次モード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402-4037-872A-2502B67CF63D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15次モード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402-4037-872A-2502B67CF63D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v>16次モード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402-4037-872A-2502B67CF63D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17次モード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402-4037-872A-2502B67CF63D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18次モード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402-4037-872A-2502B67CF63D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19次モード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402-4037-872A-2502B67CF63D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20次モード</c:v>
                </c:tx>
                <c:spPr>
                  <a:ln w="9525" cap="rnd">
                    <a:solidFill>
                      <a:srgbClr val="000000"/>
                    </a:solidFill>
                    <a:prstDash val="solid"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rgbClr val="FFFFFF"/>
                    </a:solidFill>
                    <a:ln w="9525">
                      <a:solidFill>
                        <a:srgbClr val="000000"/>
                      </a:solidFill>
                      <a:prstDash val="solid"/>
                    </a:ln>
                    <a:effectLst/>
                  </c:spPr>
                </c:marker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402-4037-872A-2502B67CF63D}"/>
                  </c:ext>
                </c:extLst>
              </c15:ser>
            </c15:filteredScatterSeries>
          </c:ext>
        </c:extLst>
      </c:scatterChart>
      <c:valAx>
        <c:axId val="515004880"/>
        <c:scaling>
          <c:orientation val="minMax"/>
          <c:max val="1.5"/>
          <c:min val="-1.5"/>
        </c:scaling>
        <c:delete val="1"/>
        <c:axPos val="b"/>
        <c:numFmt formatCode="General" sourceLinked="1"/>
        <c:majorTickMark val="out"/>
        <c:minorTickMark val="none"/>
        <c:tickLblPos val="nextTo"/>
        <c:crossAx val="515005536"/>
        <c:crosses val="autoZero"/>
        <c:crossBetween val="midCat"/>
        <c:majorUnit val="0.5"/>
      </c:valAx>
      <c:valAx>
        <c:axId val="515005536"/>
        <c:scaling>
          <c:orientation val="minMax"/>
          <c:max val="5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515004880"/>
        <c:crosses val="autoZero"/>
        <c:crossBetween val="midCat"/>
        <c:majorUnit val="1"/>
      </c:valAx>
      <c:spPr>
        <a:noFill/>
        <a:ln w="25400"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4.9797979797980871E-4"/>
          <c:w val="1"/>
          <c:h val="0.99950202020202017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0-DC80-4AD5-8B51-22DEDEE81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5354319"/>
        <c:axId val="1022371407"/>
      </c:scatterChart>
      <c:valAx>
        <c:axId val="1105354319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022371407"/>
        <c:crosses val="autoZero"/>
        <c:crossBetween val="midCat"/>
      </c:valAx>
      <c:valAx>
        <c:axId val="10223714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  <a:cs typeface="+mn-cs"/>
              </a:defRPr>
            </a:pPr>
            <a:endParaRPr lang="ja-JP"/>
          </a:p>
        </c:txPr>
        <c:crossAx val="110535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2.9872685185185189E-3"/>
          <c:w val="1"/>
          <c:h val="8.26828703703703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r>
              <a:rPr lang="ja-JP" altLang="en-US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擬似速度応答スペクトル</a:t>
            </a:r>
            <a:r>
              <a:rPr lang="en-US" altLang="ja-JP" sz="1000" b="0"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(pSv)</a:t>
            </a:r>
          </a:p>
        </c:rich>
      </c:tx>
      <c:layout>
        <c:manualLayout>
          <c:xMode val="edge"/>
          <c:yMode val="edge"/>
          <c:x val="0.36245536398467432"/>
          <c:y val="0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Spectrum!$B$2:$C$2</c:f>
              <c:numCache>
                <c:formatCode>General</c:formatCode>
                <c:ptCount val="2"/>
                <c:pt idx="0">
                  <c:v>6.2831853071795871</c:v>
                </c:pt>
                <c:pt idx="1">
                  <c:v>10</c:v>
                </c:pt>
              </c:numCache>
            </c:numRef>
          </c:xVal>
          <c:yVal>
            <c:numRef>
              <c:f>Spectrum!$D$2:$E$2</c:f>
              <c:numCache>
                <c:formatCode>General</c:formatCode>
                <c:ptCount val="2"/>
                <c:pt idx="0">
                  <c:v>0.1</c:v>
                </c:pt>
                <c:pt idx="1">
                  <c:v>0.15915494309189537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9-4F81-9260-2DACCB60631A}"/>
            </c:ext>
          </c:extLst>
        </c:ser>
        <c:ser>
          <c:idx val="1"/>
          <c:order val="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Spectrum!$B$3:$C$3</c:f>
              <c:numCache>
                <c:formatCode>General</c:formatCode>
                <c:ptCount val="2"/>
                <c:pt idx="0">
                  <c:v>3.1415926535897931</c:v>
                </c:pt>
                <c:pt idx="1">
                  <c:v>10</c:v>
                </c:pt>
              </c:numCache>
            </c:numRef>
          </c:xVal>
          <c:yVal>
            <c:numRef>
              <c:f>Spectrum!$D$3:$E$3</c:f>
              <c:numCache>
                <c:formatCode>General</c:formatCode>
                <c:ptCount val="2"/>
                <c:pt idx="0">
                  <c:v>0.1</c:v>
                </c:pt>
                <c:pt idx="1">
                  <c:v>0.31830988618379075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9-4F81-9260-2DACCB60631A}"/>
            </c:ext>
          </c:extLst>
        </c:ser>
        <c:ser>
          <c:idx val="2"/>
          <c:order val="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Spectrum!$B$4:$C$4</c:f>
              <c:numCache>
                <c:formatCode>General</c:formatCode>
                <c:ptCount val="2"/>
                <c:pt idx="0">
                  <c:v>2.0943951023931953</c:v>
                </c:pt>
                <c:pt idx="1">
                  <c:v>10</c:v>
                </c:pt>
              </c:numCache>
            </c:numRef>
          </c:xVal>
          <c:yVal>
            <c:numRef>
              <c:f>Spectrum!$D$4:$E$4</c:f>
              <c:numCache>
                <c:formatCode>General</c:formatCode>
                <c:ptCount val="2"/>
                <c:pt idx="0">
                  <c:v>0.1</c:v>
                </c:pt>
                <c:pt idx="1">
                  <c:v>0.47746482927568606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9-4F81-9260-2DACCB60631A}"/>
            </c:ext>
          </c:extLst>
        </c:ser>
        <c:ser>
          <c:idx val="3"/>
          <c:order val="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Spectrum!$B$5:$C$5</c:f>
              <c:numCache>
                <c:formatCode>General</c:formatCode>
                <c:ptCount val="2"/>
                <c:pt idx="0">
                  <c:v>1.5707963267948966</c:v>
                </c:pt>
                <c:pt idx="1">
                  <c:v>10</c:v>
                </c:pt>
              </c:numCache>
            </c:numRef>
          </c:xVal>
          <c:yVal>
            <c:numRef>
              <c:f>Spectrum!$D$5:$E$5</c:f>
              <c:numCache>
                <c:formatCode>General</c:formatCode>
                <c:ptCount val="2"/>
                <c:pt idx="0">
                  <c:v>0.1</c:v>
                </c:pt>
                <c:pt idx="1">
                  <c:v>0.63661977236758138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9-4F81-9260-2DACCB60631A}"/>
            </c:ext>
          </c:extLst>
        </c:ser>
        <c:ser>
          <c:idx val="4"/>
          <c:order val="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Spectrum!$B$6:$C$6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10</c:v>
                </c:pt>
              </c:numCache>
            </c:numRef>
          </c:xVal>
          <c:yVal>
            <c:numRef>
              <c:f>Spectrum!$D$6:$E$6</c:f>
              <c:numCache>
                <c:formatCode>General</c:formatCode>
                <c:ptCount val="2"/>
                <c:pt idx="0">
                  <c:v>0.1</c:v>
                </c:pt>
                <c:pt idx="1">
                  <c:v>0.79577471545947676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F9-4F81-9260-2DACCB60631A}"/>
            </c:ext>
          </c:extLst>
        </c:ser>
        <c:ser>
          <c:idx val="5"/>
          <c:order val="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Spectrum!$B$7:$C$7</c:f>
              <c:numCache>
                <c:formatCode>General</c:formatCode>
                <c:ptCount val="2"/>
                <c:pt idx="0">
                  <c:v>1.0471975511965979</c:v>
                </c:pt>
                <c:pt idx="1">
                  <c:v>10</c:v>
                </c:pt>
              </c:numCache>
            </c:numRef>
          </c:xVal>
          <c:yVal>
            <c:numRef>
              <c:f>Spectrum!$D$7:$E$7</c:f>
              <c:numCache>
                <c:formatCode>General</c:formatCode>
                <c:ptCount val="2"/>
                <c:pt idx="0">
                  <c:v>0.1</c:v>
                </c:pt>
                <c:pt idx="1">
                  <c:v>0.95492965855137169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F9-4F81-9260-2DACCB60631A}"/>
            </c:ext>
          </c:extLst>
        </c:ser>
        <c:ser>
          <c:idx val="6"/>
          <c:order val="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Spectrum!$B$8:$C$8</c:f>
              <c:numCache>
                <c:formatCode>General</c:formatCode>
                <c:ptCount val="2"/>
                <c:pt idx="0">
                  <c:v>0.89759790102565529</c:v>
                </c:pt>
                <c:pt idx="1">
                  <c:v>10</c:v>
                </c:pt>
              </c:numCache>
            </c:numRef>
          </c:xVal>
          <c:yVal>
            <c:numRef>
              <c:f>Spectrum!$D$8:$E$8</c:f>
              <c:numCache>
                <c:formatCode>General</c:formatCode>
                <c:ptCount val="2"/>
                <c:pt idx="0">
                  <c:v>0.1</c:v>
                </c:pt>
                <c:pt idx="1">
                  <c:v>1.1140846016432673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F9-4F81-9260-2DACCB60631A}"/>
            </c:ext>
          </c:extLst>
        </c:ser>
        <c:ser>
          <c:idx val="7"/>
          <c:order val="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Spectrum!$B$9:$C$9</c:f>
              <c:numCache>
                <c:formatCode>General</c:formatCode>
                <c:ptCount val="2"/>
                <c:pt idx="0">
                  <c:v>0.78539816339744839</c:v>
                </c:pt>
                <c:pt idx="1">
                  <c:v>10</c:v>
                </c:pt>
              </c:numCache>
            </c:numRef>
          </c:xVal>
          <c:yVal>
            <c:numRef>
              <c:f>Spectrum!$D$9:$E$9</c:f>
              <c:numCache>
                <c:formatCode>General</c:formatCode>
                <c:ptCount val="2"/>
                <c:pt idx="0">
                  <c:v>0.1</c:v>
                </c:pt>
                <c:pt idx="1">
                  <c:v>1.2732395447351625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3F9-4F81-9260-2DACCB60631A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Spectrum!$B$10:$C$10</c:f>
              <c:numCache>
                <c:formatCode>General</c:formatCode>
                <c:ptCount val="2"/>
                <c:pt idx="0">
                  <c:v>0.6981317007977319</c:v>
                </c:pt>
                <c:pt idx="1">
                  <c:v>10</c:v>
                </c:pt>
              </c:numCache>
            </c:numRef>
          </c:xVal>
          <c:yVal>
            <c:numRef>
              <c:f>Spectrum!$D$10:$E$10</c:f>
              <c:numCache>
                <c:formatCode>General</c:formatCode>
                <c:ptCount val="2"/>
                <c:pt idx="0">
                  <c:v>0.1</c:v>
                </c:pt>
                <c:pt idx="1">
                  <c:v>1.432394487827058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3F9-4F81-9260-2DACCB60631A}"/>
            </c:ext>
          </c:extLst>
        </c:ser>
        <c:ser>
          <c:idx val="9"/>
          <c:order val="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Spectrum!$B$11:$C$11</c:f>
              <c:numCache>
                <c:formatCode>General</c:formatCode>
                <c:ptCount val="2"/>
                <c:pt idx="0">
                  <c:v>0.62831853071795862</c:v>
                </c:pt>
                <c:pt idx="1">
                  <c:v>10</c:v>
                </c:pt>
              </c:numCache>
            </c:numRef>
          </c:xVal>
          <c:yVal>
            <c:numRef>
              <c:f>Spectrum!$D$11:$E$11</c:f>
              <c:numCache>
                <c:formatCode>General</c:formatCode>
                <c:ptCount val="2"/>
                <c:pt idx="0">
                  <c:v>0.1</c:v>
                </c:pt>
                <c:pt idx="1">
                  <c:v>1.5915494309189535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3F9-4F81-9260-2DACCB60631A}"/>
            </c:ext>
          </c:extLst>
        </c:ser>
        <c:ser>
          <c:idx val="10"/>
          <c:order val="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Spectrum!$B$12:$C$12</c:f>
              <c:numCache>
                <c:formatCode>General</c:formatCode>
                <c:ptCount val="2"/>
                <c:pt idx="0">
                  <c:v>0.31415926535897931</c:v>
                </c:pt>
                <c:pt idx="1">
                  <c:v>10</c:v>
                </c:pt>
              </c:numCache>
            </c:numRef>
          </c:xVal>
          <c:yVal>
            <c:numRef>
              <c:f>Spectrum!$D$12:$E$12</c:f>
              <c:numCache>
                <c:formatCode>General</c:formatCode>
                <c:ptCount val="2"/>
                <c:pt idx="0">
                  <c:v>0.1</c:v>
                </c:pt>
                <c:pt idx="1">
                  <c:v>3.1830988618379066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3F9-4F81-9260-2DACCB60631A}"/>
            </c:ext>
          </c:extLst>
        </c:ser>
        <c:ser>
          <c:idx val="11"/>
          <c:order val="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Spectrum!$B$13:$C$13</c:f>
              <c:numCache>
                <c:formatCode>General</c:formatCode>
                <c:ptCount val="2"/>
                <c:pt idx="0">
                  <c:v>0.20943951023931948</c:v>
                </c:pt>
                <c:pt idx="1">
                  <c:v>10</c:v>
                </c:pt>
              </c:numCache>
            </c:numRef>
          </c:xVal>
          <c:yVal>
            <c:numRef>
              <c:f>Spectrum!$D$13:$E$13</c:f>
              <c:numCache>
                <c:formatCode>General</c:formatCode>
                <c:ptCount val="2"/>
                <c:pt idx="0">
                  <c:v>0.1</c:v>
                </c:pt>
                <c:pt idx="1">
                  <c:v>4.7746482927568614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3F9-4F81-9260-2DACCB60631A}"/>
            </c:ext>
          </c:extLst>
        </c:ser>
        <c:ser>
          <c:idx val="12"/>
          <c:order val="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Spectrum!$B$14:$C$14</c:f>
              <c:numCache>
                <c:formatCode>General</c:formatCode>
                <c:ptCount val="2"/>
                <c:pt idx="0">
                  <c:v>0.15707963267948966</c:v>
                </c:pt>
                <c:pt idx="1">
                  <c:v>10</c:v>
                </c:pt>
              </c:numCache>
            </c:numRef>
          </c:xVal>
          <c:yVal>
            <c:numRef>
              <c:f>Spectrum!$D$14:$E$14</c:f>
              <c:numCache>
                <c:formatCode>General</c:formatCode>
                <c:ptCount val="2"/>
                <c:pt idx="0">
                  <c:v>0.1</c:v>
                </c:pt>
                <c:pt idx="1">
                  <c:v>6.366197723675814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3F9-4F81-9260-2DACCB60631A}"/>
            </c:ext>
          </c:extLst>
        </c:ser>
        <c:ser>
          <c:idx val="13"/>
          <c:order val="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Spectrum!$B$15:$C$15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10</c:v>
                </c:pt>
              </c:numCache>
            </c:numRef>
          </c:xVal>
          <c:yVal>
            <c:numRef>
              <c:f>Spectrum!$D$15:$E$15</c:f>
              <c:numCache>
                <c:formatCode>General</c:formatCode>
                <c:ptCount val="2"/>
                <c:pt idx="0">
                  <c:v>0.1</c:v>
                </c:pt>
                <c:pt idx="1">
                  <c:v>7.9577471545947711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3F9-4F81-9260-2DACCB60631A}"/>
            </c:ext>
          </c:extLst>
        </c:ser>
        <c:ser>
          <c:idx val="14"/>
          <c:order val="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Spectrum!$B$16:$C$16</c:f>
              <c:numCache>
                <c:formatCode>General</c:formatCode>
                <c:ptCount val="2"/>
                <c:pt idx="0">
                  <c:v>0.10471975511965974</c:v>
                </c:pt>
                <c:pt idx="1">
                  <c:v>10</c:v>
                </c:pt>
              </c:numCache>
            </c:numRef>
          </c:xVal>
          <c:yVal>
            <c:numRef>
              <c:f>Spectrum!$D$16:$E$16</c:f>
              <c:numCache>
                <c:formatCode>General</c:formatCode>
                <c:ptCount val="2"/>
                <c:pt idx="0">
                  <c:v>0.1</c:v>
                </c:pt>
                <c:pt idx="1">
                  <c:v>9.5492965855137228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3F9-4F81-9260-2DACCB60631A}"/>
            </c:ext>
          </c:extLst>
        </c:ser>
        <c:ser>
          <c:idx val="15"/>
          <c:order val="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Spectrum!$B$17:$C$17</c:f>
              <c:numCache>
                <c:formatCode>General</c:formatCode>
                <c:ptCount val="2"/>
                <c:pt idx="0">
                  <c:v>8.9759790102565518E-2</c:v>
                </c:pt>
                <c:pt idx="1">
                  <c:v>10</c:v>
                </c:pt>
              </c:numCache>
            </c:numRef>
          </c:xVal>
          <c:yVal>
            <c:numRef>
              <c:f>Spectrum!$D$17:$E$17</c:f>
              <c:numCache>
                <c:formatCode>General</c:formatCode>
                <c:ptCount val="2"/>
                <c:pt idx="0">
                  <c:v>0.1</c:v>
                </c:pt>
                <c:pt idx="1">
                  <c:v>11.140846016432674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3F9-4F81-9260-2DACCB60631A}"/>
            </c:ext>
          </c:extLst>
        </c:ser>
        <c:ser>
          <c:idx val="16"/>
          <c:order val="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Spectrum!$B$18:$C$18</c:f>
              <c:numCache>
                <c:formatCode>General</c:formatCode>
                <c:ptCount val="2"/>
                <c:pt idx="0">
                  <c:v>7.8539816339744856E-2</c:v>
                </c:pt>
                <c:pt idx="1">
                  <c:v>10</c:v>
                </c:pt>
              </c:numCache>
            </c:numRef>
          </c:xVal>
          <c:yVal>
            <c:numRef>
              <c:f>Spectrum!$D$18:$E$18</c:f>
              <c:numCache>
                <c:formatCode>General</c:formatCode>
                <c:ptCount val="2"/>
                <c:pt idx="0">
                  <c:v>0.1</c:v>
                </c:pt>
                <c:pt idx="1">
                  <c:v>12.732395447351623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3F9-4F81-9260-2DACCB60631A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Spectrum!$B$19:$C$19</c:f>
              <c:numCache>
                <c:formatCode>General</c:formatCode>
                <c:ptCount val="2"/>
                <c:pt idx="0">
                  <c:v>6.9813170079773168E-2</c:v>
                </c:pt>
                <c:pt idx="1">
                  <c:v>10</c:v>
                </c:pt>
              </c:numCache>
            </c:numRef>
          </c:xVal>
          <c:yVal>
            <c:numRef>
              <c:f>Spectrum!$D$19:$E$19</c:f>
              <c:numCache>
                <c:formatCode>General</c:formatCode>
                <c:ptCount val="2"/>
                <c:pt idx="0">
                  <c:v>0.1</c:v>
                </c:pt>
                <c:pt idx="1">
                  <c:v>14.323944878270582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3F9-4F81-9260-2DACCB60631A}"/>
            </c:ext>
          </c:extLst>
        </c:ser>
        <c:ser>
          <c:idx val="18"/>
          <c:order val="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Spectrum!$B$20:$C$20</c:f>
              <c:numCache>
                <c:formatCode>General</c:formatCode>
                <c:ptCount val="2"/>
                <c:pt idx="0">
                  <c:v>6.2831853071795826E-2</c:v>
                </c:pt>
                <c:pt idx="1">
                  <c:v>10</c:v>
                </c:pt>
              </c:numCache>
            </c:numRef>
          </c:xVal>
          <c:yVal>
            <c:numRef>
              <c:f>Spectrum!$D$20:$E$20</c:f>
              <c:numCache>
                <c:formatCode>General</c:formatCode>
                <c:ptCount val="2"/>
                <c:pt idx="0">
                  <c:v>0.1</c:v>
                </c:pt>
                <c:pt idx="1">
                  <c:v>15.915494309189542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3F9-4F81-9260-2DACCB60631A}"/>
            </c:ext>
          </c:extLst>
        </c:ser>
        <c:ser>
          <c:idx val="19"/>
          <c:order val="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Spectrum!$B$21:$C$21</c:f>
              <c:numCache>
                <c:formatCode>General</c:formatCode>
                <c:ptCount val="2"/>
                <c:pt idx="0">
                  <c:v>3.1415926535897913E-2</c:v>
                </c:pt>
                <c:pt idx="1">
                  <c:v>10</c:v>
                </c:pt>
              </c:numCache>
            </c:numRef>
          </c:xVal>
          <c:yVal>
            <c:numRef>
              <c:f>Spectrum!$D$21:$E$21</c:f>
              <c:numCache>
                <c:formatCode>General</c:formatCode>
                <c:ptCount val="2"/>
                <c:pt idx="0">
                  <c:v>0.1</c:v>
                </c:pt>
                <c:pt idx="1">
                  <c:v>31.830988618379088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3F9-4F81-9260-2DACCB60631A}"/>
            </c:ext>
          </c:extLst>
        </c:ser>
        <c:ser>
          <c:idx val="20"/>
          <c:order val="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Spectrum!$B$22:$C$22</c:f>
              <c:numCache>
                <c:formatCode>General</c:formatCode>
                <c:ptCount val="2"/>
                <c:pt idx="0">
                  <c:v>2.0943951023931956E-2</c:v>
                </c:pt>
                <c:pt idx="1">
                  <c:v>10</c:v>
                </c:pt>
              </c:numCache>
            </c:numRef>
          </c:xVal>
          <c:yVal>
            <c:numRef>
              <c:f>Spectrum!$D$22:$E$22</c:f>
              <c:numCache>
                <c:formatCode>General</c:formatCode>
                <c:ptCount val="2"/>
                <c:pt idx="0">
                  <c:v>0.1</c:v>
                </c:pt>
                <c:pt idx="1">
                  <c:v>47.7464829275686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3F9-4F81-9260-2DACCB60631A}"/>
            </c:ext>
          </c:extLst>
        </c:ser>
        <c:ser>
          <c:idx val="21"/>
          <c:order val="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Spectrum!$B$23:$C$23</c:f>
              <c:numCache>
                <c:formatCode>General</c:formatCode>
                <c:ptCount val="2"/>
                <c:pt idx="0">
                  <c:v>1.5707963267948967E-2</c:v>
                </c:pt>
                <c:pt idx="1">
                  <c:v>10</c:v>
                </c:pt>
              </c:numCache>
            </c:numRef>
          </c:xVal>
          <c:yVal>
            <c:numRef>
              <c:f>Spectrum!$D$23:$E$23</c:f>
              <c:numCache>
                <c:formatCode>General</c:formatCode>
                <c:ptCount val="2"/>
                <c:pt idx="0">
                  <c:v>0.1</c:v>
                </c:pt>
                <c:pt idx="1">
                  <c:v>63.661977236758126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3F9-4F81-9260-2DACCB60631A}"/>
            </c:ext>
          </c:extLst>
        </c:ser>
        <c:ser>
          <c:idx val="22"/>
          <c:order val="2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Spectrum!$B$24:$C$24</c:f>
              <c:numCache>
                <c:formatCode>General</c:formatCode>
                <c:ptCount val="2"/>
                <c:pt idx="0">
                  <c:v>1.2566370614359163E-2</c:v>
                </c:pt>
                <c:pt idx="1">
                  <c:v>10</c:v>
                </c:pt>
              </c:numCache>
            </c:numRef>
          </c:xVal>
          <c:yVal>
            <c:numRef>
              <c:f>Spectrum!$D$24:$E$24</c:f>
              <c:numCache>
                <c:formatCode>General</c:formatCode>
                <c:ptCount val="2"/>
                <c:pt idx="0">
                  <c:v>0.1</c:v>
                </c:pt>
                <c:pt idx="1">
                  <c:v>79.577471545947731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3F9-4F81-9260-2DACCB60631A}"/>
            </c:ext>
          </c:extLst>
        </c:ser>
        <c:ser>
          <c:idx val="23"/>
          <c:order val="2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Spectrum!$B$25:$C$25</c:f>
              <c:numCache>
                <c:formatCode>General</c:formatCode>
                <c:ptCount val="2"/>
                <c:pt idx="0">
                  <c:v>1.0471975511965976E-2</c:v>
                </c:pt>
                <c:pt idx="1">
                  <c:v>10</c:v>
                </c:pt>
              </c:numCache>
            </c:numRef>
          </c:xVal>
          <c:yVal>
            <c:numRef>
              <c:f>Spectrum!$D$25:$E$25</c:f>
              <c:numCache>
                <c:formatCode>General</c:formatCode>
                <c:ptCount val="2"/>
                <c:pt idx="0">
                  <c:v>0.1</c:v>
                </c:pt>
                <c:pt idx="1">
                  <c:v>95.492965855137214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3F9-4F81-9260-2DACCB60631A}"/>
            </c:ext>
          </c:extLst>
        </c:ser>
        <c:ser>
          <c:idx val="24"/>
          <c:order val="2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Spectrum!$B$26:$C$26</c:f>
              <c:numCache>
                <c:formatCode>General</c:formatCode>
                <c:ptCount val="2"/>
                <c:pt idx="0">
                  <c:v>8.9759790102565459E-3</c:v>
                </c:pt>
                <c:pt idx="1">
                  <c:v>10</c:v>
                </c:pt>
              </c:numCache>
            </c:numRef>
          </c:xVal>
          <c:yVal>
            <c:numRef>
              <c:f>Spectrum!$D$26:$E$26</c:f>
              <c:numCache>
                <c:formatCode>General</c:formatCode>
                <c:ptCount val="2"/>
                <c:pt idx="0">
                  <c:v>0.1</c:v>
                </c:pt>
                <c:pt idx="1">
                  <c:v>111.40846016432681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3F9-4F81-9260-2DACCB60631A}"/>
            </c:ext>
          </c:extLst>
        </c:ser>
        <c:ser>
          <c:idx val="25"/>
          <c:order val="2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Spectrum!$B$27:$C$27</c:f>
              <c:numCache>
                <c:formatCode>General</c:formatCode>
                <c:ptCount val="2"/>
                <c:pt idx="0">
                  <c:v>7.8539816339744835E-3</c:v>
                </c:pt>
                <c:pt idx="1">
                  <c:v>10</c:v>
                </c:pt>
              </c:numCache>
            </c:numRef>
          </c:xVal>
          <c:yVal>
            <c:numRef>
              <c:f>Spectrum!$D$27:$E$27</c:f>
              <c:numCache>
                <c:formatCode>General</c:formatCode>
                <c:ptCount val="2"/>
                <c:pt idx="0">
                  <c:v>0.1</c:v>
                </c:pt>
                <c:pt idx="1">
                  <c:v>127.32395447351627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3F9-4F81-9260-2DACCB60631A}"/>
            </c:ext>
          </c:extLst>
        </c:ser>
        <c:ser>
          <c:idx val="26"/>
          <c:order val="2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Spectrum!$B$28:$C$28</c:f>
              <c:numCache>
                <c:formatCode>General</c:formatCode>
                <c:ptCount val="2"/>
                <c:pt idx="0">
                  <c:v>6.9813170079773166E-3</c:v>
                </c:pt>
                <c:pt idx="1">
                  <c:v>10</c:v>
                </c:pt>
              </c:numCache>
            </c:numRef>
          </c:xVal>
          <c:yVal>
            <c:numRef>
              <c:f>Spectrum!$D$28:$E$28</c:f>
              <c:numCache>
                <c:formatCode>General</c:formatCode>
                <c:ptCount val="2"/>
                <c:pt idx="0">
                  <c:v>0.1</c:v>
                </c:pt>
                <c:pt idx="1">
                  <c:v>143.23944878270584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3F9-4F81-9260-2DACCB60631A}"/>
            </c:ext>
          </c:extLst>
        </c:ser>
        <c:ser>
          <c:idx val="27"/>
          <c:order val="2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Spectrum!$B$29:$C$29</c:f>
              <c:numCache>
                <c:formatCode>General</c:formatCode>
                <c:ptCount val="2"/>
                <c:pt idx="0">
                  <c:v>6.2831853071795814E-3</c:v>
                </c:pt>
                <c:pt idx="1">
                  <c:v>10</c:v>
                </c:pt>
              </c:numCache>
            </c:numRef>
          </c:xVal>
          <c:yVal>
            <c:numRef>
              <c:f>Spectrum!$D$29:$E$29</c:f>
              <c:numCache>
                <c:formatCode>General</c:formatCode>
                <c:ptCount val="2"/>
                <c:pt idx="0">
                  <c:v>0.1</c:v>
                </c:pt>
                <c:pt idx="1">
                  <c:v>159.15494309189546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3F9-4F81-9260-2DACCB60631A}"/>
            </c:ext>
          </c:extLst>
        </c:ser>
        <c:ser>
          <c:idx val="28"/>
          <c:order val="2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Spectrum!$B$30:$C$30</c:f>
              <c:numCache>
                <c:formatCode>General</c:formatCode>
                <c:ptCount val="2"/>
                <c:pt idx="0">
                  <c:v>3.1415926535897903E-3</c:v>
                </c:pt>
                <c:pt idx="1">
                  <c:v>10</c:v>
                </c:pt>
              </c:numCache>
            </c:numRef>
          </c:xVal>
          <c:yVal>
            <c:numRef>
              <c:f>Spectrum!$D$30:$E$30</c:f>
              <c:numCache>
                <c:formatCode>General</c:formatCode>
                <c:ptCount val="2"/>
                <c:pt idx="0">
                  <c:v>0.1</c:v>
                </c:pt>
                <c:pt idx="1">
                  <c:v>318.30988618379098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3F9-4F81-9260-2DACCB60631A}"/>
            </c:ext>
          </c:extLst>
        </c:ser>
        <c:ser>
          <c:idx val="29"/>
          <c:order val="2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Spectrum!$B$31:$C$31</c:f>
              <c:numCache>
                <c:formatCode>General</c:formatCode>
                <c:ptCount val="2"/>
                <c:pt idx="0">
                  <c:v>2.0943951023931931E-3</c:v>
                </c:pt>
                <c:pt idx="1">
                  <c:v>10</c:v>
                </c:pt>
              </c:numCache>
            </c:numRef>
          </c:xVal>
          <c:yVal>
            <c:numRef>
              <c:f>Spectrum!$D$31:$E$31</c:f>
              <c:numCache>
                <c:formatCode>General</c:formatCode>
                <c:ptCount val="2"/>
                <c:pt idx="0">
                  <c:v>0.1</c:v>
                </c:pt>
                <c:pt idx="1">
                  <c:v>477.46482927568655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3F9-4F81-9260-2DACCB60631A}"/>
            </c:ext>
          </c:extLst>
        </c:ser>
        <c:ser>
          <c:idx val="30"/>
          <c:order val="3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Spectrum!$B$32:$C$32</c:f>
              <c:numCache>
                <c:formatCode>General</c:formatCode>
                <c:ptCount val="2"/>
                <c:pt idx="0">
                  <c:v>1.5707963267948951E-3</c:v>
                </c:pt>
                <c:pt idx="1">
                  <c:v>10</c:v>
                </c:pt>
              </c:numCache>
            </c:numRef>
          </c:xVal>
          <c:yVal>
            <c:numRef>
              <c:f>Spectrum!$D$32:$E$32</c:f>
              <c:numCache>
                <c:formatCode>General</c:formatCode>
                <c:ptCount val="2"/>
                <c:pt idx="0">
                  <c:v>0.1</c:v>
                </c:pt>
                <c:pt idx="1">
                  <c:v>636.61977236758196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3F9-4F81-9260-2DACCB60631A}"/>
            </c:ext>
          </c:extLst>
        </c:ser>
        <c:ser>
          <c:idx val="31"/>
          <c:order val="3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Spectrum!$B$33:$C$33</c:f>
              <c:numCache>
                <c:formatCode>General</c:formatCode>
                <c:ptCount val="2"/>
                <c:pt idx="0">
                  <c:v>1.2566370614359162E-3</c:v>
                </c:pt>
                <c:pt idx="1">
                  <c:v>10</c:v>
                </c:pt>
              </c:numCache>
            </c:numRef>
          </c:xVal>
          <c:yVal>
            <c:numRef>
              <c:f>Spectrum!$D$33:$E$33</c:f>
              <c:numCache>
                <c:formatCode>General</c:formatCode>
                <c:ptCount val="2"/>
                <c:pt idx="0">
                  <c:v>0.1</c:v>
                </c:pt>
                <c:pt idx="1">
                  <c:v>795.77471545947742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3F9-4F81-9260-2DACCB60631A}"/>
            </c:ext>
          </c:extLst>
        </c:ser>
        <c:ser>
          <c:idx val="32"/>
          <c:order val="3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Spectrum!$B$34:$C$34</c:f>
              <c:numCache>
                <c:formatCode>General</c:formatCode>
                <c:ptCount val="2"/>
                <c:pt idx="0">
                  <c:v>1.0471975511965974E-3</c:v>
                </c:pt>
                <c:pt idx="1">
                  <c:v>10</c:v>
                </c:pt>
              </c:numCache>
            </c:numRef>
          </c:xVal>
          <c:yVal>
            <c:numRef>
              <c:f>Spectrum!$D$34:$E$34</c:f>
              <c:numCache>
                <c:formatCode>General</c:formatCode>
                <c:ptCount val="2"/>
                <c:pt idx="0">
                  <c:v>0.1</c:v>
                </c:pt>
                <c:pt idx="1">
                  <c:v>954.92965855137231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3F9-4F81-9260-2DACCB60631A}"/>
            </c:ext>
          </c:extLst>
        </c:ser>
        <c:ser>
          <c:idx val="33"/>
          <c:order val="3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Spectrum!$B$35:$C$35</c:f>
              <c:numCache>
                <c:formatCode>General</c:formatCode>
                <c:ptCount val="2"/>
                <c:pt idx="0">
                  <c:v>8.9759790102565446E-4</c:v>
                </c:pt>
                <c:pt idx="1">
                  <c:v>10</c:v>
                </c:pt>
              </c:numCache>
            </c:numRef>
          </c:xVal>
          <c:yVal>
            <c:numRef>
              <c:f>Spectrum!$D$35:$E$35</c:f>
              <c:numCache>
                <c:formatCode>General</c:formatCode>
                <c:ptCount val="2"/>
                <c:pt idx="0">
                  <c:v>0.1</c:v>
                </c:pt>
                <c:pt idx="1">
                  <c:v>1114.0846016432683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3F9-4F81-9260-2DACCB60631A}"/>
            </c:ext>
          </c:extLst>
        </c:ser>
        <c:ser>
          <c:idx val="34"/>
          <c:order val="3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Spectrum!$B$36:$C$36</c:f>
              <c:numCache>
                <c:formatCode>General</c:formatCode>
                <c:ptCount val="2"/>
                <c:pt idx="0">
                  <c:v>7.8539816339744746E-4</c:v>
                </c:pt>
                <c:pt idx="1">
                  <c:v>10</c:v>
                </c:pt>
              </c:numCache>
            </c:numRef>
          </c:xVal>
          <c:yVal>
            <c:numRef>
              <c:f>Spectrum!$D$36:$E$36</c:f>
              <c:numCache>
                <c:formatCode>General</c:formatCode>
                <c:ptCount val="2"/>
                <c:pt idx="0">
                  <c:v>0.1</c:v>
                </c:pt>
                <c:pt idx="1">
                  <c:v>1273.2395447351641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3F9-4F81-9260-2DACCB60631A}"/>
            </c:ext>
          </c:extLst>
        </c:ser>
        <c:ser>
          <c:idx val="35"/>
          <c:order val="3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Spectrum!$B$37:$C$37</c:f>
              <c:numCache>
                <c:formatCode>General</c:formatCode>
                <c:ptCount val="2"/>
                <c:pt idx="0">
                  <c:v>6.9813170079773142E-4</c:v>
                </c:pt>
                <c:pt idx="1">
                  <c:v>10</c:v>
                </c:pt>
              </c:numCache>
            </c:numRef>
          </c:xVal>
          <c:yVal>
            <c:numRef>
              <c:f>Spectrum!$D$37:$E$37</c:f>
              <c:numCache>
                <c:formatCode>General</c:formatCode>
                <c:ptCount val="2"/>
                <c:pt idx="0">
                  <c:v>0.1</c:v>
                </c:pt>
                <c:pt idx="1">
                  <c:v>1432.3944878270588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3F9-4F81-9260-2DACCB60631A}"/>
            </c:ext>
          </c:extLst>
        </c:ser>
        <c:ser>
          <c:idx val="36"/>
          <c:order val="3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Spectrum!$B$38:$C$38</c:f>
              <c:numCache>
                <c:formatCode>General</c:formatCode>
                <c:ptCount val="2"/>
                <c:pt idx="0">
                  <c:v>6.2831853071795797E-4</c:v>
                </c:pt>
                <c:pt idx="1">
                  <c:v>10</c:v>
                </c:pt>
              </c:numCache>
            </c:numRef>
          </c:xVal>
          <c:yVal>
            <c:numRef>
              <c:f>Spectrum!$D$38:$E$38</c:f>
              <c:numCache>
                <c:formatCode>General</c:formatCode>
                <c:ptCount val="2"/>
                <c:pt idx="0">
                  <c:v>0.1</c:v>
                </c:pt>
                <c:pt idx="1">
                  <c:v>1591.5494309189551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3F9-4F81-9260-2DACCB60631A}"/>
            </c:ext>
          </c:extLst>
        </c:ser>
        <c:ser>
          <c:idx val="37"/>
          <c:order val="3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Spectrum!$B$39:$C$39</c:f>
              <c:numCache>
                <c:formatCode>General</c:formatCode>
                <c:ptCount val="2"/>
                <c:pt idx="0">
                  <c:v>3.1415926535897871E-4</c:v>
                </c:pt>
                <c:pt idx="1">
                  <c:v>10</c:v>
                </c:pt>
              </c:numCache>
            </c:numRef>
          </c:xVal>
          <c:yVal>
            <c:numRef>
              <c:f>Spectrum!$D$39:$E$39</c:f>
              <c:numCache>
                <c:formatCode>General</c:formatCode>
                <c:ptCount val="2"/>
                <c:pt idx="0">
                  <c:v>0.1</c:v>
                </c:pt>
                <c:pt idx="1">
                  <c:v>3183.0988618379129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3F9-4F81-9260-2DACCB60631A}"/>
            </c:ext>
          </c:extLst>
        </c:ser>
        <c:ser>
          <c:idx val="38"/>
          <c:order val="3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Spectrum!$B$40:$C$40</c:f>
              <c:numCache>
                <c:formatCode>General</c:formatCode>
                <c:ptCount val="2"/>
                <c:pt idx="0">
                  <c:v>2.0943951023931926E-4</c:v>
                </c:pt>
                <c:pt idx="1">
                  <c:v>10</c:v>
                </c:pt>
              </c:numCache>
            </c:numRef>
          </c:xVal>
          <c:yVal>
            <c:numRef>
              <c:f>Spectrum!$D$40:$E$40</c:f>
              <c:numCache>
                <c:formatCode>General</c:formatCode>
                <c:ptCount val="2"/>
                <c:pt idx="0">
                  <c:v>0.1</c:v>
                </c:pt>
                <c:pt idx="1">
                  <c:v>4774.6482927568668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3F9-4F81-9260-2DACCB60631A}"/>
            </c:ext>
          </c:extLst>
        </c:ser>
        <c:ser>
          <c:idx val="39"/>
          <c:order val="3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Spectrum!$B$41:$C$41</c:f>
              <c:numCache>
                <c:formatCode>General</c:formatCode>
                <c:ptCount val="2"/>
                <c:pt idx="0">
                  <c:v>1.5707963267948933E-4</c:v>
                </c:pt>
                <c:pt idx="1">
                  <c:v>10</c:v>
                </c:pt>
              </c:numCache>
            </c:numRef>
          </c:xVal>
          <c:yVal>
            <c:numRef>
              <c:f>Spectrum!$D$41:$E$41</c:f>
              <c:numCache>
                <c:formatCode>General</c:formatCode>
                <c:ptCount val="2"/>
                <c:pt idx="0">
                  <c:v>0.1</c:v>
                </c:pt>
                <c:pt idx="1">
                  <c:v>6366.1977236758266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3F9-4F81-9260-2DACCB60631A}"/>
            </c:ext>
          </c:extLst>
        </c:ser>
        <c:ser>
          <c:idx val="40"/>
          <c:order val="4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Spectrum!$B$42:$C$42</c:f>
              <c:numCache>
                <c:formatCode>General</c:formatCode>
                <c:ptCount val="2"/>
                <c:pt idx="0">
                  <c:v>1.256637061435916E-4</c:v>
                </c:pt>
                <c:pt idx="1">
                  <c:v>10</c:v>
                </c:pt>
              </c:numCache>
            </c:numRef>
          </c:xVal>
          <c:yVal>
            <c:numRef>
              <c:f>Spectrum!$D$42:$E$42</c:f>
              <c:numCache>
                <c:formatCode>General</c:formatCode>
                <c:ptCount val="2"/>
                <c:pt idx="0">
                  <c:v>0.1</c:v>
                </c:pt>
                <c:pt idx="1">
                  <c:v>7957.7471545947756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3F9-4F81-9260-2DACCB60631A}"/>
            </c:ext>
          </c:extLst>
        </c:ser>
        <c:ser>
          <c:idx val="41"/>
          <c:order val="4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Spectrum!$B$43:$C$43</c:f>
              <c:numCache>
                <c:formatCode>General</c:formatCode>
                <c:ptCount val="2"/>
                <c:pt idx="0">
                  <c:v>1.0471975511965963E-4</c:v>
                </c:pt>
                <c:pt idx="1">
                  <c:v>10</c:v>
                </c:pt>
              </c:numCache>
            </c:numRef>
          </c:xVal>
          <c:yVal>
            <c:numRef>
              <c:f>Spectrum!$D$43:$E$43</c:f>
              <c:numCache>
                <c:formatCode>General</c:formatCode>
                <c:ptCount val="2"/>
                <c:pt idx="0">
                  <c:v>0.1</c:v>
                </c:pt>
                <c:pt idx="1">
                  <c:v>9549.2965855137336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3F9-4F81-9260-2DACCB60631A}"/>
            </c:ext>
          </c:extLst>
        </c:ser>
        <c:ser>
          <c:idx val="42"/>
          <c:order val="4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Spectrum!$B$44:$C$44</c:f>
              <c:numCache>
                <c:formatCode>General</c:formatCode>
                <c:ptCount val="2"/>
                <c:pt idx="0">
                  <c:v>8.9759790102565492E-5</c:v>
                </c:pt>
                <c:pt idx="1">
                  <c:v>10</c:v>
                </c:pt>
              </c:numCache>
            </c:numRef>
          </c:xVal>
          <c:yVal>
            <c:numRef>
              <c:f>Spectrum!$D$44:$E$44</c:f>
              <c:numCache>
                <c:formatCode>General</c:formatCode>
                <c:ptCount val="2"/>
                <c:pt idx="0">
                  <c:v>0.1</c:v>
                </c:pt>
                <c:pt idx="1">
                  <c:v>11140.846016432677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93F9-4F81-9260-2DACCB60631A}"/>
            </c:ext>
          </c:extLst>
        </c:ser>
        <c:ser>
          <c:idx val="43"/>
          <c:order val="4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Spectrum!$B$45:$C$45</c:f>
              <c:numCache>
                <c:formatCode>General</c:formatCode>
                <c:ptCount val="2"/>
                <c:pt idx="0">
                  <c:v>7.85398163397448E-5</c:v>
                </c:pt>
                <c:pt idx="1">
                  <c:v>10</c:v>
                </c:pt>
              </c:numCache>
            </c:numRef>
          </c:xVal>
          <c:yVal>
            <c:numRef>
              <c:f>Spectrum!$D$45:$E$45</c:f>
              <c:numCache>
                <c:formatCode>General</c:formatCode>
                <c:ptCount val="2"/>
                <c:pt idx="0">
                  <c:v>0.1</c:v>
                </c:pt>
                <c:pt idx="1">
                  <c:v>12732.395447351631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93F9-4F81-9260-2DACCB60631A}"/>
            </c:ext>
          </c:extLst>
        </c:ser>
        <c:ser>
          <c:idx val="44"/>
          <c:order val="4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Spectrum!$B$46:$C$46</c:f>
              <c:numCache>
                <c:formatCode>General</c:formatCode>
                <c:ptCount val="2"/>
                <c:pt idx="0">
                  <c:v>6.9813170079773132E-5</c:v>
                </c:pt>
                <c:pt idx="1">
                  <c:v>10</c:v>
                </c:pt>
              </c:numCache>
            </c:numRef>
          </c:xVal>
          <c:yVal>
            <c:numRef>
              <c:f>Spectrum!$D$46:$E$46</c:f>
              <c:numCache>
                <c:formatCode>General</c:formatCode>
                <c:ptCount val="2"/>
                <c:pt idx="0">
                  <c:v>0.1</c:v>
                </c:pt>
                <c:pt idx="1">
                  <c:v>14323.944878270591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93F9-4F81-9260-2DACCB60631A}"/>
            </c:ext>
          </c:extLst>
        </c:ser>
        <c:ser>
          <c:idx val="45"/>
          <c:order val="4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Spectrum!$B$47:$C$47</c:f>
              <c:numCache>
                <c:formatCode>General</c:formatCode>
                <c:ptCount val="2"/>
                <c:pt idx="0">
                  <c:v>6.2831853071795897E-5</c:v>
                </c:pt>
                <c:pt idx="1">
                  <c:v>10</c:v>
                </c:pt>
              </c:numCache>
            </c:numRef>
          </c:xVal>
          <c:yVal>
            <c:numRef>
              <c:f>Spectrum!$D$47:$E$47</c:f>
              <c:numCache>
                <c:formatCode>General</c:formatCode>
                <c:ptCount val="2"/>
                <c:pt idx="0">
                  <c:v>0.1</c:v>
                </c:pt>
                <c:pt idx="1">
                  <c:v>15915.494309189526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93F9-4F81-9260-2DACCB60631A}"/>
            </c:ext>
          </c:extLst>
        </c:ser>
        <c:ser>
          <c:idx val="46"/>
          <c:order val="4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Spectrum!$B$48:$C$48</c:f>
              <c:numCache>
                <c:formatCode>General</c:formatCode>
                <c:ptCount val="2"/>
                <c:pt idx="0">
                  <c:v>3.1415926535897949E-5</c:v>
                </c:pt>
                <c:pt idx="1">
                  <c:v>10</c:v>
                </c:pt>
              </c:numCache>
            </c:numRef>
          </c:xVal>
          <c:yVal>
            <c:numRef>
              <c:f>Spectrum!$D$48:$E$48</c:f>
              <c:numCache>
                <c:formatCode>General</c:formatCode>
                <c:ptCount val="2"/>
                <c:pt idx="0">
                  <c:v>0.1</c:v>
                </c:pt>
                <c:pt idx="1">
                  <c:v>31830.988618379051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93F9-4F81-9260-2DACCB60631A}"/>
            </c:ext>
          </c:extLst>
        </c:ser>
        <c:ser>
          <c:idx val="47"/>
          <c:order val="4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Spectrum!$B$49:$C$49</c:f>
              <c:numCache>
                <c:formatCode>General</c:formatCode>
                <c:ptCount val="2"/>
                <c:pt idx="0">
                  <c:v>2.0943951023931941E-5</c:v>
                </c:pt>
                <c:pt idx="1">
                  <c:v>10</c:v>
                </c:pt>
              </c:numCache>
            </c:numRef>
          </c:xVal>
          <c:yVal>
            <c:numRef>
              <c:f>Spectrum!$D$49:$E$49</c:f>
              <c:numCache>
                <c:formatCode>General</c:formatCode>
                <c:ptCount val="2"/>
                <c:pt idx="0">
                  <c:v>0.1</c:v>
                </c:pt>
                <c:pt idx="1">
                  <c:v>47746.482927568635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93F9-4F81-9260-2DACCB60631A}"/>
            </c:ext>
          </c:extLst>
        </c:ser>
        <c:ser>
          <c:idx val="48"/>
          <c:order val="4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Spectrum!$B$50:$C$50</c:f>
              <c:numCache>
                <c:formatCode>General</c:formatCode>
                <c:ptCount val="2"/>
                <c:pt idx="0">
                  <c:v>1.5707963267948944E-5</c:v>
                </c:pt>
                <c:pt idx="1">
                  <c:v>10</c:v>
                </c:pt>
              </c:numCache>
            </c:numRef>
          </c:xVal>
          <c:yVal>
            <c:numRef>
              <c:f>Spectrum!$D$50:$E$50</c:f>
              <c:numCache>
                <c:formatCode>General</c:formatCode>
                <c:ptCount val="2"/>
                <c:pt idx="0">
                  <c:v>0.1</c:v>
                </c:pt>
                <c:pt idx="1">
                  <c:v>63661.977236758226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93F9-4F81-9260-2DACCB60631A}"/>
            </c:ext>
          </c:extLst>
        </c:ser>
        <c:ser>
          <c:idx val="49"/>
          <c:order val="4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Spectrum!$B$51:$C$51</c:f>
              <c:numCache>
                <c:formatCode>General</c:formatCode>
                <c:ptCount val="2"/>
                <c:pt idx="0">
                  <c:v>1.2566370614359168E-5</c:v>
                </c:pt>
                <c:pt idx="1">
                  <c:v>10</c:v>
                </c:pt>
              </c:numCache>
            </c:numRef>
          </c:xVal>
          <c:yVal>
            <c:numRef>
              <c:f>Spectrum!$D$51:$E$51</c:f>
              <c:numCache>
                <c:formatCode>General</c:formatCode>
                <c:ptCount val="2"/>
                <c:pt idx="0">
                  <c:v>0.1</c:v>
                </c:pt>
                <c:pt idx="1">
                  <c:v>79577.471545947701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93F9-4F81-9260-2DACCB60631A}"/>
            </c:ext>
          </c:extLst>
        </c:ser>
        <c:ser>
          <c:idx val="50"/>
          <c:order val="5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Spectrum!$B$52:$C$52</c:f>
              <c:numCache>
                <c:formatCode>General</c:formatCode>
                <c:ptCount val="2"/>
                <c:pt idx="0">
                  <c:v>1.047197551196597E-5</c:v>
                </c:pt>
                <c:pt idx="1">
                  <c:v>10</c:v>
                </c:pt>
              </c:numCache>
            </c:numRef>
          </c:xVal>
          <c:yVal>
            <c:numRef>
              <c:f>Spectrum!$D$52:$E$52</c:f>
              <c:numCache>
                <c:formatCode>General</c:formatCode>
                <c:ptCount val="2"/>
                <c:pt idx="0">
                  <c:v>0.1</c:v>
                </c:pt>
                <c:pt idx="1">
                  <c:v>95492.96585513727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93F9-4F81-9260-2DACCB60631A}"/>
            </c:ext>
          </c:extLst>
        </c:ser>
        <c:ser>
          <c:idx val="51"/>
          <c:order val="5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Spectrum!$B$53:$C$53</c:f>
              <c:numCache>
                <c:formatCode>General</c:formatCode>
                <c:ptCount val="2"/>
                <c:pt idx="0">
                  <c:v>8.97597901025654E-6</c:v>
                </c:pt>
                <c:pt idx="1">
                  <c:v>10</c:v>
                </c:pt>
              </c:numCache>
            </c:numRef>
          </c:xVal>
          <c:yVal>
            <c:numRef>
              <c:f>Spectrum!$D$53:$E$53</c:f>
              <c:numCache>
                <c:formatCode>General</c:formatCode>
                <c:ptCount val="2"/>
                <c:pt idx="0">
                  <c:v>0.1</c:v>
                </c:pt>
                <c:pt idx="1">
                  <c:v>111408.46016432688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93F9-4F81-9260-2DACCB60631A}"/>
            </c:ext>
          </c:extLst>
        </c:ser>
        <c:ser>
          <c:idx val="52"/>
          <c:order val="5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Spectrum!$B$54:$C$54</c:f>
              <c:numCache>
                <c:formatCode>General</c:formatCode>
                <c:ptCount val="2"/>
                <c:pt idx="0">
                  <c:v>7.8539816339744719E-6</c:v>
                </c:pt>
                <c:pt idx="1">
                  <c:v>10</c:v>
                </c:pt>
              </c:numCache>
            </c:numRef>
          </c:xVal>
          <c:yVal>
            <c:numRef>
              <c:f>Spectrum!$D$54:$E$54</c:f>
              <c:numCache>
                <c:formatCode>General</c:formatCode>
                <c:ptCount val="2"/>
                <c:pt idx="0">
                  <c:v>0.1</c:v>
                </c:pt>
                <c:pt idx="1">
                  <c:v>127323.95447351645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93F9-4F81-9260-2DACCB60631A}"/>
            </c:ext>
          </c:extLst>
        </c:ser>
        <c:ser>
          <c:idx val="53"/>
          <c:order val="5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Spectrum!$B$55:$C$55</c:f>
              <c:numCache>
                <c:formatCode>General</c:formatCode>
                <c:ptCount val="2"/>
                <c:pt idx="0">
                  <c:v>6.9813170079773049E-6</c:v>
                </c:pt>
                <c:pt idx="1">
                  <c:v>10</c:v>
                </c:pt>
              </c:numCache>
            </c:numRef>
          </c:xVal>
          <c:yVal>
            <c:numRef>
              <c:f>Spectrum!$D$55:$E$55</c:f>
              <c:numCache>
                <c:formatCode>General</c:formatCode>
                <c:ptCount val="2"/>
                <c:pt idx="0">
                  <c:v>0.1</c:v>
                </c:pt>
                <c:pt idx="1">
                  <c:v>143239.44878270608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93F9-4F81-9260-2DACCB60631A}"/>
            </c:ext>
          </c:extLst>
        </c:ser>
        <c:ser>
          <c:idx val="54"/>
          <c:order val="5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Spectrum!$B$56:$C$56</c:f>
              <c:numCache>
                <c:formatCode>General</c:formatCode>
                <c:ptCount val="2"/>
                <c:pt idx="0">
                  <c:v>6.2831853071795824E-6</c:v>
                </c:pt>
                <c:pt idx="1">
                  <c:v>10</c:v>
                </c:pt>
              </c:numCache>
            </c:numRef>
          </c:xVal>
          <c:yVal>
            <c:numRef>
              <c:f>Spectrum!$D$56:$E$56</c:f>
              <c:numCache>
                <c:formatCode>General</c:formatCode>
                <c:ptCount val="2"/>
                <c:pt idx="0">
                  <c:v>0.1</c:v>
                </c:pt>
                <c:pt idx="1">
                  <c:v>159154.94309189543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93F9-4F81-9260-2DACCB60631A}"/>
            </c:ext>
          </c:extLst>
        </c:ser>
        <c:ser>
          <c:idx val="55"/>
          <c:order val="5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Spectrum!$B$57:$C$57</c:f>
              <c:numCache>
                <c:formatCode>General</c:formatCode>
                <c:ptCount val="2"/>
                <c:pt idx="0">
                  <c:v>3.1415926535897912E-6</c:v>
                </c:pt>
                <c:pt idx="1">
                  <c:v>10</c:v>
                </c:pt>
              </c:numCache>
            </c:numRef>
          </c:xVal>
          <c:yVal>
            <c:numRef>
              <c:f>Spectrum!$D$57:$E$57</c:f>
              <c:numCache>
                <c:formatCode>General</c:formatCode>
                <c:ptCount val="2"/>
                <c:pt idx="0">
                  <c:v>0.1</c:v>
                </c:pt>
                <c:pt idx="1">
                  <c:v>318309.88618379086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93F9-4F81-9260-2DACCB60631A}"/>
            </c:ext>
          </c:extLst>
        </c:ser>
        <c:ser>
          <c:idx val="56"/>
          <c:order val="5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Spectrum!$B$58:$C$58</c:f>
              <c:numCache>
                <c:formatCode>General</c:formatCode>
                <c:ptCount val="2"/>
                <c:pt idx="0">
                  <c:v>2.0943951023931957E-6</c:v>
                </c:pt>
                <c:pt idx="1">
                  <c:v>10</c:v>
                </c:pt>
              </c:numCache>
            </c:numRef>
          </c:xVal>
          <c:yVal>
            <c:numRef>
              <c:f>Spectrum!$D$58:$E$58</c:f>
              <c:numCache>
                <c:formatCode>General</c:formatCode>
                <c:ptCount val="2"/>
                <c:pt idx="0">
                  <c:v>0.1</c:v>
                </c:pt>
                <c:pt idx="1">
                  <c:v>477464.829275686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93F9-4F81-9260-2DACCB60631A}"/>
            </c:ext>
          </c:extLst>
        </c:ser>
        <c:ser>
          <c:idx val="57"/>
          <c:order val="5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Spectrum!$B$59:$C$59</c:f>
              <c:numCache>
                <c:formatCode>General</c:formatCode>
                <c:ptCount val="2"/>
                <c:pt idx="0">
                  <c:v>1.5707963267948954E-6</c:v>
                </c:pt>
                <c:pt idx="1">
                  <c:v>10</c:v>
                </c:pt>
              </c:numCache>
            </c:numRef>
          </c:xVal>
          <c:yVal>
            <c:numRef>
              <c:f>Spectrum!$D$59:$E$59</c:f>
              <c:numCache>
                <c:formatCode>General</c:formatCode>
                <c:ptCount val="2"/>
                <c:pt idx="0">
                  <c:v>0.1</c:v>
                </c:pt>
                <c:pt idx="1">
                  <c:v>636619.77236758184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93F9-4F81-9260-2DACCB60631A}"/>
            </c:ext>
          </c:extLst>
        </c:ser>
        <c:ser>
          <c:idx val="58"/>
          <c:order val="5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Spectrum!$B$60:$C$60</c:f>
              <c:numCache>
                <c:formatCode>General</c:formatCode>
                <c:ptCount val="2"/>
                <c:pt idx="0">
                  <c:v>1.2566370614359175E-6</c:v>
                </c:pt>
                <c:pt idx="1">
                  <c:v>10</c:v>
                </c:pt>
              </c:numCache>
            </c:numRef>
          </c:xVal>
          <c:yVal>
            <c:numRef>
              <c:f>Spectrum!$D$60:$E$60</c:f>
              <c:numCache>
                <c:formatCode>General</c:formatCode>
                <c:ptCount val="2"/>
                <c:pt idx="0">
                  <c:v>0.1</c:v>
                </c:pt>
                <c:pt idx="1">
                  <c:v>795774.71545947657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93F9-4F81-9260-2DACCB60631A}"/>
            </c:ext>
          </c:extLst>
        </c:ser>
        <c:ser>
          <c:idx val="59"/>
          <c:order val="5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Spectrum!$G$2:$H$2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1.2566370614359163E-2</c:v>
                </c:pt>
              </c:numCache>
            </c:numRef>
          </c:xVal>
          <c:yVal>
            <c:numRef>
              <c:f>Spectrum!$I$2:$J$2</c:f>
              <c:numCache>
                <c:formatCode>General</c:formatCode>
                <c:ptCount val="2"/>
                <c:pt idx="0">
                  <c:v>0.12566370614359165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93F9-4F81-9260-2DACCB60631A}"/>
            </c:ext>
          </c:extLst>
        </c:ser>
        <c:ser>
          <c:idx val="60"/>
          <c:order val="6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Spectrum!$G$3:$H$3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1.8849555921538759E-2</c:v>
                </c:pt>
              </c:numCache>
            </c:numRef>
          </c:xVal>
          <c:yVal>
            <c:numRef>
              <c:f>Spectrum!$I$3:$J$3</c:f>
              <c:numCache>
                <c:formatCode>General</c:formatCode>
                <c:ptCount val="2"/>
                <c:pt idx="0">
                  <c:v>0.18849555921538758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93F9-4F81-9260-2DACCB60631A}"/>
            </c:ext>
          </c:extLst>
        </c:ser>
        <c:ser>
          <c:idx val="61"/>
          <c:order val="6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Spectrum!$G$4:$H$4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2.513274122871834E-2</c:v>
                </c:pt>
              </c:numCache>
            </c:numRef>
          </c:xVal>
          <c:yVal>
            <c:numRef>
              <c:f>Spectrum!$I$4:$J$4</c:f>
              <c:numCache>
                <c:formatCode>General</c:formatCode>
                <c:ptCount val="2"/>
                <c:pt idx="0">
                  <c:v>0.25132741228718342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93F9-4F81-9260-2DACCB60631A}"/>
            </c:ext>
          </c:extLst>
        </c:ser>
        <c:ser>
          <c:idx val="62"/>
          <c:order val="6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Spectrum!$G$5:$H$5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3.1415926535897913E-2</c:v>
                </c:pt>
              </c:numCache>
            </c:numRef>
          </c:xVal>
          <c:yVal>
            <c:numRef>
              <c:f>Spectrum!$I$5:$J$5</c:f>
              <c:numCache>
                <c:formatCode>General</c:formatCode>
                <c:ptCount val="2"/>
                <c:pt idx="0">
                  <c:v>0.31415926535897915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93F9-4F81-9260-2DACCB60631A}"/>
            </c:ext>
          </c:extLst>
        </c:ser>
        <c:ser>
          <c:idx val="63"/>
          <c:order val="6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Spectrum!$G$6:$H$6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3.7699111843077518E-2</c:v>
                </c:pt>
              </c:numCache>
            </c:numRef>
          </c:xVal>
          <c:yVal>
            <c:numRef>
              <c:f>Spectrum!$I$6:$J$6</c:f>
              <c:numCache>
                <c:formatCode>General</c:formatCode>
                <c:ptCount val="2"/>
                <c:pt idx="0">
                  <c:v>0.37699111843077526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93F9-4F81-9260-2DACCB60631A}"/>
            </c:ext>
          </c:extLst>
        </c:ser>
        <c:ser>
          <c:idx val="64"/>
          <c:order val="6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Spectrum!$G$7:$H$7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4.3982297150257095E-2</c:v>
                </c:pt>
              </c:numCache>
            </c:numRef>
          </c:xVal>
          <c:yVal>
            <c:numRef>
              <c:f>Spectrum!$I$7:$J$7</c:f>
              <c:numCache>
                <c:formatCode>General</c:formatCode>
                <c:ptCount val="2"/>
                <c:pt idx="0">
                  <c:v>0.43982297150257099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93F9-4F81-9260-2DACCB60631A}"/>
            </c:ext>
          </c:extLst>
        </c:ser>
        <c:ser>
          <c:idx val="65"/>
          <c:order val="6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Spectrum!$G$8:$H$8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5.0265482457436686E-2</c:v>
                </c:pt>
              </c:numCache>
            </c:numRef>
          </c:xVal>
          <c:yVal>
            <c:numRef>
              <c:f>Spectrum!$I$8:$J$8</c:f>
              <c:numCache>
                <c:formatCode>General</c:formatCode>
                <c:ptCount val="2"/>
                <c:pt idx="0">
                  <c:v>0.50265482457436694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93F9-4F81-9260-2DACCB60631A}"/>
            </c:ext>
          </c:extLst>
        </c:ser>
        <c:ser>
          <c:idx val="66"/>
          <c:order val="6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Spectrum!$G$9:$H$9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5.6548667764616249E-2</c:v>
                </c:pt>
              </c:numCache>
            </c:numRef>
          </c:xVal>
          <c:yVal>
            <c:numRef>
              <c:f>Spectrum!$I$9:$J$9</c:f>
              <c:numCache>
                <c:formatCode>General</c:formatCode>
                <c:ptCount val="2"/>
                <c:pt idx="0">
                  <c:v>0.56548667764616245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93F9-4F81-9260-2DACCB60631A}"/>
            </c:ext>
          </c:extLst>
        </c:ser>
        <c:ser>
          <c:idx val="67"/>
          <c:order val="6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Spectrum!$G$10:$H$10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6.2831853071795826E-2</c:v>
                </c:pt>
              </c:numCache>
            </c:numRef>
          </c:xVal>
          <c:yVal>
            <c:numRef>
              <c:f>Spectrum!$I$10:$J$10</c:f>
              <c:numCache>
                <c:formatCode>General</c:formatCode>
                <c:ptCount val="2"/>
                <c:pt idx="0">
                  <c:v>0.6283185307179584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93F9-4F81-9260-2DACCB60631A}"/>
            </c:ext>
          </c:extLst>
        </c:ser>
        <c:ser>
          <c:idx val="68"/>
          <c:order val="6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Spectrum!$G$11:$H$11</c:f>
              <c:numCache>
                <c:formatCode>General</c:formatCode>
                <c:ptCount val="2"/>
                <c:pt idx="0">
                  <c:v>0.01</c:v>
                </c:pt>
                <c:pt idx="1">
                  <c:v>0.12566370614359171</c:v>
                </c:pt>
              </c:numCache>
            </c:numRef>
          </c:xVal>
          <c:yVal>
            <c:numRef>
              <c:f>Spectrum!$I$11:$J$11</c:f>
              <c:numCache>
                <c:formatCode>General</c:formatCode>
                <c:ptCount val="2"/>
                <c:pt idx="0">
                  <c:v>1.2566370614359172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93F9-4F81-9260-2DACCB60631A}"/>
            </c:ext>
          </c:extLst>
        </c:ser>
        <c:ser>
          <c:idx val="69"/>
          <c:order val="6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Spectrum!$G$12:$H$12</c:f>
              <c:numCache>
                <c:formatCode>General</c:formatCode>
                <c:ptCount val="2"/>
                <c:pt idx="0">
                  <c:v>0.01</c:v>
                </c:pt>
                <c:pt idx="1">
                  <c:v>0.18849555921538763</c:v>
                </c:pt>
              </c:numCache>
            </c:numRef>
          </c:xVal>
          <c:yVal>
            <c:numRef>
              <c:f>Spectrum!$I$12:$J$12</c:f>
              <c:numCache>
                <c:formatCode>General</c:formatCode>
                <c:ptCount val="2"/>
                <c:pt idx="0">
                  <c:v>1.8849555921538763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93F9-4F81-9260-2DACCB60631A}"/>
            </c:ext>
          </c:extLst>
        </c:ser>
        <c:ser>
          <c:idx val="70"/>
          <c:order val="7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Spectrum!$G$13:$H$13</c:f>
              <c:numCache>
                <c:formatCode>General</c:formatCode>
                <c:ptCount val="2"/>
                <c:pt idx="0">
                  <c:v>0.01</c:v>
                </c:pt>
                <c:pt idx="1">
                  <c:v>0.25132741228718347</c:v>
                </c:pt>
              </c:numCache>
            </c:numRef>
          </c:xVal>
          <c:yVal>
            <c:numRef>
              <c:f>Spectrum!$I$13:$J$13</c:f>
              <c:numCache>
                <c:formatCode>General</c:formatCode>
                <c:ptCount val="2"/>
                <c:pt idx="0">
                  <c:v>2.5132741228718349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93F9-4F81-9260-2DACCB60631A}"/>
            </c:ext>
          </c:extLst>
        </c:ser>
        <c:ser>
          <c:idx val="71"/>
          <c:order val="7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Spectrum!$G$14:$H$14</c:f>
              <c:numCache>
                <c:formatCode>General</c:formatCode>
                <c:ptCount val="2"/>
                <c:pt idx="0">
                  <c:v>0.01</c:v>
                </c:pt>
                <c:pt idx="1">
                  <c:v>0.31415926535897926</c:v>
                </c:pt>
              </c:numCache>
            </c:numRef>
          </c:xVal>
          <c:yVal>
            <c:numRef>
              <c:f>Spectrum!$I$14:$J$14</c:f>
              <c:numCache>
                <c:formatCode>General</c:formatCode>
                <c:ptCount val="2"/>
                <c:pt idx="0">
                  <c:v>3.1415926535897927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93F9-4F81-9260-2DACCB60631A}"/>
            </c:ext>
          </c:extLst>
        </c:ser>
        <c:ser>
          <c:idx val="72"/>
          <c:order val="7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Spectrum!$G$15:$H$15</c:f>
              <c:numCache>
                <c:formatCode>General</c:formatCode>
                <c:ptCount val="2"/>
                <c:pt idx="0">
                  <c:v>0.01</c:v>
                </c:pt>
                <c:pt idx="1">
                  <c:v>0.37699111843077532</c:v>
                </c:pt>
              </c:numCache>
            </c:numRef>
          </c:xVal>
          <c:yVal>
            <c:numRef>
              <c:f>Spectrum!$I$15:$J$15</c:f>
              <c:numCache>
                <c:formatCode>General</c:formatCode>
                <c:ptCount val="2"/>
                <c:pt idx="0">
                  <c:v>3.7699111843077535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93F9-4F81-9260-2DACCB60631A}"/>
            </c:ext>
          </c:extLst>
        </c:ser>
        <c:ser>
          <c:idx val="73"/>
          <c:order val="7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Spectrum!$G$16:$H$16</c:f>
              <c:numCache>
                <c:formatCode>General</c:formatCode>
                <c:ptCount val="2"/>
                <c:pt idx="0">
                  <c:v>0.01</c:v>
                </c:pt>
                <c:pt idx="1">
                  <c:v>0.4398229715025711</c:v>
                </c:pt>
              </c:numCache>
            </c:numRef>
          </c:xVal>
          <c:yVal>
            <c:numRef>
              <c:f>Spectrum!$I$16:$J$16</c:f>
              <c:numCache>
                <c:formatCode>General</c:formatCode>
                <c:ptCount val="2"/>
                <c:pt idx="0">
                  <c:v>4.3982297150257104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93F9-4F81-9260-2DACCB60631A}"/>
            </c:ext>
          </c:extLst>
        </c:ser>
        <c:ser>
          <c:idx val="74"/>
          <c:order val="7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Spectrum!$G$17:$H$17</c:f>
              <c:numCache>
                <c:formatCode>General</c:formatCode>
                <c:ptCount val="2"/>
                <c:pt idx="0">
                  <c:v>0.01</c:v>
                </c:pt>
                <c:pt idx="1">
                  <c:v>0.50265482457436705</c:v>
                </c:pt>
              </c:numCache>
            </c:numRef>
          </c:xVal>
          <c:yVal>
            <c:numRef>
              <c:f>Spectrum!$I$17:$J$17</c:f>
              <c:numCache>
                <c:formatCode>General</c:formatCode>
                <c:ptCount val="2"/>
                <c:pt idx="0">
                  <c:v>5.0265482457436708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93F9-4F81-9260-2DACCB60631A}"/>
            </c:ext>
          </c:extLst>
        </c:ser>
        <c:ser>
          <c:idx val="75"/>
          <c:order val="7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Spectrum!$G$18:$H$18</c:f>
              <c:numCache>
                <c:formatCode>General</c:formatCode>
                <c:ptCount val="2"/>
                <c:pt idx="0">
                  <c:v>0.01</c:v>
                </c:pt>
                <c:pt idx="1">
                  <c:v>0.56548667764616267</c:v>
                </c:pt>
              </c:numCache>
            </c:numRef>
          </c:xVal>
          <c:yVal>
            <c:numRef>
              <c:f>Spectrum!$I$18:$J$18</c:f>
              <c:numCache>
                <c:formatCode>General</c:formatCode>
                <c:ptCount val="2"/>
                <c:pt idx="0">
                  <c:v>5.6548667764616258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93F9-4F81-9260-2DACCB60631A}"/>
            </c:ext>
          </c:extLst>
        </c:ser>
        <c:ser>
          <c:idx val="76"/>
          <c:order val="7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Spectrum!$G$19:$H$19</c:f>
              <c:numCache>
                <c:formatCode>General</c:formatCode>
                <c:ptCount val="2"/>
                <c:pt idx="0">
                  <c:v>0.01</c:v>
                </c:pt>
                <c:pt idx="1">
                  <c:v>0.62831853071795862</c:v>
                </c:pt>
              </c:numCache>
            </c:numRef>
          </c:xVal>
          <c:yVal>
            <c:numRef>
              <c:f>Spectrum!$I$19:$J$19</c:f>
              <c:numCache>
                <c:formatCode>General</c:formatCode>
                <c:ptCount val="2"/>
                <c:pt idx="0">
                  <c:v>6.2831853071795853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93F9-4F81-9260-2DACCB60631A}"/>
            </c:ext>
          </c:extLst>
        </c:ser>
        <c:ser>
          <c:idx val="77"/>
          <c:order val="7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Spectrum!$G$20:$H$20</c:f>
              <c:numCache>
                <c:formatCode>General</c:formatCode>
                <c:ptCount val="2"/>
                <c:pt idx="0">
                  <c:v>0.01</c:v>
                </c:pt>
                <c:pt idx="1">
                  <c:v>1.2566370614359175</c:v>
                </c:pt>
              </c:numCache>
            </c:numRef>
          </c:xVal>
          <c:yVal>
            <c:numRef>
              <c:f>Spectrum!$I$20:$J$20</c:f>
              <c:numCache>
                <c:formatCode>General</c:formatCode>
                <c:ptCount val="2"/>
                <c:pt idx="0">
                  <c:v>12.566370614359172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93F9-4F81-9260-2DACCB60631A}"/>
            </c:ext>
          </c:extLst>
        </c:ser>
        <c:ser>
          <c:idx val="78"/>
          <c:order val="7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Spectrum!$G$21:$H$21</c:f>
              <c:numCache>
                <c:formatCode>General</c:formatCode>
                <c:ptCount val="2"/>
                <c:pt idx="0">
                  <c:v>0.01</c:v>
                </c:pt>
                <c:pt idx="1">
                  <c:v>1.8849555921538768</c:v>
                </c:pt>
              </c:numCache>
            </c:numRef>
          </c:xVal>
          <c:yVal>
            <c:numRef>
              <c:f>Spectrum!$I$21:$J$21</c:f>
              <c:numCache>
                <c:formatCode>General</c:formatCode>
                <c:ptCount val="2"/>
                <c:pt idx="0">
                  <c:v>18.849555921538769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93F9-4F81-9260-2DACCB60631A}"/>
            </c:ext>
          </c:extLst>
        </c:ser>
        <c:ser>
          <c:idx val="79"/>
          <c:order val="7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Spectrum!$G$22:$H$22</c:f>
              <c:numCache>
                <c:formatCode>General</c:formatCode>
                <c:ptCount val="2"/>
                <c:pt idx="0">
                  <c:v>0.01</c:v>
                </c:pt>
                <c:pt idx="1">
                  <c:v>2.5132741228718354</c:v>
                </c:pt>
              </c:numCache>
            </c:numRef>
          </c:xVal>
          <c:yVal>
            <c:numRef>
              <c:f>Spectrum!$I$22:$J$22</c:f>
              <c:numCache>
                <c:formatCode>General</c:formatCode>
                <c:ptCount val="2"/>
                <c:pt idx="0">
                  <c:v>25.132741228718359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93F9-4F81-9260-2DACCB60631A}"/>
            </c:ext>
          </c:extLst>
        </c:ser>
        <c:ser>
          <c:idx val="80"/>
          <c:order val="8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Spectrum!$G$23:$H$23</c:f>
              <c:numCache>
                <c:formatCode>General</c:formatCode>
                <c:ptCount val="2"/>
                <c:pt idx="0">
                  <c:v>0.01</c:v>
                </c:pt>
                <c:pt idx="1">
                  <c:v>3.1415926535897944</c:v>
                </c:pt>
              </c:numCache>
            </c:numRef>
          </c:xVal>
          <c:yVal>
            <c:numRef>
              <c:f>Spectrum!$I$23:$J$23</c:f>
              <c:numCache>
                <c:formatCode>General</c:formatCode>
                <c:ptCount val="2"/>
                <c:pt idx="0">
                  <c:v>31.41592653589796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93F9-4F81-9260-2DACCB60631A}"/>
            </c:ext>
          </c:extLst>
        </c:ser>
        <c:ser>
          <c:idx val="81"/>
          <c:order val="8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Spectrum!$G$24:$H$24</c:f>
              <c:numCache>
                <c:formatCode>General</c:formatCode>
                <c:ptCount val="2"/>
                <c:pt idx="0">
                  <c:v>0.01</c:v>
                </c:pt>
                <c:pt idx="1">
                  <c:v>3.7699111843077522</c:v>
                </c:pt>
              </c:numCache>
            </c:numRef>
          </c:xVal>
          <c:yVal>
            <c:numRef>
              <c:f>Spectrum!$I$24:$J$24</c:f>
              <c:numCache>
                <c:formatCode>General</c:formatCode>
                <c:ptCount val="2"/>
                <c:pt idx="0">
                  <c:v>37.699111843077546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93F9-4F81-9260-2DACCB60631A}"/>
            </c:ext>
          </c:extLst>
        </c:ser>
        <c:ser>
          <c:idx val="82"/>
          <c:order val="8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Spectrum!$G$25:$H$25</c:f>
              <c:numCache>
                <c:formatCode>General</c:formatCode>
                <c:ptCount val="2"/>
                <c:pt idx="0">
                  <c:v>0.01</c:v>
                </c:pt>
                <c:pt idx="1">
                  <c:v>4.3982297150257121</c:v>
                </c:pt>
              </c:numCache>
            </c:numRef>
          </c:xVal>
          <c:yVal>
            <c:numRef>
              <c:f>Spectrum!$I$25:$J$25</c:f>
              <c:numCache>
                <c:formatCode>General</c:formatCode>
                <c:ptCount val="2"/>
                <c:pt idx="0">
                  <c:v>43.982297150257125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93F9-4F81-9260-2DACCB60631A}"/>
            </c:ext>
          </c:extLst>
        </c:ser>
        <c:ser>
          <c:idx val="83"/>
          <c:order val="8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Spectrum!$G$26:$H$26</c:f>
              <c:numCache>
                <c:formatCode>General</c:formatCode>
                <c:ptCount val="2"/>
                <c:pt idx="0">
                  <c:v>0.01</c:v>
                </c:pt>
                <c:pt idx="1">
                  <c:v>5.0265482457436699</c:v>
                </c:pt>
              </c:numCache>
            </c:numRef>
          </c:xVal>
          <c:yVal>
            <c:numRef>
              <c:f>Spectrum!$I$26:$J$26</c:f>
              <c:numCache>
                <c:formatCode>General</c:formatCode>
                <c:ptCount val="2"/>
                <c:pt idx="0">
                  <c:v>50.265482457436718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93F9-4F81-9260-2DACCB60631A}"/>
            </c:ext>
          </c:extLst>
        </c:ser>
        <c:ser>
          <c:idx val="84"/>
          <c:order val="8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Spectrum!$G$27:$H$27</c:f>
              <c:numCache>
                <c:formatCode>General</c:formatCode>
                <c:ptCount val="2"/>
                <c:pt idx="0">
                  <c:v>0.01</c:v>
                </c:pt>
                <c:pt idx="1">
                  <c:v>5.6548667764616267</c:v>
                </c:pt>
              </c:numCache>
            </c:numRef>
          </c:xVal>
          <c:yVal>
            <c:numRef>
              <c:f>Spectrum!$I$27:$J$27</c:f>
              <c:numCache>
                <c:formatCode>General</c:formatCode>
                <c:ptCount val="2"/>
                <c:pt idx="0">
                  <c:v>56.548667764616255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93F9-4F81-9260-2DACCB60631A}"/>
            </c:ext>
          </c:extLst>
        </c:ser>
        <c:ser>
          <c:idx val="85"/>
          <c:order val="8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Spectrum!$G$28:$H$28</c:f>
              <c:numCache>
                <c:formatCode>General</c:formatCode>
                <c:ptCount val="2"/>
                <c:pt idx="0">
                  <c:v>0.01</c:v>
                </c:pt>
                <c:pt idx="1">
                  <c:v>6.2831853071795871</c:v>
                </c:pt>
              </c:numCache>
            </c:numRef>
          </c:xVal>
          <c:yVal>
            <c:numRef>
              <c:f>Spectrum!$I$28:$J$28</c:f>
              <c:numCache>
                <c:formatCode>General</c:formatCode>
                <c:ptCount val="2"/>
                <c:pt idx="0">
                  <c:v>62.831853071795869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93F9-4F81-9260-2DACCB60631A}"/>
            </c:ext>
          </c:extLst>
        </c:ser>
        <c:ser>
          <c:idx val="86"/>
          <c:order val="8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Spectrum!$G$29:$H$29</c:f>
              <c:numCache>
                <c:formatCode>General</c:formatCode>
                <c:ptCount val="2"/>
                <c:pt idx="0">
                  <c:v>0.01</c:v>
                </c:pt>
                <c:pt idx="1">
                  <c:v>12.566370614359172</c:v>
                </c:pt>
              </c:numCache>
            </c:numRef>
          </c:xVal>
          <c:yVal>
            <c:numRef>
              <c:f>Spectrum!$I$29:$J$29</c:f>
              <c:numCache>
                <c:formatCode>General</c:formatCode>
                <c:ptCount val="2"/>
                <c:pt idx="0">
                  <c:v>125.66370614359175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93F9-4F81-9260-2DACCB60631A}"/>
            </c:ext>
          </c:extLst>
        </c:ser>
        <c:ser>
          <c:idx val="87"/>
          <c:order val="8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Spectrum!$G$30:$H$30</c:f>
              <c:numCache>
                <c:formatCode>General</c:formatCode>
                <c:ptCount val="2"/>
                <c:pt idx="0">
                  <c:v>0.01</c:v>
                </c:pt>
                <c:pt idx="1">
                  <c:v>18.849555921538769</c:v>
                </c:pt>
              </c:numCache>
            </c:numRef>
          </c:xVal>
          <c:yVal>
            <c:numRef>
              <c:f>Spectrum!$I$30:$J$30</c:f>
              <c:numCache>
                <c:formatCode>General</c:formatCode>
                <c:ptCount val="2"/>
                <c:pt idx="0">
                  <c:v>188.49555921538766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93F9-4F81-9260-2DACCB60631A}"/>
            </c:ext>
          </c:extLst>
        </c:ser>
        <c:ser>
          <c:idx val="88"/>
          <c:order val="8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Spectrum!$G$31:$H$31</c:f>
              <c:numCache>
                <c:formatCode>General</c:formatCode>
                <c:ptCount val="2"/>
                <c:pt idx="0">
                  <c:v>0.01</c:v>
                </c:pt>
                <c:pt idx="1">
                  <c:v>25.132741228718359</c:v>
                </c:pt>
              </c:numCache>
            </c:numRef>
          </c:xVal>
          <c:yVal>
            <c:numRef>
              <c:f>Spectrum!$I$31:$J$31</c:f>
              <c:numCache>
                <c:formatCode>General</c:formatCode>
                <c:ptCount val="2"/>
                <c:pt idx="0">
                  <c:v>251.32741228718353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93F9-4F81-9260-2DACCB60631A}"/>
            </c:ext>
          </c:extLst>
        </c:ser>
        <c:ser>
          <c:idx val="89"/>
          <c:order val="8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Spectrum!$G$32:$H$32</c:f>
              <c:numCache>
                <c:formatCode>General</c:formatCode>
                <c:ptCount val="2"/>
                <c:pt idx="0">
                  <c:v>0.01</c:v>
                </c:pt>
                <c:pt idx="1">
                  <c:v>31.415926535897931</c:v>
                </c:pt>
              </c:numCache>
            </c:numRef>
          </c:xVal>
          <c:yVal>
            <c:numRef>
              <c:f>Spectrum!$I$32:$J$32</c:f>
              <c:numCache>
                <c:formatCode>General</c:formatCode>
                <c:ptCount val="2"/>
                <c:pt idx="0">
                  <c:v>314.15926535897938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93F9-4F81-9260-2DACCB60631A}"/>
            </c:ext>
          </c:extLst>
        </c:ser>
        <c:ser>
          <c:idx val="90"/>
          <c:order val="9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Spectrum!$G$33:$H$33</c:f>
              <c:numCache>
                <c:formatCode>General</c:formatCode>
                <c:ptCount val="2"/>
                <c:pt idx="0">
                  <c:v>0.01</c:v>
                </c:pt>
                <c:pt idx="1">
                  <c:v>37.699111843077546</c:v>
                </c:pt>
              </c:numCache>
            </c:numRef>
          </c:xVal>
          <c:yVal>
            <c:numRef>
              <c:f>Spectrum!$I$33:$J$33</c:f>
              <c:numCache>
                <c:formatCode>General</c:formatCode>
                <c:ptCount val="2"/>
                <c:pt idx="0">
                  <c:v>376.99111843077537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93F9-4F81-9260-2DACCB60631A}"/>
            </c:ext>
          </c:extLst>
        </c:ser>
        <c:ser>
          <c:idx val="91"/>
          <c:order val="9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Spectrum!$G$34:$H$34</c:f>
              <c:numCache>
                <c:formatCode>General</c:formatCode>
                <c:ptCount val="2"/>
                <c:pt idx="0">
                  <c:v>0.01</c:v>
                </c:pt>
                <c:pt idx="1">
                  <c:v>43.982297150257125</c:v>
                </c:pt>
              </c:numCache>
            </c:numRef>
          </c:xVal>
          <c:yVal>
            <c:numRef>
              <c:f>Spectrum!$I$34:$J$34</c:f>
              <c:numCache>
                <c:formatCode>General</c:formatCode>
                <c:ptCount val="2"/>
                <c:pt idx="0">
                  <c:v>439.82297150257114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93F9-4F81-9260-2DACCB60631A}"/>
            </c:ext>
          </c:extLst>
        </c:ser>
        <c:ser>
          <c:idx val="92"/>
          <c:order val="9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Spectrum!$G$35:$H$35</c:f>
              <c:numCache>
                <c:formatCode>General</c:formatCode>
                <c:ptCount val="2"/>
                <c:pt idx="0">
                  <c:v>0.01</c:v>
                </c:pt>
                <c:pt idx="1">
                  <c:v>50.265482457436718</c:v>
                </c:pt>
              </c:numCache>
            </c:numRef>
          </c:xVal>
          <c:yVal>
            <c:numRef>
              <c:f>Spectrum!$I$35:$J$35</c:f>
              <c:numCache>
                <c:formatCode>General</c:formatCode>
                <c:ptCount val="2"/>
                <c:pt idx="0">
                  <c:v>502.65482457436707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93F9-4F81-9260-2DACCB60631A}"/>
            </c:ext>
          </c:extLst>
        </c:ser>
        <c:ser>
          <c:idx val="93"/>
          <c:order val="9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Spectrum!$G$36:$H$36</c:f>
              <c:numCache>
                <c:formatCode>General</c:formatCode>
                <c:ptCount val="2"/>
                <c:pt idx="0">
                  <c:v>0.01</c:v>
                </c:pt>
                <c:pt idx="1">
                  <c:v>56.548667764616305</c:v>
                </c:pt>
              </c:numCache>
            </c:numRef>
          </c:xVal>
          <c:yVal>
            <c:numRef>
              <c:f>Spectrum!$I$36:$J$36</c:f>
              <c:numCache>
                <c:formatCode>General</c:formatCode>
                <c:ptCount val="2"/>
                <c:pt idx="0">
                  <c:v>565.48667764616266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93F9-4F81-9260-2DACCB60631A}"/>
            </c:ext>
          </c:extLst>
        </c:ser>
        <c:ser>
          <c:idx val="94"/>
          <c:order val="9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Spectrum!$G$37:$H$37</c:f>
              <c:numCache>
                <c:formatCode>General</c:formatCode>
                <c:ptCount val="2"/>
                <c:pt idx="0">
                  <c:v>0.01</c:v>
                </c:pt>
                <c:pt idx="1">
                  <c:v>62.831853071795869</c:v>
                </c:pt>
              </c:numCache>
            </c:numRef>
          </c:xVal>
          <c:yVal>
            <c:numRef>
              <c:f>Spectrum!$I$37:$J$37</c:f>
              <c:numCache>
                <c:formatCode>General</c:formatCode>
                <c:ptCount val="2"/>
                <c:pt idx="0">
                  <c:v>628.31853071795888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93F9-4F81-9260-2DACCB60631A}"/>
            </c:ext>
          </c:extLst>
        </c:ser>
        <c:ser>
          <c:idx val="95"/>
          <c:order val="9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Spectrum!$G$38:$H$38</c:f>
              <c:numCache>
                <c:formatCode>General</c:formatCode>
                <c:ptCount val="2"/>
                <c:pt idx="0">
                  <c:v>0.01</c:v>
                </c:pt>
                <c:pt idx="1">
                  <c:v>125.66370614359175</c:v>
                </c:pt>
              </c:numCache>
            </c:numRef>
          </c:xVal>
          <c:yVal>
            <c:numRef>
              <c:f>Spectrum!$I$38:$J$38</c:f>
              <c:numCache>
                <c:formatCode>General</c:formatCode>
                <c:ptCount val="2"/>
                <c:pt idx="0">
                  <c:v>1256.6370614359178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93F9-4F81-9260-2DACCB60631A}"/>
            </c:ext>
          </c:extLst>
        </c:ser>
        <c:ser>
          <c:idx val="96"/>
          <c:order val="9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Spectrum!$G$39:$H$39</c:f>
              <c:numCache>
                <c:formatCode>General</c:formatCode>
                <c:ptCount val="2"/>
                <c:pt idx="0">
                  <c:v>0.01</c:v>
                </c:pt>
                <c:pt idx="1">
                  <c:v>188.49555921538766</c:v>
                </c:pt>
              </c:numCache>
            </c:numRef>
          </c:xVal>
          <c:yVal>
            <c:numRef>
              <c:f>Spectrum!$I$39:$J$39</c:f>
              <c:numCache>
                <c:formatCode>General</c:formatCode>
                <c:ptCount val="2"/>
                <c:pt idx="0">
                  <c:v>1884.955592153877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93F9-4F81-9260-2DACCB60631A}"/>
            </c:ext>
          </c:extLst>
        </c:ser>
        <c:ser>
          <c:idx val="97"/>
          <c:order val="9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Spectrum!$G$40:$H$40</c:f>
              <c:numCache>
                <c:formatCode>General</c:formatCode>
                <c:ptCount val="2"/>
                <c:pt idx="0">
                  <c:v>0.01</c:v>
                </c:pt>
                <c:pt idx="1">
                  <c:v>251.32741228718353</c:v>
                </c:pt>
              </c:numCache>
            </c:numRef>
          </c:xVal>
          <c:yVal>
            <c:numRef>
              <c:f>Spectrum!$I$40:$J$40</c:f>
              <c:numCache>
                <c:formatCode>General</c:formatCode>
                <c:ptCount val="2"/>
                <c:pt idx="0">
                  <c:v>2513.274122871836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93F9-4F81-9260-2DACCB60631A}"/>
            </c:ext>
          </c:extLst>
        </c:ser>
        <c:ser>
          <c:idx val="98"/>
          <c:order val="9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Spectrum!$G$41:$H$41</c:f>
              <c:numCache>
                <c:formatCode>General</c:formatCode>
                <c:ptCount val="2"/>
                <c:pt idx="0">
                  <c:v>0.01</c:v>
                </c:pt>
                <c:pt idx="1">
                  <c:v>314.15926535897938</c:v>
                </c:pt>
              </c:numCache>
            </c:numRef>
          </c:xVal>
          <c:yVal>
            <c:numRef>
              <c:f>Spectrum!$I$41:$J$41</c:f>
              <c:numCache>
                <c:formatCode>General</c:formatCode>
                <c:ptCount val="2"/>
                <c:pt idx="0">
                  <c:v>3141.5926535898002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93F9-4F81-9260-2DACCB60631A}"/>
            </c:ext>
          </c:extLst>
        </c:ser>
        <c:ser>
          <c:idx val="99"/>
          <c:order val="9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Spectrum!$G$42:$H$42</c:f>
              <c:numCache>
                <c:formatCode>General</c:formatCode>
                <c:ptCount val="2"/>
                <c:pt idx="0">
                  <c:v>0.01</c:v>
                </c:pt>
                <c:pt idx="1">
                  <c:v>376.99111843077537</c:v>
                </c:pt>
              </c:numCache>
            </c:numRef>
          </c:xVal>
          <c:yVal>
            <c:numRef>
              <c:f>Spectrum!$I$42:$J$42</c:f>
              <c:numCache>
                <c:formatCode>General</c:formatCode>
                <c:ptCount val="2"/>
                <c:pt idx="0">
                  <c:v>3769.9111843077544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93F9-4F81-9260-2DACCB60631A}"/>
            </c:ext>
          </c:extLst>
        </c:ser>
        <c:ser>
          <c:idx val="100"/>
          <c:order val="10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Spectrum!$G$43:$H$43</c:f>
              <c:numCache>
                <c:formatCode>General</c:formatCode>
                <c:ptCount val="2"/>
                <c:pt idx="0">
                  <c:v>0.01</c:v>
                </c:pt>
                <c:pt idx="1">
                  <c:v>439.82297150257114</c:v>
                </c:pt>
              </c:numCache>
            </c:numRef>
          </c:xVal>
          <c:yVal>
            <c:numRef>
              <c:f>Spectrum!$I$43:$J$43</c:f>
              <c:numCache>
                <c:formatCode>General</c:formatCode>
                <c:ptCount val="2"/>
                <c:pt idx="0">
                  <c:v>4398.2297150257164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93F9-4F81-9260-2DACCB60631A}"/>
            </c:ext>
          </c:extLst>
        </c:ser>
        <c:ser>
          <c:idx val="101"/>
          <c:order val="10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Spectrum!$G$44:$H$44</c:f>
              <c:numCache>
                <c:formatCode>General</c:formatCode>
                <c:ptCount val="2"/>
                <c:pt idx="0">
                  <c:v>0.01</c:v>
                </c:pt>
                <c:pt idx="1">
                  <c:v>502.65482457436707</c:v>
                </c:pt>
              </c:numCache>
            </c:numRef>
          </c:xVal>
          <c:yVal>
            <c:numRef>
              <c:f>Spectrum!$I$44:$J$44</c:f>
              <c:numCache>
                <c:formatCode>General</c:formatCode>
                <c:ptCount val="2"/>
                <c:pt idx="0">
                  <c:v>5026.5482457436765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93F9-4F81-9260-2DACCB60631A}"/>
            </c:ext>
          </c:extLst>
        </c:ser>
        <c:ser>
          <c:idx val="102"/>
          <c:order val="10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Spectrum!$G$45:$H$45</c:f>
              <c:numCache>
                <c:formatCode>General</c:formatCode>
                <c:ptCount val="2"/>
                <c:pt idx="0">
                  <c:v>0.01</c:v>
                </c:pt>
                <c:pt idx="1">
                  <c:v>565.48667764616266</c:v>
                </c:pt>
              </c:numCache>
            </c:numRef>
          </c:xVal>
          <c:yVal>
            <c:numRef>
              <c:f>Spectrum!$I$45:$J$45</c:f>
              <c:numCache>
                <c:formatCode>General</c:formatCode>
                <c:ptCount val="2"/>
                <c:pt idx="0">
                  <c:v>5654.8667764616284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93F9-4F81-9260-2DACCB60631A}"/>
            </c:ext>
          </c:extLst>
        </c:ser>
        <c:ser>
          <c:idx val="103"/>
          <c:order val="10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Spectrum!$G$46:$H$46</c:f>
              <c:numCache>
                <c:formatCode>General</c:formatCode>
                <c:ptCount val="2"/>
                <c:pt idx="0">
                  <c:v>0.01</c:v>
                </c:pt>
                <c:pt idx="1">
                  <c:v>628.31853071795888</c:v>
                </c:pt>
              </c:numCache>
            </c:numRef>
          </c:xVal>
          <c:yVal>
            <c:numRef>
              <c:f>Spectrum!$I$46:$J$46</c:f>
              <c:numCache>
                <c:formatCode>General</c:formatCode>
                <c:ptCount val="2"/>
                <c:pt idx="0">
                  <c:v>6283.1853071795895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93F9-4F81-9260-2DACCB60631A}"/>
            </c:ext>
          </c:extLst>
        </c:ser>
        <c:ser>
          <c:idx val="104"/>
          <c:order val="10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Spectrum!$G$47:$H$47</c:f>
              <c:numCache>
                <c:formatCode>General</c:formatCode>
                <c:ptCount val="2"/>
                <c:pt idx="0">
                  <c:v>0.01</c:v>
                </c:pt>
                <c:pt idx="1">
                  <c:v>1256.6370614359178</c:v>
                </c:pt>
              </c:numCache>
            </c:numRef>
          </c:xVal>
          <c:yVal>
            <c:numRef>
              <c:f>Spectrum!$I$47:$J$47</c:f>
              <c:numCache>
                <c:formatCode>General</c:formatCode>
                <c:ptCount val="2"/>
                <c:pt idx="0">
                  <c:v>12566.370614359203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93F9-4F81-9260-2DACCB60631A}"/>
            </c:ext>
          </c:extLst>
        </c:ser>
        <c:ser>
          <c:idx val="105"/>
          <c:order val="10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Spectrum!$G$48:$H$48</c:f>
              <c:numCache>
                <c:formatCode>General</c:formatCode>
                <c:ptCount val="2"/>
                <c:pt idx="0">
                  <c:v>0.01</c:v>
                </c:pt>
                <c:pt idx="1">
                  <c:v>1884.955592153877</c:v>
                </c:pt>
              </c:numCache>
            </c:numRef>
          </c:xVal>
          <c:yVal>
            <c:numRef>
              <c:f>Spectrum!$I$48:$J$48</c:f>
              <c:numCache>
                <c:formatCode>General</c:formatCode>
                <c:ptCount val="2"/>
                <c:pt idx="0">
                  <c:v>18849.555921538791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93F9-4F81-9260-2DACCB60631A}"/>
            </c:ext>
          </c:extLst>
        </c:ser>
        <c:ser>
          <c:idx val="106"/>
          <c:order val="10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Spectrum!$G$49:$H$49</c:f>
              <c:numCache>
                <c:formatCode>General</c:formatCode>
                <c:ptCount val="2"/>
                <c:pt idx="0">
                  <c:v>0.01</c:v>
                </c:pt>
                <c:pt idx="1">
                  <c:v>2513.274122871836</c:v>
                </c:pt>
              </c:numCache>
            </c:numRef>
          </c:xVal>
          <c:yVal>
            <c:numRef>
              <c:f>Spectrum!$I$49:$J$49</c:f>
              <c:numCache>
                <c:formatCode>General</c:formatCode>
                <c:ptCount val="2"/>
                <c:pt idx="0">
                  <c:v>25132.741228718409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93F9-4F81-9260-2DACCB60631A}"/>
            </c:ext>
          </c:extLst>
        </c:ser>
        <c:ser>
          <c:idx val="107"/>
          <c:order val="10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Spectrum!$G$50:$H$50</c:f>
              <c:numCache>
                <c:formatCode>General</c:formatCode>
                <c:ptCount val="2"/>
                <c:pt idx="0">
                  <c:v>0.01</c:v>
                </c:pt>
                <c:pt idx="1">
                  <c:v>3141.5926535897947</c:v>
                </c:pt>
              </c:numCache>
            </c:numRef>
          </c:xVal>
          <c:yVal>
            <c:numRef>
              <c:f>Spectrum!$I$50:$J$50</c:f>
              <c:numCache>
                <c:formatCode>General</c:formatCode>
                <c:ptCount val="2"/>
                <c:pt idx="0">
                  <c:v>31415.926535897979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93F9-4F81-9260-2DACCB60631A}"/>
            </c:ext>
          </c:extLst>
        </c:ser>
        <c:ser>
          <c:idx val="108"/>
          <c:order val="10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Spectrum!$G$51:$H$51</c:f>
              <c:numCache>
                <c:formatCode>General</c:formatCode>
                <c:ptCount val="2"/>
                <c:pt idx="0">
                  <c:v>0.01</c:v>
                </c:pt>
                <c:pt idx="1">
                  <c:v>3769.9111843077544</c:v>
                </c:pt>
              </c:numCache>
            </c:numRef>
          </c:xVal>
          <c:yVal>
            <c:numRef>
              <c:f>Spectrum!$I$51:$J$51</c:f>
              <c:numCache>
                <c:formatCode>General</c:formatCode>
                <c:ptCount val="2"/>
                <c:pt idx="0">
                  <c:v>37699.11184307759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93F9-4F81-9260-2DACCB60631A}"/>
            </c:ext>
          </c:extLst>
        </c:ser>
        <c:ser>
          <c:idx val="109"/>
          <c:order val="10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Spectrum!$G$52:$H$52</c:f>
              <c:numCache>
                <c:formatCode>General</c:formatCode>
                <c:ptCount val="2"/>
                <c:pt idx="0">
                  <c:v>0.01</c:v>
                </c:pt>
                <c:pt idx="1">
                  <c:v>4398.2297150257164</c:v>
                </c:pt>
              </c:numCache>
            </c:numRef>
          </c:xVal>
          <c:yVal>
            <c:numRef>
              <c:f>Spectrum!$I$52:$J$52</c:f>
              <c:numCache>
                <c:formatCode>General</c:formatCode>
                <c:ptCount val="2"/>
                <c:pt idx="0">
                  <c:v>43982.297150257211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93F9-4F81-9260-2DACCB60631A}"/>
            </c:ext>
          </c:extLst>
        </c:ser>
        <c:ser>
          <c:idx val="110"/>
          <c:order val="11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Spectrum!$G$53:$H$53</c:f>
              <c:numCache>
                <c:formatCode>General</c:formatCode>
                <c:ptCount val="2"/>
                <c:pt idx="0">
                  <c:v>0.01</c:v>
                </c:pt>
                <c:pt idx="1">
                  <c:v>5026.5482457436765</c:v>
                </c:pt>
              </c:numCache>
            </c:numRef>
          </c:xVal>
          <c:yVal>
            <c:numRef>
              <c:f>Spectrum!$I$53:$J$53</c:f>
              <c:numCache>
                <c:formatCode>General</c:formatCode>
                <c:ptCount val="2"/>
                <c:pt idx="0">
                  <c:v>50265.482457436818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93F9-4F81-9260-2DACCB60631A}"/>
            </c:ext>
          </c:extLst>
        </c:ser>
        <c:ser>
          <c:idx val="111"/>
          <c:order val="11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Spectrum!$G$54:$H$54</c:f>
              <c:numCache>
                <c:formatCode>General</c:formatCode>
                <c:ptCount val="2"/>
                <c:pt idx="0">
                  <c:v>0.01</c:v>
                </c:pt>
                <c:pt idx="1">
                  <c:v>5654.8667764616384</c:v>
                </c:pt>
              </c:numCache>
            </c:numRef>
          </c:xVal>
          <c:yVal>
            <c:numRef>
              <c:f>Spectrum!$I$54:$J$54</c:f>
              <c:numCache>
                <c:formatCode>General</c:formatCode>
                <c:ptCount val="2"/>
                <c:pt idx="0">
                  <c:v>56548.667764616446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93F9-4F81-9260-2DACCB60631A}"/>
            </c:ext>
          </c:extLst>
        </c:ser>
        <c:ser>
          <c:idx val="112"/>
          <c:order val="112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Spectrum!$G$55:$H$55</c:f>
              <c:numCache>
                <c:formatCode>General</c:formatCode>
                <c:ptCount val="2"/>
                <c:pt idx="0">
                  <c:v>0.01</c:v>
                </c:pt>
                <c:pt idx="1">
                  <c:v>6283.1853071795895</c:v>
                </c:pt>
              </c:numCache>
            </c:numRef>
          </c:xVal>
          <c:yVal>
            <c:numRef>
              <c:f>Spectrum!$I$55:$J$55</c:f>
              <c:numCache>
                <c:formatCode>General</c:formatCode>
                <c:ptCount val="2"/>
                <c:pt idx="0">
                  <c:v>62831.853071795966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93F9-4F81-9260-2DACCB60631A}"/>
            </c:ext>
          </c:extLst>
        </c:ser>
        <c:ser>
          <c:idx val="113"/>
          <c:order val="113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Spectrum!$G$56:$H$56</c:f>
              <c:numCache>
                <c:formatCode>General</c:formatCode>
                <c:ptCount val="2"/>
                <c:pt idx="0">
                  <c:v>0.01</c:v>
                </c:pt>
                <c:pt idx="1">
                  <c:v>12566.370614359203</c:v>
                </c:pt>
              </c:numCache>
            </c:numRef>
          </c:xVal>
          <c:yVal>
            <c:numRef>
              <c:f>Spectrum!$I$56:$J$56</c:f>
              <c:numCache>
                <c:formatCode>General</c:formatCode>
                <c:ptCount val="2"/>
                <c:pt idx="0">
                  <c:v>125663.70614359195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93F9-4F81-9260-2DACCB60631A}"/>
            </c:ext>
          </c:extLst>
        </c:ser>
        <c:ser>
          <c:idx val="114"/>
          <c:order val="114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Spectrum!$G$57:$H$57</c:f>
              <c:numCache>
                <c:formatCode>General</c:formatCode>
                <c:ptCount val="2"/>
                <c:pt idx="0">
                  <c:v>0.01</c:v>
                </c:pt>
                <c:pt idx="1">
                  <c:v>18849.555921538791</c:v>
                </c:pt>
              </c:numCache>
            </c:numRef>
          </c:xVal>
          <c:yVal>
            <c:numRef>
              <c:f>Spectrum!$I$57:$J$57</c:f>
              <c:numCache>
                <c:formatCode>General</c:formatCode>
                <c:ptCount val="2"/>
                <c:pt idx="0">
                  <c:v>188495.55921538812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93F9-4F81-9260-2DACCB60631A}"/>
            </c:ext>
          </c:extLst>
        </c:ser>
        <c:ser>
          <c:idx val="115"/>
          <c:order val="115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Spectrum!$G$58:$H$58</c:f>
              <c:numCache>
                <c:formatCode>General</c:formatCode>
                <c:ptCount val="2"/>
                <c:pt idx="0">
                  <c:v>0.01</c:v>
                </c:pt>
                <c:pt idx="1">
                  <c:v>25132.741228718409</c:v>
                </c:pt>
              </c:numCache>
            </c:numRef>
          </c:xVal>
          <c:yVal>
            <c:numRef>
              <c:f>Spectrum!$I$58:$J$58</c:f>
              <c:numCache>
                <c:formatCode>General</c:formatCode>
                <c:ptCount val="2"/>
                <c:pt idx="0">
                  <c:v>251327.41228718392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93F9-4F81-9260-2DACCB60631A}"/>
            </c:ext>
          </c:extLst>
        </c:ser>
        <c:ser>
          <c:idx val="116"/>
          <c:order val="116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Spectrum!$G$59:$H$59</c:f>
              <c:numCache>
                <c:formatCode>General</c:formatCode>
                <c:ptCount val="2"/>
                <c:pt idx="0">
                  <c:v>0.01</c:v>
                </c:pt>
                <c:pt idx="1">
                  <c:v>31415.926535897979</c:v>
                </c:pt>
              </c:numCache>
            </c:numRef>
          </c:xVal>
          <c:yVal>
            <c:numRef>
              <c:f>Spectrum!$I$59:$J$59</c:f>
              <c:numCache>
                <c:formatCode>General</c:formatCode>
                <c:ptCount val="2"/>
                <c:pt idx="0">
                  <c:v>314159.26535898016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93F9-4F81-9260-2DACCB60631A}"/>
            </c:ext>
          </c:extLst>
        </c:ser>
        <c:ser>
          <c:idx val="117"/>
          <c:order val="117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Spectrum!$G$60:$H$60</c:f>
              <c:numCache>
                <c:formatCode>General</c:formatCode>
                <c:ptCount val="2"/>
                <c:pt idx="0">
                  <c:v>0.01</c:v>
                </c:pt>
                <c:pt idx="1">
                  <c:v>37699.111843077517</c:v>
                </c:pt>
              </c:numCache>
            </c:numRef>
          </c:xVal>
          <c:yVal>
            <c:numRef>
              <c:f>Spectrum!$I$60:$J$60</c:f>
              <c:numCache>
                <c:formatCode>General</c:formatCode>
                <c:ptCount val="2"/>
                <c:pt idx="0">
                  <c:v>376991.11843077559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93F9-4F81-9260-2DACCB60631A}"/>
            </c:ext>
          </c:extLst>
        </c:ser>
        <c:ser>
          <c:idx val="118"/>
          <c:order val="118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Spectrum!$G$61:$H$61</c:f>
              <c:numCache>
                <c:formatCode>General</c:formatCode>
                <c:ptCount val="2"/>
                <c:pt idx="0">
                  <c:v>0.01</c:v>
                </c:pt>
                <c:pt idx="1">
                  <c:v>43982.297150257211</c:v>
                </c:pt>
              </c:numCache>
            </c:numRef>
          </c:xVal>
          <c:yVal>
            <c:numRef>
              <c:f>Spectrum!$I$61:$J$61</c:f>
              <c:numCache>
                <c:formatCode>General</c:formatCode>
                <c:ptCount val="2"/>
                <c:pt idx="0">
                  <c:v>439822.97150257183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93F9-4F81-9260-2DACCB60631A}"/>
            </c:ext>
          </c:extLst>
        </c:ser>
        <c:ser>
          <c:idx val="119"/>
          <c:order val="119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Spectrum!$G$62:$H$62</c:f>
              <c:numCache>
                <c:formatCode>General</c:formatCode>
                <c:ptCount val="2"/>
                <c:pt idx="0">
                  <c:v>0.01</c:v>
                </c:pt>
                <c:pt idx="1">
                  <c:v>50265.482457436818</c:v>
                </c:pt>
              </c:numCache>
            </c:numRef>
          </c:xVal>
          <c:yVal>
            <c:numRef>
              <c:f>Spectrum!$I$62:$J$62</c:f>
              <c:numCache>
                <c:formatCode>General</c:formatCode>
                <c:ptCount val="2"/>
                <c:pt idx="0">
                  <c:v>502654.82457436784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93F9-4F81-9260-2DACCB60631A}"/>
            </c:ext>
          </c:extLst>
        </c:ser>
        <c:ser>
          <c:idx val="120"/>
          <c:order val="120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Spectrum!$G$63:$H$63</c:f>
              <c:numCache>
                <c:formatCode>General</c:formatCode>
                <c:ptCount val="2"/>
                <c:pt idx="0">
                  <c:v>0.01</c:v>
                </c:pt>
                <c:pt idx="1">
                  <c:v>56548.667764616344</c:v>
                </c:pt>
              </c:numCache>
            </c:numRef>
          </c:xVal>
          <c:yVal>
            <c:numRef>
              <c:f>Spectrum!$I$63:$J$63</c:f>
              <c:numCache>
                <c:formatCode>General</c:formatCode>
                <c:ptCount val="2"/>
                <c:pt idx="0">
                  <c:v>565486.67764616304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93F9-4F81-9260-2DACCB60631A}"/>
            </c:ext>
          </c:extLst>
        </c:ser>
        <c:ser>
          <c:idx val="121"/>
          <c:order val="121"/>
          <c:spPr>
            <a:ln w="6350">
              <a:solidFill>
                <a:schemeClr val="bg1">
                  <a:lumMod val="85000"/>
                </a:schemeClr>
              </a:solidFill>
            </a:ln>
          </c:spPr>
          <c:marker>
            <c:symbol val="none"/>
          </c:marker>
          <c:xVal>
            <c:numRef>
              <c:f>Spectrum!$G$64:$H$64</c:f>
              <c:numCache>
                <c:formatCode>General</c:formatCode>
                <c:ptCount val="2"/>
                <c:pt idx="0">
                  <c:v>0.01</c:v>
                </c:pt>
                <c:pt idx="1">
                  <c:v>62831.853071795966</c:v>
                </c:pt>
              </c:numCache>
            </c:numRef>
          </c:xVal>
          <c:yVal>
            <c:numRef>
              <c:f>Spectrum!$I$64:$J$64</c:f>
              <c:numCache>
                <c:formatCode>General</c:formatCode>
                <c:ptCount val="2"/>
                <c:pt idx="0">
                  <c:v>628318.53071796033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93F9-4F81-9260-2DACCB60631A}"/>
            </c:ext>
          </c:extLst>
        </c:ser>
        <c:ser>
          <c:idx val="122"/>
          <c:order val="122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Spectrum!$L$2:$L$19</c:f>
              <c:numCache>
                <c:formatCode>General</c:formatCode>
                <c:ptCount val="18"/>
                <c:pt idx="0">
                  <c:v>0.11140846016432673</c:v>
                </c:pt>
                <c:pt idx="1">
                  <c:v>0.24191551349968093</c:v>
                </c:pt>
                <c:pt idx="2">
                  <c:v>0.39152116000606252</c:v>
                </c:pt>
                <c:pt idx="3">
                  <c:v>0.56022539968347163</c:v>
                </c:pt>
                <c:pt idx="4">
                  <c:v>0.7480282325319082</c:v>
                </c:pt>
                <c:pt idx="5">
                  <c:v>0.95492965855137213</c:v>
                </c:pt>
                <c:pt idx="6">
                  <c:v>1.1809296777418636</c:v>
                </c:pt>
                <c:pt idx="7">
                  <c:v>1.4260282901033825</c:v>
                </c:pt>
                <c:pt idx="8">
                  <c:v>1.6902254956359288</c:v>
                </c:pt>
                <c:pt idx="9">
                  <c:v>1.973521294339502</c:v>
                </c:pt>
                <c:pt idx="10">
                  <c:v>2.2759156862141028</c:v>
                </c:pt>
                <c:pt idx="11">
                  <c:v>2.5974086712597311</c:v>
                </c:pt>
                <c:pt idx="12">
                  <c:v>2.9380002494763873</c:v>
                </c:pt>
                <c:pt idx="13">
                  <c:v>3.2976904208640709</c:v>
                </c:pt>
                <c:pt idx="14">
                  <c:v>3.6764791854227816</c:v>
                </c:pt>
                <c:pt idx="15">
                  <c:v>4.0743665431525207</c:v>
                </c:pt>
                <c:pt idx="16">
                  <c:v>16.297466172610083</c:v>
                </c:pt>
                <c:pt idx="17">
                  <c:v>16.297466172610083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93F9-4F81-9260-2DACCB60631A}"/>
            </c:ext>
          </c:extLst>
        </c:ser>
        <c:ser>
          <c:idx val="123"/>
          <c:order val="123"/>
          <c:spPr>
            <a:ln w="6350"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Spectrum!$K$2:$K$19</c:f>
              <c:numCache>
                <c:formatCode>General</c:formatCode>
                <c:ptCount val="18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0.10999999999999999</c:v>
                </c:pt>
                <c:pt idx="11">
                  <c:v>0.11999999999999998</c:v>
                </c:pt>
                <c:pt idx="12">
                  <c:v>0.12999999999999998</c:v>
                </c:pt>
                <c:pt idx="13">
                  <c:v>0.13999999999999999</c:v>
                </c:pt>
                <c:pt idx="14">
                  <c:v>0.15</c:v>
                </c:pt>
                <c:pt idx="15">
                  <c:v>0.16</c:v>
                </c:pt>
                <c:pt idx="16">
                  <c:v>0.64</c:v>
                </c:pt>
                <c:pt idx="17">
                  <c:v>10</c:v>
                </c:pt>
              </c:numCache>
            </c:numRef>
          </c:xVal>
          <c:yVal>
            <c:numRef>
              <c:f>Spectrum!$M$2:$M$19</c:f>
              <c:numCache>
                <c:formatCode>General</c:formatCode>
                <c:ptCount val="18"/>
                <c:pt idx="0">
                  <c:v>0.55704230082163364</c:v>
                </c:pt>
                <c:pt idx="1">
                  <c:v>1.2095775674984046</c:v>
                </c:pt>
                <c:pt idx="2">
                  <c:v>1.9576058000303127</c:v>
                </c:pt>
                <c:pt idx="3">
                  <c:v>2.8011269984173581</c:v>
                </c:pt>
                <c:pt idx="4">
                  <c:v>3.7401411626595409</c:v>
                </c:pt>
                <c:pt idx="5">
                  <c:v>4.7746482927568605</c:v>
                </c:pt>
                <c:pt idx="6">
                  <c:v>5.904648388709318</c:v>
                </c:pt>
                <c:pt idx="7">
                  <c:v>7.1301414505169127</c:v>
                </c:pt>
                <c:pt idx="8">
                  <c:v>8.4511274781796448</c:v>
                </c:pt>
                <c:pt idx="9">
                  <c:v>9.8676064716975098</c:v>
                </c:pt>
                <c:pt idx="10">
                  <c:v>11.379578431070513</c:v>
                </c:pt>
                <c:pt idx="11">
                  <c:v>12.987043356298656</c:v>
                </c:pt>
                <c:pt idx="12">
                  <c:v>14.690001247381936</c:v>
                </c:pt>
                <c:pt idx="13">
                  <c:v>16.488452104320356</c:v>
                </c:pt>
                <c:pt idx="14">
                  <c:v>18.382395927113908</c:v>
                </c:pt>
                <c:pt idx="15">
                  <c:v>20.371832715762604</c:v>
                </c:pt>
                <c:pt idx="16">
                  <c:v>81.487330863050417</c:v>
                </c:pt>
                <c:pt idx="17">
                  <c:v>81.487330863050417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93F9-4F81-9260-2DACCB60631A}"/>
            </c:ext>
          </c:extLst>
        </c:ser>
        <c:ser>
          <c:idx val="124"/>
          <c:order val="124"/>
          <c:tx>
            <c:v>Wave1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C-93F9-4F81-9260-2DACCB60631A}"/>
            </c:ext>
          </c:extLst>
        </c:ser>
        <c:ser>
          <c:idx val="125"/>
          <c:order val="125"/>
          <c:tx>
            <c:v>Wave2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D-93F9-4F81-9260-2DACCB60631A}"/>
            </c:ext>
          </c:extLst>
        </c:ser>
        <c:ser>
          <c:idx val="126"/>
          <c:order val="126"/>
          <c:tx>
            <c:v>Wave3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E-93F9-4F81-9260-2DACCB60631A}"/>
            </c:ext>
          </c:extLst>
        </c:ser>
        <c:ser>
          <c:idx val="127"/>
          <c:order val="127"/>
          <c:tx>
            <c:v>Wave4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7F-93F9-4F81-9260-2DACCB60631A}"/>
            </c:ext>
          </c:extLst>
        </c:ser>
        <c:ser>
          <c:idx val="128"/>
          <c:order val="128"/>
          <c:tx>
            <c:v>Wave5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0-93F9-4F81-9260-2DACCB60631A}"/>
            </c:ext>
          </c:extLst>
        </c:ser>
        <c:ser>
          <c:idx val="129"/>
          <c:order val="129"/>
          <c:tx>
            <c:v>Wave6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1-93F9-4F81-9260-2DACCB60631A}"/>
            </c:ext>
          </c:extLst>
        </c:ser>
        <c:ser>
          <c:idx val="130"/>
          <c:order val="130"/>
          <c:tx>
            <c:v>Wave7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2-93F9-4F81-9260-2DACCB60631A}"/>
            </c:ext>
          </c:extLst>
        </c:ser>
        <c:ser>
          <c:idx val="131"/>
          <c:order val="131"/>
          <c:tx>
            <c:v>Wave8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3-93F9-4F81-9260-2DACCB60631A}"/>
            </c:ext>
          </c:extLst>
        </c:ser>
        <c:ser>
          <c:idx val="132"/>
          <c:order val="132"/>
          <c:tx>
            <c:v>Wave9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4-93F9-4F81-9260-2DACCB60631A}"/>
            </c:ext>
          </c:extLst>
        </c:ser>
        <c:ser>
          <c:idx val="133"/>
          <c:order val="133"/>
          <c:tx>
            <c:v>Wave10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5-93F9-4F81-9260-2DACCB60631A}"/>
            </c:ext>
          </c:extLst>
        </c:ser>
        <c:ser>
          <c:idx val="134"/>
          <c:order val="134"/>
          <c:tx>
            <c:v>Wave11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6-93F9-4F81-9260-2DACCB60631A}"/>
            </c:ext>
          </c:extLst>
        </c:ser>
        <c:ser>
          <c:idx val="135"/>
          <c:order val="135"/>
          <c:tx>
            <c:v>Wave12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7-93F9-4F81-9260-2DACCB60631A}"/>
            </c:ext>
          </c:extLst>
        </c:ser>
        <c:ser>
          <c:idx val="136"/>
          <c:order val="136"/>
          <c:tx>
            <c:v>Wave13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8-93F9-4F81-9260-2DACCB60631A}"/>
            </c:ext>
          </c:extLst>
        </c:ser>
        <c:ser>
          <c:idx val="137"/>
          <c:order val="137"/>
          <c:tx>
            <c:v>Wave14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9-93F9-4F81-9260-2DACCB60631A}"/>
            </c:ext>
          </c:extLst>
        </c:ser>
        <c:ser>
          <c:idx val="138"/>
          <c:order val="138"/>
          <c:tx>
            <c:v>Wave15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A-93F9-4F81-9260-2DACCB60631A}"/>
            </c:ext>
          </c:extLst>
        </c:ser>
        <c:ser>
          <c:idx val="139"/>
          <c:order val="139"/>
          <c:tx>
            <c:v>Wave16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B-93F9-4F81-9260-2DACCB60631A}"/>
            </c:ext>
          </c:extLst>
        </c:ser>
        <c:ser>
          <c:idx val="140"/>
          <c:order val="140"/>
          <c:tx>
            <c:v>Wave17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C-93F9-4F81-9260-2DACCB60631A}"/>
            </c:ext>
          </c:extLst>
        </c:ser>
        <c:ser>
          <c:idx val="141"/>
          <c:order val="141"/>
          <c:tx>
            <c:v>Wave18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D-93F9-4F81-9260-2DACCB60631A}"/>
            </c:ext>
          </c:extLst>
        </c:ser>
        <c:ser>
          <c:idx val="142"/>
          <c:order val="142"/>
          <c:tx>
            <c:v>Wave19</c:v>
          </c:tx>
          <c:spPr>
            <a:ln w="9525">
              <a:solidFill>
                <a:srgbClr val="000000"/>
              </a:solidFill>
              <a:prstDash val="solid"/>
            </a:ln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8E-93F9-4F81-9260-2DACCB606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82752"/>
        <c:axId val="124284288"/>
        <c:extLst>
          <c:ext xmlns:c15="http://schemas.microsoft.com/office/drawing/2012/chart" uri="{02D57815-91ED-43cb-92C2-25804820EDAC}">
            <c15:filteredScatterSeries>
              <c15:ser>
                <c:idx val="143"/>
                <c:order val="143"/>
                <c:tx>
                  <c:v>Wave20</c:v>
                </c:tx>
                <c:spPr>
                  <a:ln w="9525">
                    <a:solidFill>
                      <a:srgbClr val="000000"/>
                    </a:solidFill>
                    <a:prstDash val="solid"/>
                  </a:ln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8F-93F9-4F81-9260-2DACCB60631A}"/>
                  </c:ext>
                </c:extLst>
              </c15:ser>
            </c15:filteredScatterSeries>
            <c15:filteredScatterSeries>
              <c15:ser>
                <c:idx val="144"/>
                <c:order val="144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0-93F9-4F81-9260-2DACCB60631A}"/>
                  </c:ext>
                </c:extLst>
              </c15:ser>
            </c15:filteredScatterSeries>
            <c15:filteredScatterSeries>
              <c15:ser>
                <c:idx val="145"/>
                <c:order val="145"/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1-93F9-4F81-9260-2DACCB60631A}"/>
                  </c:ext>
                </c:extLst>
              </c15:ser>
            </c15:filteredScatterSeries>
          </c:ext>
        </c:extLst>
      </c:scatterChart>
      <c:valAx>
        <c:axId val="124282752"/>
        <c:scaling>
          <c:logBase val="10"/>
          <c:orientation val="minMax"/>
          <c:max val="10"/>
          <c:min val="1.0000000000000002E-2"/>
        </c:scaling>
        <c:delete val="0"/>
        <c:axPos val="b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4288"/>
        <c:crosses val="autoZero"/>
        <c:crossBetween val="midCat"/>
      </c:valAx>
      <c:valAx>
        <c:axId val="124284288"/>
        <c:scaling>
          <c:logBase val="10"/>
          <c:orientation val="minMax"/>
          <c:max val="1000"/>
          <c:min val="0.1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numFmt formatCode="General" sourceLinked="1"/>
        <c:majorTickMark val="none"/>
        <c:minorTickMark val="none"/>
        <c:tickLblPos val="low"/>
        <c:spPr>
          <a:noFill/>
          <a:ln>
            <a:noFill/>
          </a:ln>
        </c:spPr>
        <c:txPr>
          <a:bodyPr/>
          <a:lstStyle/>
          <a:p>
            <a:pPr>
              <a:defRPr sz="900" baseline="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defRPr>
            </a:pPr>
            <a:endParaRPr lang="ja-JP"/>
          </a:p>
        </c:txPr>
        <c:crossAx val="124282752"/>
        <c:crosses val="autoZero"/>
        <c:crossBetween val="midCat"/>
      </c:valAx>
      <c:spPr>
        <a:solidFill>
          <a:schemeClr val="bg1"/>
        </a:solidFill>
        <a:ln w="6350">
          <a:solidFill>
            <a:schemeClr val="bg1">
              <a:lumMod val="85000"/>
            </a:schemeClr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>
      <a:solidFill>
        <a:schemeClr val="tx1"/>
      </a:solidFill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1E7-4934-899E-DEAEE1EFC90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1E7-4934-899E-DEAEE1EFC90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1E7-4934-899E-DEAEE1EFC90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1E7-4934-899E-DEAEE1EFC90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01E7-4934-899E-DEAEE1EFC90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1E7-4934-899E-DEAEE1EFC90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01E7-4934-899E-DEAEE1EFC90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01E7-4934-899E-DEAEE1EFC90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01E7-4934-899E-DEAEE1EFC90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01E7-4934-899E-DEAEE1EFC90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1E7-4934-899E-DEAEE1EFC90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1E7-4934-899E-DEAEE1EFC90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1E7-4934-899E-DEAEE1EFC90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1E7-4934-899E-DEAEE1EFC90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1E7-4934-899E-DEAEE1EFC90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1E7-4934-899E-DEAEE1EFC90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1E7-4934-899E-DEAEE1EFC90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1E7-4934-899E-DEAEE1EFC90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1E7-4934-899E-DEAEE1EFC90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1E7-4934-899E-DEAEE1EFC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01E7-4934-899E-DEAEE1EFC90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C48-4E3C-9E8F-6AB86FDD74C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C48-4E3C-9E8F-6AB86FDD74C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C48-4E3C-9E8F-6AB86FDD74C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C48-4E3C-9E8F-6AB86FDD74C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C48-4E3C-9E8F-6AB86FDD74C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C48-4E3C-9E8F-6AB86FDD74C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C48-4E3C-9E8F-6AB86FDD74C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C48-4E3C-9E8F-6AB86FDD74C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C48-4E3C-9E8F-6AB86FDD74C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C48-4E3C-9E8F-6AB86FDD74C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C48-4E3C-9E8F-6AB86FDD74C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C48-4E3C-9E8F-6AB86FDD74C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C48-4E3C-9E8F-6AB86FDD74C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C48-4E3C-9E8F-6AB86FDD74C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C48-4E3C-9E8F-6AB86FDD74C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C48-4E3C-9E8F-6AB86FDD74C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C48-4E3C-9E8F-6AB86FDD74C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C48-4E3C-9E8F-6AB86FDD74C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C48-4E3C-9E8F-6AB86FDD74C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C48-4E3C-9E8F-6AB86FDD74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8BA-4A6B-B55F-DE8A3601B03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BA-4A6B-B55F-DE8A3601B03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8BA-4A6B-B55F-DE8A3601B03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8BA-4A6B-B55F-DE8A3601B03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8BA-4A6B-B55F-DE8A3601B03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8BA-4A6B-B55F-DE8A3601B03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8BA-4A6B-B55F-DE8A3601B03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8BA-4A6B-B55F-DE8A3601B03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8BA-4A6B-B55F-DE8A3601B03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8BA-4A6B-B55F-DE8A3601B03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8BA-4A6B-B55F-DE8A3601B03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8BA-4A6B-B55F-DE8A3601B03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8BA-4A6B-B55F-DE8A3601B03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8BA-4A6B-B55F-DE8A3601B03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8BA-4A6B-B55F-DE8A3601B03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8BA-4A6B-B55F-DE8A3601B03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8BA-4A6B-B55F-DE8A3601B03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8BA-4A6B-B55F-DE8A3601B03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8BA-4A6B-B55F-DE8A3601B03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8BA-4A6B-B55F-DE8A3601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62-4546-98E7-10435969597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62-4546-98E7-10435969597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62-4546-98E7-10435969597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62-4546-98E7-10435969597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62-4546-98E7-10435969597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62-4546-98E7-10435969597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62-4546-98E7-10435969597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62-4546-98E7-10435969597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62-4546-98E7-10435969597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62-4546-98E7-10435969597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62-4546-98E7-10435969597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62-4546-98E7-10435969597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62-4546-98E7-10435969597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62-4546-98E7-10435969597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62-4546-98E7-10435969597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62-4546-98E7-10435969597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62-4546-98E7-10435969597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62-4546-98E7-10435969597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62-4546-98E7-10435969597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62-4546-98E7-104359695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216-45FF-9528-60F5B7D69B8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16-45FF-9528-60F5B7D69B8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216-45FF-9528-60F5B7D69B8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16-45FF-9528-60F5B7D69B8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16-45FF-9528-60F5B7D69B8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216-45FF-9528-60F5B7D69B8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3216-45FF-9528-60F5B7D69B8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216-45FF-9528-60F5B7D69B8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3216-45FF-9528-60F5B7D69B8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216-45FF-9528-60F5B7D69B8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3216-45FF-9528-60F5B7D69B8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216-45FF-9528-60F5B7D69B8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3216-45FF-9528-60F5B7D69B8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216-45FF-9528-60F5B7D69B8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3216-45FF-9528-60F5B7D69B8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216-45FF-9528-60F5B7D69B8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3216-45FF-9528-60F5B7D69B8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3216-45FF-9528-60F5B7D69B8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3216-45FF-9528-60F5B7D69B8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3216-45FF-9528-60F5B7D69B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FEB-48C4-ADEC-167C670FD4C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EB-48C4-ADEC-167C670FD4C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FEB-48C4-ADEC-167C670FD4C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EB-48C4-ADEC-167C670FD4C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EB-48C4-ADEC-167C670FD4C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FEB-48C4-ADEC-167C670FD4C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FEB-48C4-ADEC-167C670FD4C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FEB-48C4-ADEC-167C670FD4C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FEB-48C4-ADEC-167C670FD4C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FEB-48C4-ADEC-167C670FD4C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FEB-48C4-ADEC-167C670FD4C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FEB-48C4-ADEC-167C670FD4C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FEB-48C4-ADEC-167C670FD4C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FEB-48C4-ADEC-167C670FD4C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FEB-48C4-ADEC-167C670FD4C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FEB-48C4-ADEC-167C670FD4C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FEB-48C4-ADEC-167C670FD4C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FEB-48C4-ADEC-167C670FD4C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FEB-48C4-ADEC-167C670FD4C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FEB-48C4-ADEC-167C670FD4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EFEB-48C4-ADEC-167C670FD4C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C42-4347-BFAF-94BBFFCC793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C42-4347-BFAF-94BBFFCC793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42-4347-BFAF-94BBFFCC793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42-4347-BFAF-94BBFFCC793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C42-4347-BFAF-94BBFFCC793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C42-4347-BFAF-94BBFFCC793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C42-4347-BFAF-94BBFFCC793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C42-4347-BFAF-94BBFFCC793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C42-4347-BFAF-94BBFFCC793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C42-4347-BFAF-94BBFFCC793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C42-4347-BFAF-94BBFFCC793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C42-4347-BFAF-94BBFFCC793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C42-4347-BFAF-94BBFFCC793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C42-4347-BFAF-94BBFFCC793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C42-4347-BFAF-94BBFFCC793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C42-4347-BFAF-94BBFFCC793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C42-4347-BFAF-94BBFFCC793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C42-4347-BFAF-94BBFFCC793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C42-4347-BFAF-94BBFFCC793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C42-4347-BFAF-94BBFFCC7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DC42-4347-BFAF-94BBFFCC793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AE4-44FF-8BEE-77EEEAA6CFA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AE4-44FF-8BEE-77EEEAA6CFA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AE4-44FF-8BEE-77EEEAA6CFA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AE4-44FF-8BEE-77EEEAA6CFA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AE4-44FF-8BEE-77EEEAA6CFA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AE4-44FF-8BEE-77EEEAA6CFA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AE4-44FF-8BEE-77EEEAA6CFA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AE4-44FF-8BEE-77EEEAA6CFA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AE4-44FF-8BEE-77EEEAA6CFA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AE4-44FF-8BEE-77EEEAA6CFA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AE4-44FF-8BEE-77EEEAA6CFA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AE4-44FF-8BEE-77EEEAA6CFA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AE4-44FF-8BEE-77EEEAA6CFA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AE4-44FF-8BEE-77EEEAA6CFA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AE4-44FF-8BEE-77EEEAA6CFA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AE4-44FF-8BEE-77EEEAA6CFA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AE4-44FF-8BEE-77EEEAA6CFA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AE4-44FF-8BEE-77EEEAA6CFA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AE4-44FF-8BEE-77EEEAA6CFA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AE4-44FF-8BEE-77EEEAA6C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AE4-44FF-8BEE-77EEEAA6CFA2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37F-4BB6-858A-D0EB3A3C96EF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37F-4BB6-858A-D0EB3A3C96EF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37F-4BB6-858A-D0EB3A3C96EF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37F-4BB6-858A-D0EB3A3C96EF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37F-4BB6-858A-D0EB3A3C96EF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37F-4BB6-858A-D0EB3A3C96EF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37F-4BB6-858A-D0EB3A3C96EF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37F-4BB6-858A-D0EB3A3C96EF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37F-4BB6-858A-D0EB3A3C96EF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37F-4BB6-858A-D0EB3A3C96EF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37F-4BB6-858A-D0EB3A3C96EF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37F-4BB6-858A-D0EB3A3C96EF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37F-4BB6-858A-D0EB3A3C96EF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37F-4BB6-858A-D0EB3A3C96EF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37F-4BB6-858A-D0EB3A3C96EF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37F-4BB6-858A-D0EB3A3C96EF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37F-4BB6-858A-D0EB3A3C96EF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37F-4BB6-858A-D0EB3A3C96EF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37F-4BB6-858A-D0EB3A3C96EF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37F-4BB6-858A-D0EB3A3C9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37F-4BB6-858A-D0EB3A3C96EF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FEA-4446-8D0B-DBDA90A8C92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FEA-4446-8D0B-DBDA90A8C92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FEA-4446-8D0B-DBDA90A8C92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FEA-4446-8D0B-DBDA90A8C92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FEA-4446-8D0B-DBDA90A8C92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FEA-4446-8D0B-DBDA90A8C92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FEA-4446-8D0B-DBDA90A8C92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FEA-4446-8D0B-DBDA90A8C92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FEA-4446-8D0B-DBDA90A8C92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FEA-4446-8D0B-DBDA90A8C92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FEA-4446-8D0B-DBDA90A8C92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FEA-4446-8D0B-DBDA90A8C92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FEA-4446-8D0B-DBDA90A8C92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FEA-4446-8D0B-DBDA90A8C92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FEA-4446-8D0B-DBDA90A8C92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FEA-4446-8D0B-DBDA90A8C92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FEA-4446-8D0B-DBDA90A8C92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FEA-4446-8D0B-DBDA90A8C92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FEA-4446-8D0B-DBDA90A8C92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FEA-4446-8D0B-DBDA90A8C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80-49C3-959D-633451281B6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80-49C3-959D-633451281B6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80-49C3-959D-633451281B6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80-49C3-959D-633451281B6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80-49C3-959D-633451281B6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80-49C3-959D-633451281B6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80-49C3-959D-633451281B6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80-49C3-959D-633451281B6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80-49C3-959D-633451281B6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80-49C3-959D-633451281B6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80-49C3-959D-633451281B6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80-49C3-959D-633451281B6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80-49C3-959D-633451281B6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80-49C3-959D-633451281B6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80-49C3-959D-633451281B6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80-49C3-959D-633451281B6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80-49C3-959D-633451281B6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80-49C3-959D-633451281B6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80-49C3-959D-633451281B6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80-49C3-959D-633451281B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F80-49C3-959D-633451281B60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6ED-4429-821A-0242096984E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6ED-4429-821A-0242096984E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6ED-4429-821A-0242096984E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6ED-4429-821A-0242096984E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6ED-4429-821A-0242096984E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6ED-4429-821A-0242096984E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6ED-4429-821A-0242096984E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6ED-4429-821A-0242096984E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6ED-4429-821A-0242096984E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6ED-4429-821A-0242096984E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6ED-4429-821A-0242096984E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6ED-4429-821A-0242096984E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6ED-4429-821A-0242096984E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6ED-4429-821A-0242096984E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6ED-4429-821A-0242096984E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6ED-4429-821A-0242096984E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6ED-4429-821A-0242096984E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6ED-4429-821A-0242096984E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6ED-4429-821A-0242096984E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6ED-4429-821A-02420969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6A-4FB6-8002-A5629194589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6A-4FB6-8002-A5629194589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6A-4FB6-8002-A5629194589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6A-4FB6-8002-A5629194589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6A-4FB6-8002-A5629194589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6A-4FB6-8002-A5629194589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6A-4FB6-8002-A5629194589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6A-4FB6-8002-A5629194589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6A-4FB6-8002-A5629194589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6A-4FB6-8002-A5629194589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6A-4FB6-8002-A5629194589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6A-4FB6-8002-A5629194589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6A-4FB6-8002-A5629194589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6A-4FB6-8002-A5629194589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6A-4FB6-8002-A5629194589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6A-4FB6-8002-A5629194589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6A-4FB6-8002-A5629194589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6A-4FB6-8002-A5629194589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6A-4FB6-8002-A5629194589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6A-4FB6-8002-A56291945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A28-46F7-A4E6-7B8A75AE9B4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A28-46F7-A4E6-7B8A75AE9B4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A28-46F7-A4E6-7B8A75AE9B4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A28-46F7-A4E6-7B8A75AE9B4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A28-46F7-A4E6-7B8A75AE9B4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A28-46F7-A4E6-7B8A75AE9B4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A28-46F7-A4E6-7B8A75AE9B4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A28-46F7-A4E6-7B8A75AE9B4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A28-46F7-A4E6-7B8A75AE9B4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A28-46F7-A4E6-7B8A75AE9B4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A28-46F7-A4E6-7B8A75AE9B4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A28-46F7-A4E6-7B8A75AE9B4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A28-46F7-A4E6-7B8A75AE9B4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A28-46F7-A4E6-7B8A75AE9B4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A28-46F7-A4E6-7B8A75AE9B4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A28-46F7-A4E6-7B8A75AE9B4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A28-46F7-A4E6-7B8A75AE9B4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A28-46F7-A4E6-7B8A75AE9B4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A28-46F7-A4E6-7B8A75AE9B4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A28-46F7-A4E6-7B8A75AE9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9B-4D93-AF65-84D88C52147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849B-4D93-AF65-84D88C52147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849B-4D93-AF65-84D88C52147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849B-4D93-AF65-84D88C52147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849B-4D93-AF65-84D88C52147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849B-4D93-AF65-84D88C52147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849B-4D93-AF65-84D88C52147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849B-4D93-AF65-84D88C52147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849B-4D93-AF65-84D88C52147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849B-4D93-AF65-84D88C52147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849B-4D93-AF65-84D88C52147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849B-4D93-AF65-84D88C52147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849B-4D93-AF65-84D88C52147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849B-4D93-AF65-84D88C52147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849B-4D93-AF65-84D88C52147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849B-4D93-AF65-84D88C52147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849B-4D93-AF65-84D88C52147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849B-4D93-AF65-84D88C52147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849B-4D93-AF65-84D88C52147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849B-4D93-AF65-84D88C52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E9B-4F6B-885F-D56E9CE707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E9B-4F6B-885F-D56E9CE707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E9B-4F6B-885F-D56E9CE707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E9B-4F6B-885F-D56E9CE707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E9B-4F6B-885F-D56E9CE707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E9B-4F6B-885F-D56E9CE707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E9B-4F6B-885F-D56E9CE707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E9B-4F6B-885F-D56E9CE707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E9B-4F6B-885F-D56E9CE707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E9B-4F6B-885F-D56E9CE707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E9B-4F6B-885F-D56E9CE707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E9B-4F6B-885F-D56E9CE707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E9B-4F6B-885F-D56E9CE707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E9B-4F6B-885F-D56E9CE707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E9B-4F6B-885F-D56E9CE707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E9B-4F6B-885F-D56E9CE707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E9B-4F6B-885F-D56E9CE707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E9B-4F6B-885F-D56E9CE707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E9B-4F6B-885F-D56E9CE707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E9B-4F6B-885F-D56E9CE7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E9B-4F6B-885F-D56E9CE707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4FA-4A88-AD1A-3C9F609654E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4FA-4A88-AD1A-3C9F609654E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4FA-4A88-AD1A-3C9F609654E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4FA-4A88-AD1A-3C9F609654E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4FA-4A88-AD1A-3C9F609654E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4FA-4A88-AD1A-3C9F609654E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4FA-4A88-AD1A-3C9F609654E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4FA-4A88-AD1A-3C9F609654E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4FA-4A88-AD1A-3C9F609654E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4FA-4A88-AD1A-3C9F609654E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4FA-4A88-AD1A-3C9F609654E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4FA-4A88-AD1A-3C9F609654E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4FA-4A88-AD1A-3C9F609654E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4FA-4A88-AD1A-3C9F609654E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4FA-4A88-AD1A-3C9F609654E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4FA-4A88-AD1A-3C9F609654E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4FA-4A88-AD1A-3C9F609654E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4FA-4A88-AD1A-3C9F609654E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4FA-4A88-AD1A-3C9F609654E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4FA-4A88-AD1A-3C9F60965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44FA-4A88-AD1A-3C9F609654ED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437-4471-A934-8371584F719E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437-4471-A934-8371584F719E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437-4471-A934-8371584F719E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437-4471-A934-8371584F719E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437-4471-A934-8371584F719E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437-4471-A934-8371584F719E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437-4471-A934-8371584F719E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437-4471-A934-8371584F719E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437-4471-A934-8371584F719E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437-4471-A934-8371584F719E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437-4471-A934-8371584F719E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437-4471-A934-8371584F719E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437-4471-A934-8371584F719E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437-4471-A934-8371584F719E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437-4471-A934-8371584F719E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437-4471-A934-8371584F719E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437-4471-A934-8371584F719E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437-4471-A934-8371584F719E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437-4471-A934-8371584F719E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437-4471-A934-8371584F7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437-4471-A934-8371584F719E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1A7-43B5-B0FD-1373EC196F4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1A7-43B5-B0FD-1373EC196F4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1A7-43B5-B0FD-1373EC196F4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1A7-43B5-B0FD-1373EC196F4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1A7-43B5-B0FD-1373EC196F4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1A7-43B5-B0FD-1373EC196F4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1A7-43B5-B0FD-1373EC196F4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1A7-43B5-B0FD-1373EC196F4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1A7-43B5-B0FD-1373EC196F4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1A7-43B5-B0FD-1373EC196F4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1A7-43B5-B0FD-1373EC196F4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1A7-43B5-B0FD-1373EC196F4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1A7-43B5-B0FD-1373EC196F4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1A7-43B5-B0FD-1373EC196F4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1A7-43B5-B0FD-1373EC196F4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1A7-43B5-B0FD-1373EC196F4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1A7-43B5-B0FD-1373EC196F4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1A7-43B5-B0FD-1373EC196F4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1A7-43B5-B0FD-1373EC196F4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1A7-43B5-B0FD-1373EC196F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1A7-43B5-B0FD-1373EC196F46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9CD7-4C31-9A0D-B447F6877AE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CD7-4C31-9A0D-B447F6877AE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9CD7-4C31-9A0D-B447F6877AE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9CD7-4C31-9A0D-B447F6877AE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CD7-4C31-9A0D-B447F6877AE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CD7-4C31-9A0D-B447F6877AE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9CD7-4C31-9A0D-B447F6877AE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9CD7-4C31-9A0D-B447F6877AE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9CD7-4C31-9A0D-B447F6877AE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9CD7-4C31-9A0D-B447F6877AE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9CD7-4C31-9A0D-B447F6877AE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9CD7-4C31-9A0D-B447F6877AE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9CD7-4C31-9A0D-B447F6877AE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9CD7-4C31-9A0D-B447F6877AE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9CD7-4C31-9A0D-B447F6877AE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9CD7-4C31-9A0D-B447F6877AE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9CD7-4C31-9A0D-B447F6877AE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9CD7-4C31-9A0D-B447F6877AE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9CD7-4C31-9A0D-B447F6877AE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9CD7-4C31-9A0D-B447F687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ACB-4611-B385-E2D948775AC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CB-4611-B385-E2D948775AC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ACB-4611-B385-E2D948775AC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ACB-4611-B385-E2D948775AC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ACB-4611-B385-E2D948775AC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ACB-4611-B385-E2D948775AC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ACB-4611-B385-E2D948775AC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ACB-4611-B385-E2D948775AC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ACB-4611-B385-E2D948775AC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ACB-4611-B385-E2D948775AC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ACB-4611-B385-E2D948775AC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ACB-4611-B385-E2D948775AC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ACB-4611-B385-E2D948775AC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ACB-4611-B385-E2D948775AC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ACB-4611-B385-E2D948775AC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ACB-4611-B385-E2D948775AC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ACB-4611-B385-E2D948775AC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ACB-4611-B385-E2D948775AC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ACB-4611-B385-E2D948775AC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ACB-4611-B385-E2D948775A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CACB-4611-B385-E2D948775AC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01F-49CC-9872-4367DE891FA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01F-49CC-9872-4367DE891FA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01F-49CC-9872-4367DE891FA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01F-49CC-9872-4367DE891FA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01F-49CC-9872-4367DE891FA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01F-49CC-9872-4367DE891FA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01F-49CC-9872-4367DE891FA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01F-49CC-9872-4367DE891FA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01F-49CC-9872-4367DE891FA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01F-49CC-9872-4367DE891FA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01F-49CC-9872-4367DE891FA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01F-49CC-9872-4367DE891FA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01F-49CC-9872-4367DE891FA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01F-49CC-9872-4367DE891FA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01F-49CC-9872-4367DE891FA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01F-49CC-9872-4367DE891FA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01F-49CC-9872-4367DE891FA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01F-49CC-9872-4367DE891FA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01F-49CC-9872-4367DE891FA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01F-49CC-9872-4367DE891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C264-4189-931B-5D3CC3B492E9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264-4189-931B-5D3CC3B492E9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264-4189-931B-5D3CC3B492E9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C264-4189-931B-5D3CC3B492E9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C264-4189-931B-5D3CC3B492E9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C264-4189-931B-5D3CC3B492E9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C264-4189-931B-5D3CC3B492E9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C264-4189-931B-5D3CC3B492E9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C264-4189-931B-5D3CC3B492E9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C264-4189-931B-5D3CC3B492E9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C264-4189-931B-5D3CC3B492E9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C264-4189-931B-5D3CC3B492E9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C264-4189-931B-5D3CC3B492E9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C264-4189-931B-5D3CC3B492E9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C264-4189-931B-5D3CC3B492E9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C264-4189-931B-5D3CC3B492E9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C264-4189-931B-5D3CC3B492E9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C264-4189-931B-5D3CC3B492E9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C264-4189-931B-5D3CC3B492E9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C264-4189-931B-5D3CC3B49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8DF-4FB3-85FB-097AD4EF1B7D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8DF-4FB3-85FB-097AD4EF1B7D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8DF-4FB3-85FB-097AD4EF1B7D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8DF-4FB3-85FB-097AD4EF1B7D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8DF-4FB3-85FB-097AD4EF1B7D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8DF-4FB3-85FB-097AD4EF1B7D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8DF-4FB3-85FB-097AD4EF1B7D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8DF-4FB3-85FB-097AD4EF1B7D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8DF-4FB3-85FB-097AD4EF1B7D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8DF-4FB3-85FB-097AD4EF1B7D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8DF-4FB3-85FB-097AD4EF1B7D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8DF-4FB3-85FB-097AD4EF1B7D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8DF-4FB3-85FB-097AD4EF1B7D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8DF-4FB3-85FB-097AD4EF1B7D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8DF-4FB3-85FB-097AD4EF1B7D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8DF-4FB3-85FB-097AD4EF1B7D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8DF-4FB3-85FB-097AD4EF1B7D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8DF-4FB3-85FB-097AD4EF1B7D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8DF-4FB3-85FB-097AD4EF1B7D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8DF-4FB3-85FB-097AD4EF1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A8D-47F9-A47C-9797729807C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A8D-47F9-A47C-9797729807C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A8D-47F9-A47C-9797729807C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A8D-47F9-A47C-9797729807C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A8D-47F9-A47C-9797729807C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A8D-47F9-A47C-9797729807C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A8D-47F9-A47C-9797729807C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A8D-47F9-A47C-9797729807C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A8D-47F9-A47C-9797729807C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A8D-47F9-A47C-9797729807C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A8D-47F9-A47C-9797729807C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A8D-47F9-A47C-9797729807C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A8D-47F9-A47C-9797729807C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A8D-47F9-A47C-9797729807C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A8D-47F9-A47C-9797729807C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A8D-47F9-A47C-9797729807C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A8D-47F9-A47C-9797729807C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A8D-47F9-A47C-9797729807C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A8D-47F9-A47C-9797729807C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A8D-47F9-A47C-979772980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D37-4788-8AEB-47A531033F4A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D37-4788-8AEB-47A531033F4A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D37-4788-8AEB-47A531033F4A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D37-4788-8AEB-47A531033F4A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D37-4788-8AEB-47A531033F4A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2D37-4788-8AEB-47A531033F4A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2D37-4788-8AEB-47A531033F4A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2D37-4788-8AEB-47A531033F4A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D37-4788-8AEB-47A531033F4A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2D37-4788-8AEB-47A531033F4A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2D37-4788-8AEB-47A531033F4A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2D37-4788-8AEB-47A531033F4A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2D37-4788-8AEB-47A531033F4A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2D37-4788-8AEB-47A531033F4A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2D37-4788-8AEB-47A531033F4A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2D37-4788-8AEB-47A531033F4A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2D37-4788-8AEB-47A531033F4A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2D37-4788-8AEB-47A531033F4A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2D37-4788-8AEB-47A531033F4A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2D37-4788-8AEB-47A531033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2D37-4788-8AEB-47A531033F4A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78C-42E4-AF60-8B21E5DFDEAB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78C-42E4-AF60-8B21E5DFDEAB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78C-42E4-AF60-8B21E5DFDEAB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F78C-42E4-AF60-8B21E5DFDEAB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F78C-42E4-AF60-8B21E5DFDEAB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F78C-42E4-AF60-8B21E5DFDEAB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F78C-42E4-AF60-8B21E5DFDEAB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F78C-42E4-AF60-8B21E5DFDEAB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F78C-42E4-AF60-8B21E5DFDEAB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F78C-42E4-AF60-8B21E5DFDEAB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F78C-42E4-AF60-8B21E5DFDEAB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F78C-42E4-AF60-8B21E5DFDEAB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F78C-42E4-AF60-8B21E5DFDEAB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F78C-42E4-AF60-8B21E5DFDEAB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F78C-42E4-AF60-8B21E5DFDEAB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F78C-42E4-AF60-8B21E5DFDEAB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F78C-42E4-AF60-8B21E5DFDEAB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F78C-42E4-AF60-8B21E5DFDEAB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F78C-42E4-AF60-8B21E5DFDEAB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F78C-42E4-AF60-8B21E5DFD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F78C-42E4-AF60-8B21E5DFDEAB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D4A-4BA2-82B9-65ACF56166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D4A-4BA2-82B9-65ACF56166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5D4A-4BA2-82B9-65ACF56166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5D4A-4BA2-82B9-65ACF56166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5D4A-4BA2-82B9-65ACF56166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5D4A-4BA2-82B9-65ACF56166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D4A-4BA2-82B9-65ACF56166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D4A-4BA2-82B9-65ACF56166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D4A-4BA2-82B9-65ACF56166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5D4A-4BA2-82B9-65ACF56166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D4A-4BA2-82B9-65ACF56166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D4A-4BA2-82B9-65ACF56166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D4A-4BA2-82B9-65ACF56166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D4A-4BA2-82B9-65ACF56166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5D4A-4BA2-82B9-65ACF56166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5D4A-4BA2-82B9-65ACF56166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5D4A-4BA2-82B9-65ACF56166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5D4A-4BA2-82B9-65ACF56166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5D4A-4BA2-82B9-65ACF56166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5D4A-4BA2-82B9-65ACF5616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5D4A-4BA2-82B9-65ACF56166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36E-4359-8B45-113C3A3CE0B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36E-4359-8B45-113C3A3CE0B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36E-4359-8B45-113C3A3CE0B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36E-4359-8B45-113C3A3CE0B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36E-4359-8B45-113C3A3CE0B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36E-4359-8B45-113C3A3CE0B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36E-4359-8B45-113C3A3CE0B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36E-4359-8B45-113C3A3CE0B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36E-4359-8B45-113C3A3CE0B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6E-4359-8B45-113C3A3CE0B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6E-4359-8B45-113C3A3CE0B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6E-4359-8B45-113C3A3CE0B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36E-4359-8B45-113C3A3CE0B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36E-4359-8B45-113C3A3CE0B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36E-4359-8B45-113C3A3CE0B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36E-4359-8B45-113C3A3CE0B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36E-4359-8B45-113C3A3CE0B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36E-4359-8B45-113C3A3CE0B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36E-4359-8B45-113C3A3CE0B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36E-4359-8B45-113C3A3CE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636E-4359-8B45-113C3A3CE0B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F66-4A29-87C5-21B03CF35A32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F66-4A29-87C5-21B03CF35A32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F66-4A29-87C5-21B03CF35A32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F66-4A29-87C5-21B03CF35A32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F66-4A29-87C5-21B03CF35A32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F66-4A29-87C5-21B03CF35A32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F66-4A29-87C5-21B03CF35A32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F66-4A29-87C5-21B03CF35A32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F66-4A29-87C5-21B03CF35A32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F66-4A29-87C5-21B03CF35A32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F66-4A29-87C5-21B03CF35A32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F66-4A29-87C5-21B03CF35A32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F66-4A29-87C5-21B03CF35A32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F66-4A29-87C5-21B03CF35A32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F66-4A29-87C5-21B03CF35A32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F66-4A29-87C5-21B03CF35A32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F66-4A29-87C5-21B03CF35A32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F66-4A29-87C5-21B03CF35A32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F66-4A29-87C5-21B03CF35A32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F66-4A29-87C5-21B03CF35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F7E-4A62-8480-757D3BF2D724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F7E-4A62-8480-757D3BF2D724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F7E-4A62-8480-757D3BF2D724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F7E-4A62-8480-757D3BF2D724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F7E-4A62-8480-757D3BF2D724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F7E-4A62-8480-757D3BF2D724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F7E-4A62-8480-757D3BF2D724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F7E-4A62-8480-757D3BF2D724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F7E-4A62-8480-757D3BF2D724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F7E-4A62-8480-757D3BF2D724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F7E-4A62-8480-757D3BF2D724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F7E-4A62-8480-757D3BF2D724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F7E-4A62-8480-757D3BF2D724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F7E-4A62-8480-757D3BF2D724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F7E-4A62-8480-757D3BF2D724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F7E-4A62-8480-757D3BF2D724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F7E-4A62-8480-757D3BF2D724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F7E-4A62-8480-757D3BF2D724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F7E-4A62-8480-757D3BF2D724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F7E-4A62-8480-757D3BF2D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F7E-4A62-8480-757D3BF2D724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D31-427B-AC33-883814703F9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D31-427B-AC33-883814703F9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4D31-427B-AC33-883814703F9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4D31-427B-AC33-883814703F9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4D31-427B-AC33-883814703F9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4D31-427B-AC33-883814703F9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4D31-427B-AC33-883814703F9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4D31-427B-AC33-883814703F9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4D31-427B-AC33-883814703F9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4D31-427B-AC33-883814703F9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4D31-427B-AC33-883814703F9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4D31-427B-AC33-883814703F9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4D31-427B-AC33-883814703F9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4D31-427B-AC33-883814703F9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4D31-427B-AC33-883814703F9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4D31-427B-AC33-883814703F9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4D31-427B-AC33-883814703F9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4D31-427B-AC33-883814703F9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4D31-427B-AC33-883814703F9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4D31-427B-AC33-883814703F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9CB-42F6-9985-CB6D9A766050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9CB-42F6-9985-CB6D9A766050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9CB-42F6-9985-CB6D9A766050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9CB-42F6-9985-CB6D9A766050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D9CB-42F6-9985-CB6D9A766050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D9CB-42F6-9985-CB6D9A766050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9CB-42F6-9985-CB6D9A766050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9CB-42F6-9985-CB6D9A766050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9CB-42F6-9985-CB6D9A766050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D9CB-42F6-9985-CB6D9A766050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9CB-42F6-9985-CB6D9A766050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9CB-42F6-9985-CB6D9A766050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9CB-42F6-9985-CB6D9A766050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9CB-42F6-9985-CB6D9A766050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9CB-42F6-9985-CB6D9A766050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9CB-42F6-9985-CB6D9A766050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9CB-42F6-9985-CB6D9A766050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9CB-42F6-9985-CB6D9A766050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9CB-42F6-9985-CB6D9A766050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9CB-42F6-9985-CB6D9A766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960-437D-8061-CA89874EFA36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960-437D-8061-CA89874EFA36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960-437D-8061-CA89874EFA36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960-437D-8061-CA89874EFA36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960-437D-8061-CA89874EFA36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E960-437D-8061-CA89874EFA36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E960-437D-8061-CA89874EFA36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E960-437D-8061-CA89874EFA36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E960-437D-8061-CA89874EFA36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E960-437D-8061-CA89874EFA36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E960-437D-8061-CA89874EFA36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E960-437D-8061-CA89874EFA36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E960-437D-8061-CA89874EFA36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E960-437D-8061-CA89874EFA36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E960-437D-8061-CA89874EFA36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E960-437D-8061-CA89874EFA36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E960-437D-8061-CA89874EFA36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E960-437D-8061-CA89874EFA36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E960-437D-8061-CA89874EFA36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E960-437D-8061-CA89874EFA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FE7-44BB-8F93-6C9E59D412E7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FE7-44BB-8F93-6C9E59D412E7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FE7-44BB-8F93-6C9E59D412E7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6FE7-44BB-8F93-6C9E59D412E7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FE7-44BB-8F93-6C9E59D412E7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6FE7-44BB-8F93-6C9E59D412E7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6FE7-44BB-8F93-6C9E59D412E7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6FE7-44BB-8F93-6C9E59D412E7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6FE7-44BB-8F93-6C9E59D412E7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FE7-44BB-8F93-6C9E59D412E7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FE7-44BB-8F93-6C9E59D412E7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FE7-44BB-8F93-6C9E59D412E7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6FE7-44BB-8F93-6C9E59D412E7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6FE7-44BB-8F93-6C9E59D412E7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6FE7-44BB-8F93-6C9E59D412E7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6FE7-44BB-8F93-6C9E59D412E7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6FE7-44BB-8F93-6C9E59D412E7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6FE7-44BB-8F93-6C9E59D412E7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6FE7-44BB-8F93-6C9E59D412E7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6FE7-44BB-8F93-6C9E59D41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/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B73A-4E5C-97AC-2F900D914973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73A-4E5C-97AC-2F900D914973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73A-4E5C-97AC-2F900D914973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73A-4E5C-97AC-2F900D914973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73A-4E5C-97AC-2F900D914973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73A-4E5C-97AC-2F900D914973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73A-4E5C-97AC-2F900D914973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73A-4E5C-97AC-2F900D914973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73A-4E5C-97AC-2F900D914973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73A-4E5C-97AC-2F900D914973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73A-4E5C-97AC-2F900D914973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B73A-4E5C-97AC-2F900D914973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73A-4E5C-97AC-2F900D914973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B73A-4E5C-97AC-2F900D914973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B73A-4E5C-97AC-2F900D914973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B73A-4E5C-97AC-2F900D914973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B73A-4E5C-97AC-2F900D914973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B73A-4E5C-97AC-2F900D914973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B73A-4E5C-97AC-2F900D914973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B73A-4E5C-97AC-2F900D914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B73A-4E5C-97AC-2F900D914973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0/###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DAB-4A2F-9953-3A8C907AFE3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DAB-4A2F-9953-3A8C907AFE3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DAB-4A2F-9953-3A8C907AFE3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DAB-4A2F-9953-3A8C907AFE3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DAB-4A2F-9953-3A8C907AFE3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DAB-4A2F-9953-3A8C907AFE3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DAB-4A2F-9953-3A8C907AFE3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DAB-4A2F-9953-3A8C907AFE3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DAB-4A2F-9953-3A8C907AFE3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DAB-4A2F-9953-3A8C907AFE3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DAB-4A2F-9953-3A8C907AFE3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DAB-4A2F-9953-3A8C907AFE3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DAB-4A2F-9953-3A8C907AFE3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DAB-4A2F-9953-3A8C907AFE3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DAB-4A2F-9953-3A8C907AFE3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DAB-4A2F-9953-3A8C907AFE3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DAB-4A2F-9953-3A8C907AFE3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DAB-4A2F-9953-3A8C907AFE3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DAB-4A2F-9953-3A8C907AFE3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DAB-4A2F-9953-3A8C907AF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DAB-4A2F-9953-3A8C907AFE3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6AE-4C1E-A325-99F757B9FC98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6AE-4C1E-A325-99F757B9FC98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6AE-4C1E-A325-99F757B9FC98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6AE-4C1E-A325-99F757B9FC98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6AE-4C1E-A325-99F757B9FC98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6AE-4C1E-A325-99F757B9FC98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6AE-4C1E-A325-99F757B9FC98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6AE-4C1E-A325-99F757B9FC98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6AE-4C1E-A325-99F757B9FC98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6AE-4C1E-A325-99F757B9FC98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6AE-4C1E-A325-99F757B9FC98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6AE-4C1E-A325-99F757B9FC98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6AE-4C1E-A325-99F757B9FC98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6AE-4C1E-A325-99F757B9FC98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6AE-4C1E-A325-99F757B9FC98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6AE-4C1E-A325-99F757B9FC98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6AE-4C1E-A325-99F757B9FC98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6AE-4C1E-A325-99F757B9FC98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6AE-4C1E-A325-99F757B9FC98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6AE-4C1E-A325-99F757B9F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80000"/>
                      </a:schemeClr>
                    </a:solidFill>
                    <a:ln w="19050">
                      <a:solidFill>
                        <a:srgbClr val="0000FF"/>
                      </a:solidFill>
                      <a:prstDash val="sysDash"/>
                    </a:ln>
                    <a:effectLst/>
                  </c:spPr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76AE-4C1E-A325-99F757B9FC98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E0A-46FA-B4B5-8517345F8855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E0A-46FA-B4B5-8517345F8855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E0A-46FA-B4B5-8517345F8855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E0A-46FA-B4B5-8517345F8855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1E0A-46FA-B4B5-8517345F8855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E0A-46FA-B4B5-8517345F8855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1E0A-46FA-B4B5-8517345F8855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E0A-46FA-B4B5-8517345F8855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1E0A-46FA-B4B5-8517345F8855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1E0A-46FA-B4B5-8517345F8855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1E0A-46FA-B4B5-8517345F8855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1E0A-46FA-B4B5-8517345F8855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1E0A-46FA-B4B5-8517345F8855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1E0A-46FA-B4B5-8517345F8855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1E0A-46FA-B4B5-8517345F8855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1E0A-46FA-B4B5-8517345F8855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1E0A-46FA-B4B5-8517345F8855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1E0A-46FA-B4B5-8517345F8855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1E0A-46FA-B4B5-8517345F8855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1E0A-46FA-B4B5-8517345F8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305664"/>
        <c:axId val="675303040"/>
        <c:extLst>
          <c:ext xmlns:c15="http://schemas.microsoft.com/office/drawing/2012/chart" uri="{02D57815-91ED-43cb-92C2-25804820EDAC}">
            <c15:filteredScatterSeries>
              <c15:ser>
                <c:idx val="20"/>
                <c:order val="20"/>
                <c:tx>
                  <c:v/>
                </c:tx>
                <c:spPr>
                  <a:ln w="19050" cap="rnd">
                    <a:solidFill>
                      <a:srgbClr val="0000FF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smooth val="0"/>
                <c:extLst>
                  <c:ext xmlns:c16="http://schemas.microsoft.com/office/drawing/2014/chart" uri="{C3380CC4-5D6E-409C-BE32-E72D297353CC}">
                    <c16:uniqueId val="{00000014-1E0A-46FA-B4B5-8517345F8855}"/>
                  </c:ext>
                </c:extLst>
              </c15:ser>
            </c15:filteredScatterSeries>
          </c:ext>
        </c:extLst>
      </c:scatterChart>
      <c:valAx>
        <c:axId val="675305664"/>
        <c:scaling>
          <c:orientation val="minMax"/>
          <c:min val="0"/>
        </c:scaling>
        <c:delete val="0"/>
        <c:axPos val="b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3040"/>
        <c:crosses val="autoZero"/>
        <c:crossBetween val="midCat"/>
      </c:valAx>
      <c:valAx>
        <c:axId val="675303040"/>
        <c:scaling>
          <c:orientation val="minMax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ＭＳ ゴシック"/>
                <a:ea typeface="ＭＳ ゴシック"/>
                <a:cs typeface="ＭＳ ゴシック"/>
              </a:defRPr>
            </a:pPr>
            <a:endParaRPr lang="ja-JP"/>
          </a:p>
        </c:txPr>
        <c:crossAx val="675305664"/>
        <c:crosses val="autoZero"/>
        <c:crossBetween val="midCat"/>
        <c:majorUnit val="1"/>
      </c:valAx>
      <c:spPr>
        <a:solidFill>
          <a:schemeClr val="bg1"/>
        </a:solidFill>
        <a:ln w="635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"/>
          <c:y val="0"/>
          <c:w val="1"/>
          <c:h val="1"/>
        </c:manualLayout>
      </c:layout>
      <c:scatterChart>
        <c:scatterStyle val="lineMarker"/>
        <c:varyColors val="0"/>
        <c:ser>
          <c:idx val="0"/>
          <c:order val="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835-4948-ADD6-A411B821345C}"/>
            </c:ext>
          </c:extLst>
        </c:ser>
        <c:ser>
          <c:idx val="1"/>
          <c:order val="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835-4948-ADD6-A411B821345C}"/>
            </c:ext>
          </c:extLst>
        </c:ser>
        <c:ser>
          <c:idx val="2"/>
          <c:order val="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835-4948-ADD6-A411B821345C}"/>
            </c:ext>
          </c:extLst>
        </c:ser>
        <c:ser>
          <c:idx val="3"/>
          <c:order val="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835-4948-ADD6-A411B821345C}"/>
            </c:ext>
          </c:extLst>
        </c:ser>
        <c:ser>
          <c:idx val="4"/>
          <c:order val="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835-4948-ADD6-A411B821345C}"/>
            </c:ext>
          </c:extLst>
        </c:ser>
        <c:ser>
          <c:idx val="5"/>
          <c:order val="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835-4948-ADD6-A411B821345C}"/>
            </c:ext>
          </c:extLst>
        </c:ser>
        <c:ser>
          <c:idx val="6"/>
          <c:order val="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835-4948-ADD6-A411B821345C}"/>
            </c:ext>
          </c:extLst>
        </c:ser>
        <c:ser>
          <c:idx val="7"/>
          <c:order val="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835-4948-ADD6-A411B821345C}"/>
            </c:ext>
          </c:extLst>
        </c:ser>
        <c:ser>
          <c:idx val="8"/>
          <c:order val="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00206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7835-4948-ADD6-A411B821345C}"/>
            </c:ext>
          </c:extLst>
        </c:ser>
        <c:ser>
          <c:idx val="9"/>
          <c:order val="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7835-4948-ADD6-A411B821345C}"/>
            </c:ext>
          </c:extLst>
        </c:ser>
        <c:ser>
          <c:idx val="10"/>
          <c:order val="10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8ED97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7835-4948-ADD6-A411B821345C}"/>
            </c:ext>
          </c:extLst>
        </c:ser>
        <c:ser>
          <c:idx val="11"/>
          <c:order val="11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D86DCD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7835-4948-ADD6-A411B821345C}"/>
            </c:ext>
          </c:extLst>
        </c:ser>
        <c:ser>
          <c:idx val="12"/>
          <c:order val="12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61CBF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7835-4948-ADD6-A411B821345C}"/>
            </c:ext>
          </c:extLst>
        </c:ser>
        <c:ser>
          <c:idx val="13"/>
          <c:order val="13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7D35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7835-4948-ADD6-A411B821345C}"/>
            </c:ext>
          </c:extLst>
        </c:ser>
        <c:ser>
          <c:idx val="14"/>
          <c:order val="14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F1A983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7835-4948-ADD6-A411B821345C}"/>
            </c:ext>
          </c:extLst>
        </c:ser>
        <c:ser>
          <c:idx val="15"/>
          <c:order val="15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4B3E1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7835-4948-ADD6-A411B821345C}"/>
            </c:ext>
          </c:extLst>
        </c:ser>
        <c:ser>
          <c:idx val="16"/>
          <c:order val="16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D93D9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7835-4948-ADD6-A411B821345C}"/>
            </c:ext>
          </c:extLst>
        </c:ser>
        <c:ser>
          <c:idx val="17"/>
          <c:order val="17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747474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7835-4948-ADD6-A411B821345C}"/>
            </c:ext>
          </c:extLst>
        </c:ser>
        <c:ser>
          <c:idx val="18"/>
          <c:order val="18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404040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7835-4948-ADD6-A411B821345C}"/>
            </c:ext>
          </c:extLst>
        </c:ser>
        <c:ser>
          <c:idx val="19"/>
          <c:order val="19"/>
          <c:tx>
            <c:v/>
          </c:tx>
          <c:spPr>
            <a:ln w="9525" cap="rnd">
              <a:solidFill>
                <a:srgbClr val="0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BFBFBF"/>
              </a:solidFill>
              <a:ln w="9525">
                <a:solidFill>
                  <a:srgbClr val="000000"/>
                </a:solidFill>
                <a:prstDash val="solid"/>
              </a:ln>
              <a:effectLst/>
            </c:spPr>
          </c:marker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7835-4948-ADD6-A411B8213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102224"/>
        <c:axId val="609102552"/>
        <c:extLst/>
      </c:scatterChart>
      <c:valAx>
        <c:axId val="609102224"/>
        <c:scaling>
          <c:orientation val="minMax"/>
          <c:min val="0"/>
        </c:scaling>
        <c:delete val="1"/>
        <c:axPos val="b"/>
        <c:majorTickMark val="none"/>
        <c:minorTickMark val="none"/>
        <c:tickLblPos val="nextTo"/>
        <c:crossAx val="609102552"/>
        <c:crosses val="autoZero"/>
        <c:crossBetween val="midCat"/>
      </c:valAx>
      <c:valAx>
        <c:axId val="609102552"/>
        <c:scaling>
          <c:orientation val="minMax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60910222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"/>
          <c:w val="1"/>
          <c:h val="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ＭＳ ゴシック" panose="020B0609070205080204" pitchFamily="49" charset="-128"/>
              <a:ea typeface="ＭＳ Ｐゴシック" panose="020B060007020508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bg1">
          <a:lumMod val="7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0.xml"/><Relationship Id="rId3" Type="http://schemas.openxmlformats.org/officeDocument/2006/relationships/chart" Target="../charts/chart45.xml"/><Relationship Id="rId7" Type="http://schemas.openxmlformats.org/officeDocument/2006/relationships/chart" Target="../charts/chart49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10" Type="http://schemas.openxmlformats.org/officeDocument/2006/relationships/chart" Target="../charts/chart52.xml"/><Relationship Id="rId4" Type="http://schemas.openxmlformats.org/officeDocument/2006/relationships/chart" Target="../charts/chart46.xml"/><Relationship Id="rId9" Type="http://schemas.openxmlformats.org/officeDocument/2006/relationships/chart" Target="../charts/chart5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0.xml"/><Relationship Id="rId3" Type="http://schemas.openxmlformats.org/officeDocument/2006/relationships/chart" Target="../charts/chart55.xml"/><Relationship Id="rId7" Type="http://schemas.openxmlformats.org/officeDocument/2006/relationships/chart" Target="../charts/chart59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10" Type="http://schemas.openxmlformats.org/officeDocument/2006/relationships/chart" Target="../charts/chart62.xml"/><Relationship Id="rId4" Type="http://schemas.openxmlformats.org/officeDocument/2006/relationships/chart" Target="../charts/chart56.xml"/><Relationship Id="rId9" Type="http://schemas.openxmlformats.org/officeDocument/2006/relationships/chart" Target="../charts/chart61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0.xml"/><Relationship Id="rId3" Type="http://schemas.openxmlformats.org/officeDocument/2006/relationships/chart" Target="../charts/chart65.xml"/><Relationship Id="rId7" Type="http://schemas.openxmlformats.org/officeDocument/2006/relationships/chart" Target="../charts/chart69.xml"/><Relationship Id="rId2" Type="http://schemas.openxmlformats.org/officeDocument/2006/relationships/chart" Target="../charts/chart64.xml"/><Relationship Id="rId1" Type="http://schemas.openxmlformats.org/officeDocument/2006/relationships/chart" Target="../charts/chart63.xml"/><Relationship Id="rId6" Type="http://schemas.openxmlformats.org/officeDocument/2006/relationships/chart" Target="../charts/chart68.xml"/><Relationship Id="rId5" Type="http://schemas.openxmlformats.org/officeDocument/2006/relationships/chart" Target="../charts/chart67.xml"/><Relationship Id="rId10" Type="http://schemas.openxmlformats.org/officeDocument/2006/relationships/chart" Target="../charts/chart72.xml"/><Relationship Id="rId4" Type="http://schemas.openxmlformats.org/officeDocument/2006/relationships/chart" Target="../charts/chart66.xml"/><Relationship Id="rId9" Type="http://schemas.openxmlformats.org/officeDocument/2006/relationships/chart" Target="../charts/chart7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4</xdr:row>
      <xdr:rowOff>0</xdr:rowOff>
    </xdr:from>
    <xdr:to>
      <xdr:col>21</xdr:col>
      <xdr:colOff>170993</xdr:colOff>
      <xdr:row>5</xdr:row>
      <xdr:rowOff>133314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C61C9885-3D0D-45BE-9393-F5A3F28DB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3657600"/>
          <a:ext cx="3657143" cy="28571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11</xdr:col>
      <xdr:colOff>132534</xdr:colOff>
      <xdr:row>21</xdr:row>
      <xdr:rowOff>9371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F5ACD4B2-321E-4D62-A323-6560EEA4A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981200"/>
          <a:ext cx="6523809" cy="122857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</xdr:row>
      <xdr:rowOff>0</xdr:rowOff>
    </xdr:from>
    <xdr:to>
      <xdr:col>24</xdr:col>
      <xdr:colOff>142204</xdr:colOff>
      <xdr:row>10</xdr:row>
      <xdr:rowOff>114267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F7F60ED5-CB59-F672-D7C7-84EF8A0FE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15375" y="8534400"/>
          <a:ext cx="5371429" cy="266667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</xdr:row>
      <xdr:rowOff>0</xdr:rowOff>
    </xdr:from>
    <xdr:to>
      <xdr:col>22</xdr:col>
      <xdr:colOff>0</xdr:colOff>
      <xdr:row>31</xdr:row>
      <xdr:rowOff>19050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C81E8B1-46E9-4B47-800E-31803B8D59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15375" y="2438400"/>
          <a:ext cx="4067175" cy="184785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523446</xdr:colOff>
      <xdr:row>16</xdr:row>
      <xdr:rowOff>28495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D1AC581-CD3C-4AEC-9065-7721B4DB2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1828800"/>
          <a:ext cx="3428571" cy="6380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9</xdr:row>
      <xdr:rowOff>0</xdr:rowOff>
    </xdr:from>
    <xdr:to>
      <xdr:col>26</xdr:col>
      <xdr:colOff>46820</xdr:colOff>
      <xdr:row>10</xdr:row>
      <xdr:rowOff>133314</xdr:rowOff>
    </xdr:to>
    <xdr:pic>
      <xdr:nvPicPr>
        <xdr:cNvPr id="8" name="Picture 2">
          <a:extLst>
            <a:ext uri="{FF2B5EF4-FFF2-40B4-BE49-F238E27FC236}">
              <a16:creationId xmlns:a16="http://schemas.microsoft.com/office/drawing/2014/main" id="{6D64B8F5-23A6-4CDE-B62B-CCF52AC5E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5375" y="1371600"/>
          <a:ext cx="6438095" cy="28571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21</xdr:col>
      <xdr:colOff>9088</xdr:colOff>
      <xdr:row>30</xdr:row>
      <xdr:rowOff>152152</xdr:rowOff>
    </xdr:to>
    <xdr:pic>
      <xdr:nvPicPr>
        <xdr:cNvPr id="11" name="Picture 6">
          <a:extLst>
            <a:ext uri="{FF2B5EF4-FFF2-40B4-BE49-F238E27FC236}">
              <a16:creationId xmlns:a16="http://schemas.microsoft.com/office/drawing/2014/main" id="{1B8C2013-73B8-43A5-AA54-29E8358B2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15375" y="2438400"/>
          <a:ext cx="3495238" cy="19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13</xdr:col>
      <xdr:colOff>151437</xdr:colOff>
      <xdr:row>20</xdr:row>
      <xdr:rowOff>152248</xdr:rowOff>
    </xdr:to>
    <xdr:pic>
      <xdr:nvPicPr>
        <xdr:cNvPr id="12" name="Picture 4">
          <a:extLst>
            <a:ext uri="{FF2B5EF4-FFF2-40B4-BE49-F238E27FC236}">
              <a16:creationId xmlns:a16="http://schemas.microsoft.com/office/drawing/2014/main" id="{7BFC8F5B-4AC3-41D4-82CD-39DAC0B5C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981200"/>
          <a:ext cx="7704762" cy="1219048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12</xdr:row>
      <xdr:rowOff>0</xdr:rowOff>
    </xdr:from>
    <xdr:to>
      <xdr:col>20</xdr:col>
      <xdr:colOff>47256</xdr:colOff>
      <xdr:row>14</xdr:row>
      <xdr:rowOff>152343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F312F355-3DB9-4DF1-BD5A-68EE7CFF6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15375" y="1828800"/>
          <a:ext cx="2952381" cy="457143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</xdr:row>
      <xdr:rowOff>0</xdr:rowOff>
    </xdr:from>
    <xdr:to>
      <xdr:col>21</xdr:col>
      <xdr:colOff>466231</xdr:colOff>
      <xdr:row>5</xdr:row>
      <xdr:rowOff>133314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0DFF692-DB5B-405D-94F8-78B4902F1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15375" y="609600"/>
          <a:ext cx="3952381" cy="2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4</xdr:row>
      <xdr:rowOff>0</xdr:rowOff>
    </xdr:from>
    <xdr:to>
      <xdr:col>0</xdr:col>
      <xdr:colOff>2876775</xdr:colOff>
      <xdr:row>38</xdr:row>
      <xdr:rowOff>1950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B621A19F-E372-475B-9DA1-429C007A05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</xdr:col>
      <xdr:colOff>104775</xdr:colOff>
      <xdr:row>4</xdr:row>
      <xdr:rowOff>0</xdr:rowOff>
    </xdr:from>
    <xdr:to>
      <xdr:col>1</xdr:col>
      <xdr:colOff>2876775</xdr:colOff>
      <xdr:row>38</xdr:row>
      <xdr:rowOff>1950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7662EFA8-66A2-45DA-ACF2-61DE147DC2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104775</xdr:colOff>
      <xdr:row>41</xdr:row>
      <xdr:rowOff>0</xdr:rowOff>
    </xdr:from>
    <xdr:to>
      <xdr:col>0</xdr:col>
      <xdr:colOff>2876775</xdr:colOff>
      <xdr:row>75</xdr:row>
      <xdr:rowOff>1950</xdr:rowOff>
    </xdr:to>
    <xdr:graphicFrame macro="">
      <xdr:nvGraphicFramePr>
        <xdr:cNvPr id="4" name="graph3">
          <a:extLst>
            <a:ext uri="{FF2B5EF4-FFF2-40B4-BE49-F238E27FC236}">
              <a16:creationId xmlns:a16="http://schemas.microsoft.com/office/drawing/2014/main" id="{D2D1B42F-5A8B-4B86-B9A6-A0C2678B12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1</xdr:col>
      <xdr:colOff>104775</xdr:colOff>
      <xdr:row>41</xdr:row>
      <xdr:rowOff>0</xdr:rowOff>
    </xdr:from>
    <xdr:to>
      <xdr:col>1</xdr:col>
      <xdr:colOff>2876775</xdr:colOff>
      <xdr:row>75</xdr:row>
      <xdr:rowOff>1950</xdr:rowOff>
    </xdr:to>
    <xdr:graphicFrame macro="">
      <xdr:nvGraphicFramePr>
        <xdr:cNvPr id="5" name="graph4">
          <a:extLst>
            <a:ext uri="{FF2B5EF4-FFF2-40B4-BE49-F238E27FC236}">
              <a16:creationId xmlns:a16="http://schemas.microsoft.com/office/drawing/2014/main" id="{8064FD82-47AC-4BD3-AEE7-D25A80819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0</xdr:col>
      <xdr:colOff>104775</xdr:colOff>
      <xdr:row>84</xdr:row>
      <xdr:rowOff>0</xdr:rowOff>
    </xdr:from>
    <xdr:to>
      <xdr:col>0</xdr:col>
      <xdr:colOff>2876775</xdr:colOff>
      <xdr:row>118</xdr:row>
      <xdr:rowOff>1950</xdr:rowOff>
    </xdr:to>
    <xdr:graphicFrame macro="">
      <xdr:nvGraphicFramePr>
        <xdr:cNvPr id="6" name="graph5">
          <a:extLst>
            <a:ext uri="{FF2B5EF4-FFF2-40B4-BE49-F238E27FC236}">
              <a16:creationId xmlns:a16="http://schemas.microsoft.com/office/drawing/2014/main" id="{5C71DC6D-050E-4624-A08B-347CE16B66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1</xdr:col>
      <xdr:colOff>104775</xdr:colOff>
      <xdr:row>84</xdr:row>
      <xdr:rowOff>0</xdr:rowOff>
    </xdr:from>
    <xdr:to>
      <xdr:col>1</xdr:col>
      <xdr:colOff>2876775</xdr:colOff>
      <xdr:row>118</xdr:row>
      <xdr:rowOff>1950</xdr:rowOff>
    </xdr:to>
    <xdr:graphicFrame macro="">
      <xdr:nvGraphicFramePr>
        <xdr:cNvPr id="7" name="graph6">
          <a:extLst>
            <a:ext uri="{FF2B5EF4-FFF2-40B4-BE49-F238E27FC236}">
              <a16:creationId xmlns:a16="http://schemas.microsoft.com/office/drawing/2014/main" id="{40C754B5-BD7E-456B-AC54-97B309B9AD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0</xdr:col>
      <xdr:colOff>104775</xdr:colOff>
      <xdr:row>121</xdr:row>
      <xdr:rowOff>0</xdr:rowOff>
    </xdr:from>
    <xdr:to>
      <xdr:col>0</xdr:col>
      <xdr:colOff>2876775</xdr:colOff>
      <xdr:row>155</xdr:row>
      <xdr:rowOff>1950</xdr:rowOff>
    </xdr:to>
    <xdr:graphicFrame macro="">
      <xdr:nvGraphicFramePr>
        <xdr:cNvPr id="8" name="graph7">
          <a:extLst>
            <a:ext uri="{FF2B5EF4-FFF2-40B4-BE49-F238E27FC236}">
              <a16:creationId xmlns:a16="http://schemas.microsoft.com/office/drawing/2014/main" id="{DB77C01E-7B50-4529-823D-89AB5620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104775</xdr:colOff>
      <xdr:row>121</xdr:row>
      <xdr:rowOff>0</xdr:rowOff>
    </xdr:from>
    <xdr:to>
      <xdr:col>1</xdr:col>
      <xdr:colOff>2876775</xdr:colOff>
      <xdr:row>155</xdr:row>
      <xdr:rowOff>1950</xdr:rowOff>
    </xdr:to>
    <xdr:graphicFrame macro="">
      <xdr:nvGraphicFramePr>
        <xdr:cNvPr id="9" name="graph8">
          <a:extLst>
            <a:ext uri="{FF2B5EF4-FFF2-40B4-BE49-F238E27FC236}">
              <a16:creationId xmlns:a16="http://schemas.microsoft.com/office/drawing/2014/main" id="{5EE28F28-A137-44E4-B59D-B581C3462E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104775</xdr:colOff>
      <xdr:row>164</xdr:row>
      <xdr:rowOff>0</xdr:rowOff>
    </xdr:from>
    <xdr:to>
      <xdr:col>0</xdr:col>
      <xdr:colOff>2876775</xdr:colOff>
      <xdr:row>198</xdr:row>
      <xdr:rowOff>1950</xdr:rowOff>
    </xdr:to>
    <xdr:graphicFrame macro="">
      <xdr:nvGraphicFramePr>
        <xdr:cNvPr id="10" name="graph9">
          <a:extLst>
            <a:ext uri="{FF2B5EF4-FFF2-40B4-BE49-F238E27FC236}">
              <a16:creationId xmlns:a16="http://schemas.microsoft.com/office/drawing/2014/main" id="{7A77045C-E1C9-44A1-A119-B0923E448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1</xdr:col>
      <xdr:colOff>104775</xdr:colOff>
      <xdr:row>164</xdr:row>
      <xdr:rowOff>0</xdr:rowOff>
    </xdr:from>
    <xdr:to>
      <xdr:col>1</xdr:col>
      <xdr:colOff>2876775</xdr:colOff>
      <xdr:row>198</xdr:row>
      <xdr:rowOff>1950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BD4075DB-3F5C-4D29-953B-C448601E9C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>
    <xdr:from>
      <xdr:col>0</xdr:col>
      <xdr:colOff>104775</xdr:colOff>
      <xdr:row>201</xdr:row>
      <xdr:rowOff>0</xdr:rowOff>
    </xdr:from>
    <xdr:to>
      <xdr:col>0</xdr:col>
      <xdr:colOff>2876775</xdr:colOff>
      <xdr:row>235</xdr:row>
      <xdr:rowOff>1950</xdr:rowOff>
    </xdr:to>
    <xdr:graphicFrame macro="">
      <xdr:nvGraphicFramePr>
        <xdr:cNvPr id="12" name="graph11">
          <a:extLst>
            <a:ext uri="{FF2B5EF4-FFF2-40B4-BE49-F238E27FC236}">
              <a16:creationId xmlns:a16="http://schemas.microsoft.com/office/drawing/2014/main" id="{E6EE3934-6735-4CCB-9BBD-E5E6A050B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>
    <xdr:from>
      <xdr:col>1</xdr:col>
      <xdr:colOff>104775</xdr:colOff>
      <xdr:row>201</xdr:row>
      <xdr:rowOff>0</xdr:rowOff>
    </xdr:from>
    <xdr:to>
      <xdr:col>1</xdr:col>
      <xdr:colOff>2876775</xdr:colOff>
      <xdr:row>235</xdr:row>
      <xdr:rowOff>1950</xdr:rowOff>
    </xdr:to>
    <xdr:graphicFrame macro="">
      <xdr:nvGraphicFramePr>
        <xdr:cNvPr id="13" name="graph12">
          <a:extLst>
            <a:ext uri="{FF2B5EF4-FFF2-40B4-BE49-F238E27FC236}">
              <a16:creationId xmlns:a16="http://schemas.microsoft.com/office/drawing/2014/main" id="{24E5EE77-FB45-4430-8687-065728BC55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 fLocksWithSheet="0"/>
  </xdr:twoCellAnchor>
  <xdr:twoCellAnchor>
    <xdr:from>
      <xdr:col>0</xdr:col>
      <xdr:colOff>104775</xdr:colOff>
      <xdr:row>244</xdr:row>
      <xdr:rowOff>0</xdr:rowOff>
    </xdr:from>
    <xdr:to>
      <xdr:col>0</xdr:col>
      <xdr:colOff>2876775</xdr:colOff>
      <xdr:row>278</xdr:row>
      <xdr:rowOff>1950</xdr:rowOff>
    </xdr:to>
    <xdr:graphicFrame macro="">
      <xdr:nvGraphicFramePr>
        <xdr:cNvPr id="14" name="graph13">
          <a:extLst>
            <a:ext uri="{FF2B5EF4-FFF2-40B4-BE49-F238E27FC236}">
              <a16:creationId xmlns:a16="http://schemas.microsoft.com/office/drawing/2014/main" id="{A3835BF0-53F1-4F86-AAAB-1A396C8780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 fLocksWithSheet="0"/>
  </xdr:twoCellAnchor>
  <xdr:twoCellAnchor>
    <xdr:from>
      <xdr:col>1</xdr:col>
      <xdr:colOff>104775</xdr:colOff>
      <xdr:row>244</xdr:row>
      <xdr:rowOff>0</xdr:rowOff>
    </xdr:from>
    <xdr:to>
      <xdr:col>1</xdr:col>
      <xdr:colOff>2876775</xdr:colOff>
      <xdr:row>278</xdr:row>
      <xdr:rowOff>1950</xdr:rowOff>
    </xdr:to>
    <xdr:graphicFrame macro="">
      <xdr:nvGraphicFramePr>
        <xdr:cNvPr id="15" name="graph14">
          <a:extLst>
            <a:ext uri="{FF2B5EF4-FFF2-40B4-BE49-F238E27FC236}">
              <a16:creationId xmlns:a16="http://schemas.microsoft.com/office/drawing/2014/main" id="{61C6784A-0CA7-417B-BF30-980CF4CE78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 fLocksWithSheet="0"/>
  </xdr:twoCellAnchor>
  <xdr:twoCellAnchor>
    <xdr:from>
      <xdr:col>0</xdr:col>
      <xdr:colOff>104775</xdr:colOff>
      <xdr:row>281</xdr:row>
      <xdr:rowOff>0</xdr:rowOff>
    </xdr:from>
    <xdr:to>
      <xdr:col>0</xdr:col>
      <xdr:colOff>2876775</xdr:colOff>
      <xdr:row>315</xdr:row>
      <xdr:rowOff>1950</xdr:rowOff>
    </xdr:to>
    <xdr:graphicFrame macro="">
      <xdr:nvGraphicFramePr>
        <xdr:cNvPr id="16" name="graph15">
          <a:extLst>
            <a:ext uri="{FF2B5EF4-FFF2-40B4-BE49-F238E27FC236}">
              <a16:creationId xmlns:a16="http://schemas.microsoft.com/office/drawing/2014/main" id="{B4F39E48-9463-4CBB-B133-513B6BE44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 fLocksWithSheet="0"/>
  </xdr:twoCellAnchor>
  <xdr:twoCellAnchor>
    <xdr:from>
      <xdr:col>1</xdr:col>
      <xdr:colOff>104775</xdr:colOff>
      <xdr:row>281</xdr:row>
      <xdr:rowOff>0</xdr:rowOff>
    </xdr:from>
    <xdr:to>
      <xdr:col>1</xdr:col>
      <xdr:colOff>2876775</xdr:colOff>
      <xdr:row>315</xdr:row>
      <xdr:rowOff>1950</xdr:rowOff>
    </xdr:to>
    <xdr:graphicFrame macro="">
      <xdr:nvGraphicFramePr>
        <xdr:cNvPr id="17" name="graph16">
          <a:extLst>
            <a:ext uri="{FF2B5EF4-FFF2-40B4-BE49-F238E27FC236}">
              <a16:creationId xmlns:a16="http://schemas.microsoft.com/office/drawing/2014/main" id="{8FCA82BC-ACFA-4AE3-8CF8-5460993554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 fLocksWithSheet="0"/>
  </xdr:twoCellAnchor>
  <xdr:twoCellAnchor>
    <xdr:from>
      <xdr:col>0</xdr:col>
      <xdr:colOff>104775</xdr:colOff>
      <xdr:row>324</xdr:row>
      <xdr:rowOff>0</xdr:rowOff>
    </xdr:from>
    <xdr:to>
      <xdr:col>0</xdr:col>
      <xdr:colOff>2876775</xdr:colOff>
      <xdr:row>358</xdr:row>
      <xdr:rowOff>1950</xdr:rowOff>
    </xdr:to>
    <xdr:graphicFrame macro="">
      <xdr:nvGraphicFramePr>
        <xdr:cNvPr id="18" name="graph17">
          <a:extLst>
            <a:ext uri="{FF2B5EF4-FFF2-40B4-BE49-F238E27FC236}">
              <a16:creationId xmlns:a16="http://schemas.microsoft.com/office/drawing/2014/main" id="{FFB7D5D8-0FB8-4A99-996D-D5AC30DAB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 fLocksWithSheet="0"/>
  </xdr:twoCellAnchor>
  <xdr:twoCellAnchor>
    <xdr:from>
      <xdr:col>1</xdr:col>
      <xdr:colOff>104775</xdr:colOff>
      <xdr:row>324</xdr:row>
      <xdr:rowOff>0</xdr:rowOff>
    </xdr:from>
    <xdr:to>
      <xdr:col>1</xdr:col>
      <xdr:colOff>2876775</xdr:colOff>
      <xdr:row>358</xdr:row>
      <xdr:rowOff>1950</xdr:rowOff>
    </xdr:to>
    <xdr:graphicFrame macro="">
      <xdr:nvGraphicFramePr>
        <xdr:cNvPr id="19" name="graph18">
          <a:extLst>
            <a:ext uri="{FF2B5EF4-FFF2-40B4-BE49-F238E27FC236}">
              <a16:creationId xmlns:a16="http://schemas.microsoft.com/office/drawing/2014/main" id="{3D680F9C-53E6-4B04-82EB-3E63F0C040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 fLocksWithSheet="0"/>
  </xdr:twoCellAnchor>
  <xdr:twoCellAnchor>
    <xdr:from>
      <xdr:col>0</xdr:col>
      <xdr:colOff>104775</xdr:colOff>
      <xdr:row>361</xdr:row>
      <xdr:rowOff>0</xdr:rowOff>
    </xdr:from>
    <xdr:to>
      <xdr:col>0</xdr:col>
      <xdr:colOff>2876775</xdr:colOff>
      <xdr:row>395</xdr:row>
      <xdr:rowOff>1950</xdr:rowOff>
    </xdr:to>
    <xdr:graphicFrame macro="">
      <xdr:nvGraphicFramePr>
        <xdr:cNvPr id="20" name="graph19">
          <a:extLst>
            <a:ext uri="{FF2B5EF4-FFF2-40B4-BE49-F238E27FC236}">
              <a16:creationId xmlns:a16="http://schemas.microsoft.com/office/drawing/2014/main" id="{E85C58DA-C7A8-4604-BD4D-6A66143EA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 fLocksWithSheet="0"/>
  </xdr:twoCellAnchor>
  <xdr:twoCellAnchor>
    <xdr:from>
      <xdr:col>1</xdr:col>
      <xdr:colOff>104775</xdr:colOff>
      <xdr:row>361</xdr:row>
      <xdr:rowOff>0</xdr:rowOff>
    </xdr:from>
    <xdr:to>
      <xdr:col>1</xdr:col>
      <xdr:colOff>2876775</xdr:colOff>
      <xdr:row>395</xdr:row>
      <xdr:rowOff>1950</xdr:rowOff>
    </xdr:to>
    <xdr:graphicFrame macro="">
      <xdr:nvGraphicFramePr>
        <xdr:cNvPr id="21" name="graph20">
          <a:extLst>
            <a:ext uri="{FF2B5EF4-FFF2-40B4-BE49-F238E27FC236}">
              <a16:creationId xmlns:a16="http://schemas.microsoft.com/office/drawing/2014/main" id="{9DC3C267-360E-4919-9C76-6CA87B7F39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 fLocksWithSheet="0"/>
  </xdr:twoCellAnchor>
  <xdr:twoCellAnchor>
    <xdr:from>
      <xdr:col>0</xdr:col>
      <xdr:colOff>104775</xdr:colOff>
      <xdr:row>404</xdr:row>
      <xdr:rowOff>0</xdr:rowOff>
    </xdr:from>
    <xdr:to>
      <xdr:col>0</xdr:col>
      <xdr:colOff>2876775</xdr:colOff>
      <xdr:row>438</xdr:row>
      <xdr:rowOff>1950</xdr:rowOff>
    </xdr:to>
    <xdr:graphicFrame macro="">
      <xdr:nvGraphicFramePr>
        <xdr:cNvPr id="22" name="graph21">
          <a:extLst>
            <a:ext uri="{FF2B5EF4-FFF2-40B4-BE49-F238E27FC236}">
              <a16:creationId xmlns:a16="http://schemas.microsoft.com/office/drawing/2014/main" id="{4341FC2C-A39C-4610-9818-5FA6C55BA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 fLocksWithSheet="0"/>
  </xdr:twoCellAnchor>
  <xdr:twoCellAnchor>
    <xdr:from>
      <xdr:col>1</xdr:col>
      <xdr:colOff>104775</xdr:colOff>
      <xdr:row>404</xdr:row>
      <xdr:rowOff>0</xdr:rowOff>
    </xdr:from>
    <xdr:to>
      <xdr:col>1</xdr:col>
      <xdr:colOff>2876775</xdr:colOff>
      <xdr:row>438</xdr:row>
      <xdr:rowOff>1950</xdr:rowOff>
    </xdr:to>
    <xdr:graphicFrame macro="">
      <xdr:nvGraphicFramePr>
        <xdr:cNvPr id="23" name="graph22">
          <a:extLst>
            <a:ext uri="{FF2B5EF4-FFF2-40B4-BE49-F238E27FC236}">
              <a16:creationId xmlns:a16="http://schemas.microsoft.com/office/drawing/2014/main" id="{B51CAA15-2E03-46CC-9390-66FA0E5BE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 fLocksWithSheet="0"/>
  </xdr:twoCellAnchor>
  <xdr:twoCellAnchor>
    <xdr:from>
      <xdr:col>0</xdr:col>
      <xdr:colOff>104775</xdr:colOff>
      <xdr:row>441</xdr:row>
      <xdr:rowOff>0</xdr:rowOff>
    </xdr:from>
    <xdr:to>
      <xdr:col>0</xdr:col>
      <xdr:colOff>2876775</xdr:colOff>
      <xdr:row>475</xdr:row>
      <xdr:rowOff>1950</xdr:rowOff>
    </xdr:to>
    <xdr:graphicFrame macro="">
      <xdr:nvGraphicFramePr>
        <xdr:cNvPr id="24" name="graph23">
          <a:extLst>
            <a:ext uri="{FF2B5EF4-FFF2-40B4-BE49-F238E27FC236}">
              <a16:creationId xmlns:a16="http://schemas.microsoft.com/office/drawing/2014/main" id="{E2426485-AE6F-47A2-9C21-0F4FEDBAF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 fLocksWithSheet="0"/>
  </xdr:twoCellAnchor>
  <xdr:twoCellAnchor>
    <xdr:from>
      <xdr:col>1</xdr:col>
      <xdr:colOff>104775</xdr:colOff>
      <xdr:row>441</xdr:row>
      <xdr:rowOff>0</xdr:rowOff>
    </xdr:from>
    <xdr:to>
      <xdr:col>1</xdr:col>
      <xdr:colOff>2876775</xdr:colOff>
      <xdr:row>475</xdr:row>
      <xdr:rowOff>1950</xdr:rowOff>
    </xdr:to>
    <xdr:graphicFrame macro="">
      <xdr:nvGraphicFramePr>
        <xdr:cNvPr id="25" name="graph24">
          <a:extLst>
            <a:ext uri="{FF2B5EF4-FFF2-40B4-BE49-F238E27FC236}">
              <a16:creationId xmlns:a16="http://schemas.microsoft.com/office/drawing/2014/main" id="{AD925283-5252-4EDD-A9A9-790C6532B0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60</xdr:row>
          <xdr:rowOff>0</xdr:rowOff>
        </xdr:from>
        <xdr:to>
          <xdr:col>21</xdr:col>
          <xdr:colOff>0</xdr:colOff>
          <xdr:row>62</xdr:row>
          <xdr:rowOff>0</xdr:rowOff>
        </xdr:to>
        <xdr:sp macro="" textlink="">
          <xdr:nvSpPr>
            <xdr:cNvPr id="1025" name="btn_csv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csv読込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1</xdr:row>
      <xdr:rowOff>0</xdr:rowOff>
    </xdr:from>
    <xdr:to>
      <xdr:col>1</xdr:col>
      <xdr:colOff>2873925</xdr:colOff>
      <xdr:row>3</xdr:row>
      <xdr:rowOff>4350</xdr:rowOff>
    </xdr:to>
    <xdr:graphicFrame macro="">
      <xdr:nvGraphicFramePr>
        <xdr:cNvPr id="26" name="legend1">
          <a:extLst>
            <a:ext uri="{FF2B5EF4-FFF2-40B4-BE49-F238E27FC236}">
              <a16:creationId xmlns:a16="http://schemas.microsoft.com/office/drawing/2014/main" id="{A145017E-7678-4B67-BB71-8329E1B94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95250</xdr:colOff>
      <xdr:row>81</xdr:row>
      <xdr:rowOff>0</xdr:rowOff>
    </xdr:from>
    <xdr:to>
      <xdr:col>1</xdr:col>
      <xdr:colOff>2873925</xdr:colOff>
      <xdr:row>83</xdr:row>
      <xdr:rowOff>4350</xdr:rowOff>
    </xdr:to>
    <xdr:graphicFrame macro="">
      <xdr:nvGraphicFramePr>
        <xdr:cNvPr id="27" name="legend2">
          <a:extLst>
            <a:ext uri="{FF2B5EF4-FFF2-40B4-BE49-F238E27FC236}">
              <a16:creationId xmlns:a16="http://schemas.microsoft.com/office/drawing/2014/main" id="{BBE33479-8E62-46E2-97E3-EE2292B979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95250</xdr:colOff>
      <xdr:row>161</xdr:row>
      <xdr:rowOff>0</xdr:rowOff>
    </xdr:from>
    <xdr:to>
      <xdr:col>1</xdr:col>
      <xdr:colOff>2873925</xdr:colOff>
      <xdr:row>163</xdr:row>
      <xdr:rowOff>4350</xdr:rowOff>
    </xdr:to>
    <xdr:graphicFrame macro="">
      <xdr:nvGraphicFramePr>
        <xdr:cNvPr id="28" name="legend3">
          <a:extLst>
            <a:ext uri="{FF2B5EF4-FFF2-40B4-BE49-F238E27FC236}">
              <a16:creationId xmlns:a16="http://schemas.microsoft.com/office/drawing/2014/main" id="{BE6E5F27-EC33-4C64-8C80-D8941271E0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95250</xdr:colOff>
      <xdr:row>241</xdr:row>
      <xdr:rowOff>0</xdr:rowOff>
    </xdr:from>
    <xdr:to>
      <xdr:col>1</xdr:col>
      <xdr:colOff>2873925</xdr:colOff>
      <xdr:row>243</xdr:row>
      <xdr:rowOff>4350</xdr:rowOff>
    </xdr:to>
    <xdr:graphicFrame macro="">
      <xdr:nvGraphicFramePr>
        <xdr:cNvPr id="29" name="legend4">
          <a:extLst>
            <a:ext uri="{FF2B5EF4-FFF2-40B4-BE49-F238E27FC236}">
              <a16:creationId xmlns:a16="http://schemas.microsoft.com/office/drawing/2014/main" id="{A56B9C3B-0837-4A01-AAED-57F33EB7DA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95250</xdr:colOff>
      <xdr:row>321</xdr:row>
      <xdr:rowOff>0</xdr:rowOff>
    </xdr:from>
    <xdr:to>
      <xdr:col>1</xdr:col>
      <xdr:colOff>2873925</xdr:colOff>
      <xdr:row>323</xdr:row>
      <xdr:rowOff>4350</xdr:rowOff>
    </xdr:to>
    <xdr:graphicFrame macro="">
      <xdr:nvGraphicFramePr>
        <xdr:cNvPr id="30" name="legend5">
          <a:extLst>
            <a:ext uri="{FF2B5EF4-FFF2-40B4-BE49-F238E27FC236}">
              <a16:creationId xmlns:a16="http://schemas.microsoft.com/office/drawing/2014/main" id="{0CF31A8D-1DF4-4E52-BFFE-DE67F34FB6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95250</xdr:colOff>
      <xdr:row>401</xdr:row>
      <xdr:rowOff>0</xdr:rowOff>
    </xdr:from>
    <xdr:to>
      <xdr:col>1</xdr:col>
      <xdr:colOff>2873925</xdr:colOff>
      <xdr:row>403</xdr:row>
      <xdr:rowOff>4350</xdr:rowOff>
    </xdr:to>
    <xdr:graphicFrame macro="">
      <xdr:nvGraphicFramePr>
        <xdr:cNvPr id="31" name="legend6">
          <a:extLst>
            <a:ext uri="{FF2B5EF4-FFF2-40B4-BE49-F238E27FC236}">
              <a16:creationId xmlns:a16="http://schemas.microsoft.com/office/drawing/2014/main" id="{95282FBE-207E-4CD3-97EE-8BBA73C4B8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28</xdr:row>
          <xdr:rowOff>0</xdr:rowOff>
        </xdr:to>
        <xdr:sp macro="" textlink="">
          <xdr:nvSpPr>
            <xdr:cNvPr id="6148" name="btn_conv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7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31</xdr:row>
          <xdr:rowOff>0</xdr:rowOff>
        </xdr:from>
        <xdr:to>
          <xdr:col>4</xdr:col>
          <xdr:colOff>0</xdr:colOff>
          <xdr:row>33</xdr:row>
          <xdr:rowOff>0</xdr:rowOff>
        </xdr:to>
        <xdr:sp macro="" textlink="">
          <xdr:nvSpPr>
            <xdr:cNvPr id="6149" name="btn_trsf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8000"/>
                  </a:solidFill>
                  <a:latin typeface="ＭＳ Ｐゴシック"/>
                  <a:ea typeface="ＭＳ Ｐゴシック"/>
                </a:rPr>
                <a:t>転送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</xdr:colOff>
      <xdr:row>1</xdr:row>
      <xdr:rowOff>0</xdr:rowOff>
    </xdr:from>
    <xdr:to>
      <xdr:col>17</xdr:col>
      <xdr:colOff>1</xdr:colOff>
      <xdr:row>22</xdr:row>
      <xdr:rowOff>0</xdr:rowOff>
    </xdr:to>
    <xdr:graphicFrame macro="">
      <xdr:nvGraphicFramePr>
        <xdr:cNvPr id="2" name="grp_wave">
          <a:extLst>
            <a:ext uri="{FF2B5EF4-FFF2-40B4-BE49-F238E27FC236}">
              <a16:creationId xmlns:a16="http://schemas.microsoft.com/office/drawing/2014/main" id="{FE3EF80B-416E-458D-84E6-43E4120210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0</xdr:rowOff>
        </xdr:from>
        <xdr:to>
          <xdr:col>17</xdr:col>
          <xdr:colOff>0</xdr:colOff>
          <xdr:row>3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0</xdr:rowOff>
        </xdr:from>
        <xdr:to>
          <xdr:col>17</xdr:col>
          <xdr:colOff>0</xdr:colOff>
          <xdr:row>5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66CC"/>
                  </a:solidFill>
                  <a:latin typeface="ＭＳ Ｐゴシック"/>
                  <a:ea typeface="ＭＳ Ｐゴシック"/>
                </a:rPr>
                <a:t>▼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22</xdr:row>
      <xdr:rowOff>123824</xdr:rowOff>
    </xdr:from>
    <xdr:to>
      <xdr:col>17</xdr:col>
      <xdr:colOff>0</xdr:colOff>
      <xdr:row>56</xdr:row>
      <xdr:rowOff>123824</xdr:rowOff>
    </xdr:to>
    <xdr:graphicFrame macro="">
      <xdr:nvGraphicFramePr>
        <xdr:cNvPr id="3" name="grp_pSv">
          <a:extLst>
            <a:ext uri="{FF2B5EF4-FFF2-40B4-BE49-F238E27FC236}">
              <a16:creationId xmlns:a16="http://schemas.microsoft.com/office/drawing/2014/main" id="{8431F9E1-2523-4C36-9887-D3AA71DFB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236642</xdr:colOff>
      <xdr:row>31</xdr:row>
      <xdr:rowOff>100016</xdr:rowOff>
    </xdr:from>
    <xdr:to>
      <xdr:col>16</xdr:col>
      <xdr:colOff>516564</xdr:colOff>
      <xdr:row>54</xdr:row>
      <xdr:rowOff>7152</xdr:rowOff>
    </xdr:to>
    <xdr:grpSp>
      <xdr:nvGrpSpPr>
        <xdr:cNvPr id="4" name="グループ化 3">
          <a:extLst>
            <a:ext uri="{FF2B5EF4-FFF2-40B4-BE49-F238E27FC236}">
              <a16:creationId xmlns:a16="http://schemas.microsoft.com/office/drawing/2014/main" id="{CDAE07CA-A08F-4B0F-B725-8479405F6A9C}"/>
            </a:ext>
          </a:extLst>
        </xdr:cNvPr>
        <xdr:cNvGrpSpPr/>
      </xdr:nvGrpSpPr>
      <xdr:grpSpPr>
        <a:xfrm>
          <a:off x="12819167" y="3938591"/>
          <a:ext cx="4928122" cy="2755111"/>
          <a:chOff x="12485793" y="4186242"/>
          <a:chExt cx="4928122" cy="2755111"/>
        </a:xfrm>
      </xdr:grpSpPr>
      <xdr:sp macro="" textlink="">
        <xdr:nvSpPr>
          <xdr:cNvPr id="5" name="正方形/長方形 4">
            <a:extLst>
              <a:ext uri="{FF2B5EF4-FFF2-40B4-BE49-F238E27FC236}">
                <a16:creationId xmlns:a16="http://schemas.microsoft.com/office/drawing/2014/main" id="{B50B248E-D5C7-4E97-94FC-EF96F75CE68B}"/>
              </a:ext>
            </a:extLst>
          </xdr:cNvPr>
          <xdr:cNvSpPr/>
        </xdr:nvSpPr>
        <xdr:spPr>
          <a:xfrm rot="19680000">
            <a:off x="12529966" y="6791312"/>
            <a:ext cx="20947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6" name="正方形/長方形 5">
            <a:extLst>
              <a:ext uri="{FF2B5EF4-FFF2-40B4-BE49-F238E27FC236}">
                <a16:creationId xmlns:a16="http://schemas.microsoft.com/office/drawing/2014/main" id="{C76FAE65-A869-6778-B9A7-4B1646814E30}"/>
              </a:ext>
            </a:extLst>
          </xdr:cNvPr>
          <xdr:cNvSpPr/>
        </xdr:nvSpPr>
        <xdr:spPr>
          <a:xfrm rot="19680000">
            <a:off x="12524922" y="5786440"/>
            <a:ext cx="267184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7" name="正方形/長方形 6">
            <a:extLst>
              <a:ext uri="{FF2B5EF4-FFF2-40B4-BE49-F238E27FC236}">
                <a16:creationId xmlns:a16="http://schemas.microsoft.com/office/drawing/2014/main" id="{693A5146-87E6-89C1-360F-80B3E09BA99D}"/>
              </a:ext>
            </a:extLst>
          </xdr:cNvPr>
          <xdr:cNvSpPr/>
        </xdr:nvSpPr>
        <xdr:spPr>
          <a:xfrm rot="19680000">
            <a:off x="12485793" y="4652962"/>
            <a:ext cx="82169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3600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10000(cm/sec</a:t>
            </a:r>
            <a:r>
              <a:rPr kumimoji="1" lang="en-US" altLang="ja-JP" sz="900" baseline="300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2</a:t>
            </a:r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8" name="正方形/長方形 7">
            <a:extLst>
              <a:ext uri="{FF2B5EF4-FFF2-40B4-BE49-F238E27FC236}">
                <a16:creationId xmlns:a16="http://schemas.microsoft.com/office/drawing/2014/main" id="{7226E3FE-E166-DDC4-D57C-1281BF30BC64}"/>
              </a:ext>
            </a:extLst>
          </xdr:cNvPr>
          <xdr:cNvSpPr/>
        </xdr:nvSpPr>
        <xdr:spPr>
          <a:xfrm rot="1920000">
            <a:off x="17335010" y="6243645"/>
            <a:ext cx="57708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9" name="正方形/長方形 8">
            <a:extLst>
              <a:ext uri="{FF2B5EF4-FFF2-40B4-BE49-F238E27FC236}">
                <a16:creationId xmlns:a16="http://schemas.microsoft.com/office/drawing/2014/main" id="{392E25C9-A43B-AFA0-5BED-B42547D9131E}"/>
              </a:ext>
            </a:extLst>
          </xdr:cNvPr>
          <xdr:cNvSpPr/>
        </xdr:nvSpPr>
        <xdr:spPr>
          <a:xfrm rot="1920000">
            <a:off x="17277577" y="5233987"/>
            <a:ext cx="115416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  <xdr:sp macro="" textlink="">
        <xdr:nvSpPr>
          <xdr:cNvPr id="10" name="正方形/長方形 9">
            <a:extLst>
              <a:ext uri="{FF2B5EF4-FFF2-40B4-BE49-F238E27FC236}">
                <a16:creationId xmlns:a16="http://schemas.microsoft.com/office/drawing/2014/main" id="{3F8CE7AD-C7F2-60A3-C8C9-8E98EB4C6B68}"/>
              </a:ext>
            </a:extLst>
          </xdr:cNvPr>
          <xdr:cNvSpPr/>
        </xdr:nvSpPr>
        <xdr:spPr>
          <a:xfrm rot="1920000">
            <a:off x="17028040" y="4186242"/>
            <a:ext cx="385875" cy="150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0" tIns="0" rIns="0" bIns="0" rtlCol="0" anchor="ctr" anchorCtr="0">
            <a:noAutofit/>
          </a:bodyPr>
          <a:lstStyle/>
          <a:p>
            <a:pPr algn="l"/>
            <a:r>
              <a:rPr kumimoji="1" lang="en-US" altLang="ja-JP" sz="900">
                <a:solidFill>
                  <a:sysClr val="windowText" lastClr="000000"/>
                </a:solidFill>
                <a:latin typeface="ＭＳ Ｐゴシック" panose="020B0600070205080204" pitchFamily="50" charset="-128"/>
                <a:ea typeface="ＭＳ Ｐゴシック" panose="020B0600070205080204" pitchFamily="50" charset="-128"/>
              </a:rPr>
              <a:t>100(cm)</a:t>
            </a:r>
            <a:endParaRPr kumimoji="1" lang="ja-JP" altLang="en-US" sz="900">
              <a:solidFill>
                <a:sysClr val="windowText" lastClr="000000"/>
              </a:solidFill>
              <a:latin typeface="ＭＳ Ｐゴシック" panose="020B0600070205080204" pitchFamily="50" charset="-128"/>
              <a:ea typeface="ＭＳ Ｐゴシック" panose="020B0600070205080204" pitchFamily="50" charset="-128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6C737460-3BEC-44C5-BF8D-FD9FB61A6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F0238480-5BB5-45F6-8E95-9C53327919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38EB160-7A06-401E-9BEA-1BFEE066E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BA8EF50E-5344-41AB-91B3-70D235D43A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5D641EB7-5140-455F-8734-DDD915EAC3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F9B3E31B-6D6E-43D1-B8CE-A725B485A4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2C8769A-2926-4C5B-B64E-DC7EAD1F4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73FCDE6-C34B-435D-A408-D1EF72B0A5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074A0F8-D9FF-4649-8985-3B6AA3F13A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3105DD74-44D4-488B-8E24-30AD45035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D9290C-ABDF-4542-8CF6-27FDF2F6FA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15AD1704-4832-456F-9D1A-325D38C97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491E81E5-59F2-4F73-8D66-D9AE5CFC8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91C37AC4-FF33-42CA-9EF5-972C457EA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4D987068-960D-4B91-AF47-80170EB73B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2AFB8E8C-0E5C-489C-AE04-0D30F12135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3F836E58-0F5C-4EAB-8EAD-13F202F55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B985D6E3-8729-44DC-A31E-9774C09EE4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FB598E4F-3F6E-4D53-A030-3782EC6ED5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40AEAC11-652A-414E-AD20-A84901196F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CBC13BC-41C0-4136-BB1C-EC6EA878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B6023635-DC4F-4F62-84FE-862E569E08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6CB1E3F4-CAAE-4BC2-807E-653DAF58D7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F36382E0-A3E7-4B7C-A2EF-D751AF9556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B21C6E9B-F8D8-46E5-8C21-FEC44B7525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0DB08CEB-4754-4979-B696-A8BF72FE5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53279795-CA45-43AF-BA25-50C625F434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79FB604B-95B2-4629-BA1A-0644C2AC6A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333C2C93-F71A-453F-AD82-CEAC2854F2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10F12852-D1EC-4B0A-B1A1-0AB551CD86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138000</xdr:colOff>
      <xdr:row>7</xdr:row>
      <xdr:rowOff>0</xdr:rowOff>
    </xdr:from>
    <xdr:to>
      <xdr:col>0</xdr:col>
      <xdr:colOff>2910000</xdr:colOff>
      <xdr:row>40</xdr:row>
      <xdr:rowOff>89775</xdr:rowOff>
    </xdr:to>
    <xdr:graphicFrame macro="">
      <xdr:nvGraphicFramePr>
        <xdr:cNvPr id="2" name="graph1">
          <a:extLst>
            <a:ext uri="{FF2B5EF4-FFF2-40B4-BE49-F238E27FC236}">
              <a16:creationId xmlns:a16="http://schemas.microsoft.com/office/drawing/2014/main" id="{7A0CD409-488B-4351-8C71-2BD2E9BE32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138000</xdr:colOff>
      <xdr:row>7</xdr:row>
      <xdr:rowOff>0</xdr:rowOff>
    </xdr:from>
    <xdr:to>
      <xdr:col>1</xdr:col>
      <xdr:colOff>2910000</xdr:colOff>
      <xdr:row>40</xdr:row>
      <xdr:rowOff>89775</xdr:rowOff>
    </xdr:to>
    <xdr:graphicFrame macro="">
      <xdr:nvGraphicFramePr>
        <xdr:cNvPr id="3" name="graph2">
          <a:extLst>
            <a:ext uri="{FF2B5EF4-FFF2-40B4-BE49-F238E27FC236}">
              <a16:creationId xmlns:a16="http://schemas.microsoft.com/office/drawing/2014/main" id="{CCF85EAA-E227-4D46-A221-91BB281D96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132000</xdr:colOff>
      <xdr:row>0</xdr:row>
      <xdr:rowOff>22950</xdr:rowOff>
    </xdr:from>
    <xdr:to>
      <xdr:col>1</xdr:col>
      <xdr:colOff>2916000</xdr:colOff>
      <xdr:row>6</xdr:row>
      <xdr:rowOff>0</xdr:rowOff>
    </xdr:to>
    <xdr:graphicFrame macro="">
      <xdr:nvGraphicFramePr>
        <xdr:cNvPr id="4" name="graph9">
          <a:extLst>
            <a:ext uri="{FF2B5EF4-FFF2-40B4-BE49-F238E27FC236}">
              <a16:creationId xmlns:a16="http://schemas.microsoft.com/office/drawing/2014/main" id="{FC713FAD-DE44-498D-8B9C-9851815C13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138000</xdr:colOff>
      <xdr:row>43</xdr:row>
      <xdr:rowOff>0</xdr:rowOff>
    </xdr:from>
    <xdr:to>
      <xdr:col>0</xdr:col>
      <xdr:colOff>2910000</xdr:colOff>
      <xdr:row>76</xdr:row>
      <xdr:rowOff>89775</xdr:rowOff>
    </xdr:to>
    <xdr:graphicFrame macro="">
      <xdr:nvGraphicFramePr>
        <xdr:cNvPr id="5" name="graph3">
          <a:extLst>
            <a:ext uri="{FF2B5EF4-FFF2-40B4-BE49-F238E27FC236}">
              <a16:creationId xmlns:a16="http://schemas.microsoft.com/office/drawing/2014/main" id="{85BB746E-1BA5-4CC8-87C4-F9694B2FC4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138000</xdr:colOff>
      <xdr:row>43</xdr:row>
      <xdr:rowOff>0</xdr:rowOff>
    </xdr:from>
    <xdr:to>
      <xdr:col>1</xdr:col>
      <xdr:colOff>2910000</xdr:colOff>
      <xdr:row>76</xdr:row>
      <xdr:rowOff>89775</xdr:rowOff>
    </xdr:to>
    <xdr:graphicFrame macro="">
      <xdr:nvGraphicFramePr>
        <xdr:cNvPr id="6" name="graph4">
          <a:extLst>
            <a:ext uri="{FF2B5EF4-FFF2-40B4-BE49-F238E27FC236}">
              <a16:creationId xmlns:a16="http://schemas.microsoft.com/office/drawing/2014/main" id="{3DD7AE70-8DA8-4E7F-9634-D1671265F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138000</xdr:colOff>
      <xdr:row>7</xdr:row>
      <xdr:rowOff>0</xdr:rowOff>
    </xdr:from>
    <xdr:to>
      <xdr:col>2</xdr:col>
      <xdr:colOff>2910000</xdr:colOff>
      <xdr:row>40</xdr:row>
      <xdr:rowOff>89775</xdr:rowOff>
    </xdr:to>
    <xdr:graphicFrame macro="">
      <xdr:nvGraphicFramePr>
        <xdr:cNvPr id="7" name="graph5">
          <a:extLst>
            <a:ext uri="{FF2B5EF4-FFF2-40B4-BE49-F238E27FC236}">
              <a16:creationId xmlns:a16="http://schemas.microsoft.com/office/drawing/2014/main" id="{BD634AF6-3380-442E-BA0F-D416848B06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138000</xdr:colOff>
      <xdr:row>7</xdr:row>
      <xdr:rowOff>0</xdr:rowOff>
    </xdr:from>
    <xdr:to>
      <xdr:col>3</xdr:col>
      <xdr:colOff>2910000</xdr:colOff>
      <xdr:row>40</xdr:row>
      <xdr:rowOff>89775</xdr:rowOff>
    </xdr:to>
    <xdr:graphicFrame macro="">
      <xdr:nvGraphicFramePr>
        <xdr:cNvPr id="8" name="graph6">
          <a:extLst>
            <a:ext uri="{FF2B5EF4-FFF2-40B4-BE49-F238E27FC236}">
              <a16:creationId xmlns:a16="http://schemas.microsoft.com/office/drawing/2014/main" id="{14488871-CDB8-4B58-8340-11607D4C9F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138000</xdr:colOff>
      <xdr:row>43</xdr:row>
      <xdr:rowOff>0</xdr:rowOff>
    </xdr:from>
    <xdr:to>
      <xdr:col>2</xdr:col>
      <xdr:colOff>2910000</xdr:colOff>
      <xdr:row>76</xdr:row>
      <xdr:rowOff>89775</xdr:rowOff>
    </xdr:to>
    <xdr:graphicFrame macro="">
      <xdr:nvGraphicFramePr>
        <xdr:cNvPr id="9" name="graph7">
          <a:extLst>
            <a:ext uri="{FF2B5EF4-FFF2-40B4-BE49-F238E27FC236}">
              <a16:creationId xmlns:a16="http://schemas.microsoft.com/office/drawing/2014/main" id="{80444C26-892A-4134-B0A6-0C5DE54B9A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138000</xdr:colOff>
      <xdr:row>43</xdr:row>
      <xdr:rowOff>0</xdr:rowOff>
    </xdr:from>
    <xdr:to>
      <xdr:col>3</xdr:col>
      <xdr:colOff>2910000</xdr:colOff>
      <xdr:row>76</xdr:row>
      <xdr:rowOff>89775</xdr:rowOff>
    </xdr:to>
    <xdr:graphicFrame macro="">
      <xdr:nvGraphicFramePr>
        <xdr:cNvPr id="10" name="graph8">
          <a:extLst>
            <a:ext uri="{FF2B5EF4-FFF2-40B4-BE49-F238E27FC236}">
              <a16:creationId xmlns:a16="http://schemas.microsoft.com/office/drawing/2014/main" id="{5E8D7581-E3AE-4D4E-9AEA-99847A6F3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132000</xdr:colOff>
      <xdr:row>0</xdr:row>
      <xdr:rowOff>22950</xdr:rowOff>
    </xdr:from>
    <xdr:to>
      <xdr:col>3</xdr:col>
      <xdr:colOff>2916000</xdr:colOff>
      <xdr:row>6</xdr:row>
      <xdr:rowOff>0</xdr:rowOff>
    </xdr:to>
    <xdr:graphicFrame macro="">
      <xdr:nvGraphicFramePr>
        <xdr:cNvPr id="11" name="graph10">
          <a:extLst>
            <a:ext uri="{FF2B5EF4-FFF2-40B4-BE49-F238E27FC236}">
              <a16:creationId xmlns:a16="http://schemas.microsoft.com/office/drawing/2014/main" id="{9E563CA0-6161-4CC1-9017-7C3618328D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284F6-CED5-4471-B9C3-41EDFCDA69B7}">
  <sheetPr codeName="Sheet11"/>
  <dimension ref="A1:R63"/>
  <sheetViews>
    <sheetView showGridLines="0" tabSelected="1" zoomScaleNormal="100" workbookViewId="0"/>
  </sheetViews>
  <sheetFormatPr defaultColWidth="8.7109375" defaultRowHeight="12" customHeight="1"/>
  <cols>
    <col min="1" max="16384" width="8.7109375" style="138"/>
  </cols>
  <sheetData>
    <row r="1" spans="1:16" ht="12" customHeight="1">
      <c r="A1" s="138" t="s">
        <v>192</v>
      </c>
      <c r="P1" s="138" t="s">
        <v>205</v>
      </c>
    </row>
    <row r="3" spans="1:16" ht="12" customHeight="1">
      <c r="P3" s="138" t="s">
        <v>204</v>
      </c>
    </row>
    <row r="4" spans="1:16" ht="12" customHeight="1">
      <c r="A4" s="138" t="s">
        <v>193</v>
      </c>
    </row>
    <row r="5" spans="1:16" ht="12" customHeight="1">
      <c r="A5" s="138" t="str">
        <f>"---------"</f>
        <v>---------</v>
      </c>
    </row>
    <row r="6" spans="1:16" ht="12" customHeight="1">
      <c r="A6" s="138" t="s">
        <v>194</v>
      </c>
    </row>
    <row r="7" spans="1:16" ht="12" customHeight="1">
      <c r="A7" s="138" t="s">
        <v>197</v>
      </c>
    </row>
    <row r="8" spans="1:16" ht="12" customHeight="1">
      <c r="P8" s="138" t="s">
        <v>291</v>
      </c>
    </row>
    <row r="10" spans="1:16" ht="12" customHeight="1">
      <c r="A10" s="138" t="s">
        <v>255</v>
      </c>
    </row>
    <row r="11" spans="1:16" ht="12" customHeight="1">
      <c r="A11" s="138" t="str">
        <f>"---------------"</f>
        <v>---------------</v>
      </c>
    </row>
    <row r="12" spans="1:16" ht="12" customHeight="1">
      <c r="A12" s="138" t="s">
        <v>280</v>
      </c>
      <c r="P12" s="138" t="s">
        <v>370</v>
      </c>
    </row>
    <row r="13" spans="1:16" ht="12" customHeight="1">
      <c r="A13" s="138" t="s">
        <v>281</v>
      </c>
    </row>
    <row r="18" spans="1:16" ht="12" customHeight="1">
      <c r="P18" s="138" t="s">
        <v>196</v>
      </c>
    </row>
    <row r="23" spans="1:16" ht="12" customHeight="1">
      <c r="A23" s="138" t="s">
        <v>270</v>
      </c>
    </row>
    <row r="24" spans="1:16" ht="12" customHeight="1">
      <c r="A24" s="138" t="s">
        <v>257</v>
      </c>
    </row>
    <row r="25" spans="1:16" ht="12" customHeight="1">
      <c r="A25" s="138" t="s">
        <v>258</v>
      </c>
    </row>
    <row r="26" spans="1:16" ht="12" customHeight="1">
      <c r="A26" s="138" t="s">
        <v>282</v>
      </c>
    </row>
    <row r="27" spans="1:16" ht="12" customHeight="1">
      <c r="A27" s="138" t="s">
        <v>259</v>
      </c>
    </row>
    <row r="28" spans="1:16" ht="12" customHeight="1">
      <c r="A28" s="138" t="s">
        <v>269</v>
      </c>
    </row>
    <row r="29" spans="1:16" ht="12" customHeight="1">
      <c r="A29" s="138" t="s">
        <v>260</v>
      </c>
    </row>
    <row r="30" spans="1:16" ht="12" customHeight="1">
      <c r="A30" s="138" t="s">
        <v>271</v>
      </c>
    </row>
    <row r="31" spans="1:16" ht="12" customHeight="1">
      <c r="A31" s="138" t="s">
        <v>261</v>
      </c>
    </row>
    <row r="32" spans="1:16" ht="12" customHeight="1">
      <c r="A32" s="138" t="s">
        <v>262</v>
      </c>
    </row>
    <row r="33" spans="1:18" ht="12" customHeight="1">
      <c r="A33" s="138" t="s">
        <v>283</v>
      </c>
      <c r="P33" s="138" t="s">
        <v>195</v>
      </c>
    </row>
    <row r="34" spans="1:18" ht="12" customHeight="1">
      <c r="A34" s="138" t="s">
        <v>260</v>
      </c>
      <c r="P34" s="138" t="s">
        <v>290</v>
      </c>
    </row>
    <row r="35" spans="1:18" ht="12" customHeight="1">
      <c r="A35" s="138" t="s">
        <v>284</v>
      </c>
      <c r="P35" s="138" t="s">
        <v>236</v>
      </c>
    </row>
    <row r="36" spans="1:18" ht="12" customHeight="1">
      <c r="A36" s="138" t="s">
        <v>263</v>
      </c>
    </row>
    <row r="37" spans="1:18" ht="12" customHeight="1">
      <c r="A37" s="138" t="s">
        <v>264</v>
      </c>
      <c r="P37" s="138" t="s">
        <v>198</v>
      </c>
    </row>
    <row r="38" spans="1:18" ht="12" customHeight="1">
      <c r="A38" s="138" t="s">
        <v>265</v>
      </c>
      <c r="P38" s="138" t="s">
        <v>199</v>
      </c>
    </row>
    <row r="39" spans="1:18" ht="12" customHeight="1">
      <c r="A39" s="138" t="s">
        <v>266</v>
      </c>
    </row>
    <row r="40" spans="1:18" ht="12" customHeight="1">
      <c r="A40" s="138" t="s">
        <v>276</v>
      </c>
      <c r="P40" s="138" t="s">
        <v>226</v>
      </c>
    </row>
    <row r="41" spans="1:18" ht="12" customHeight="1">
      <c r="A41" s="138" t="s">
        <v>277</v>
      </c>
      <c r="P41" s="138" t="s">
        <v>237</v>
      </c>
      <c r="R41" s="138" t="s">
        <v>235</v>
      </c>
    </row>
    <row r="42" spans="1:18" ht="12" customHeight="1">
      <c r="A42" s="138" t="s">
        <v>260</v>
      </c>
      <c r="P42" s="138" t="s">
        <v>238</v>
      </c>
      <c r="R42" s="138" t="s">
        <v>234</v>
      </c>
    </row>
    <row r="43" spans="1:18" ht="12" customHeight="1">
      <c r="A43" s="138" t="s">
        <v>272</v>
      </c>
    </row>
    <row r="44" spans="1:18" ht="12" customHeight="1">
      <c r="A44" s="138" t="s">
        <v>267</v>
      </c>
      <c r="P44" s="138" t="s">
        <v>203</v>
      </c>
    </row>
    <row r="45" spans="1:18" ht="12" customHeight="1">
      <c r="A45" s="138" t="s">
        <v>278</v>
      </c>
      <c r="P45" s="138" t="s">
        <v>239</v>
      </c>
    </row>
    <row r="46" spans="1:18" ht="12" customHeight="1">
      <c r="A46" s="138" t="s">
        <v>268</v>
      </c>
      <c r="R46" s="138" t="s">
        <v>244</v>
      </c>
    </row>
    <row r="47" spans="1:18" ht="12" customHeight="1">
      <c r="A47" s="138" t="s">
        <v>279</v>
      </c>
      <c r="P47" s="138" t="s">
        <v>240</v>
      </c>
    </row>
    <row r="48" spans="1:18" ht="12" customHeight="1">
      <c r="A48" s="138" t="s">
        <v>285</v>
      </c>
      <c r="R48" s="138" t="s">
        <v>245</v>
      </c>
    </row>
    <row r="49" spans="1:18" ht="12" customHeight="1">
      <c r="A49" s="138" t="s">
        <v>260</v>
      </c>
      <c r="P49" s="138" t="s">
        <v>241</v>
      </c>
    </row>
    <row r="50" spans="1:18" ht="12" customHeight="1">
      <c r="A50" s="138" t="s">
        <v>273</v>
      </c>
      <c r="R50" s="138" t="s">
        <v>246</v>
      </c>
    </row>
    <row r="51" spans="1:18" ht="12" customHeight="1">
      <c r="A51" s="138" t="s">
        <v>274</v>
      </c>
      <c r="P51" s="138" t="s">
        <v>242</v>
      </c>
    </row>
    <row r="52" spans="1:18" ht="12" customHeight="1">
      <c r="A52" s="138" t="s">
        <v>275</v>
      </c>
      <c r="R52" s="138" t="s">
        <v>247</v>
      </c>
    </row>
    <row r="53" spans="1:18" ht="12" customHeight="1">
      <c r="A53" s="138" t="s">
        <v>286</v>
      </c>
      <c r="P53" s="138" t="s">
        <v>243</v>
      </c>
    </row>
    <row r="54" spans="1:18" ht="12" customHeight="1">
      <c r="R54" s="138" t="s">
        <v>248</v>
      </c>
    </row>
    <row r="56" spans="1:18" ht="12" customHeight="1">
      <c r="P56" s="138" t="s">
        <v>227</v>
      </c>
    </row>
    <row r="57" spans="1:18" ht="12" customHeight="1">
      <c r="P57" s="138" t="s">
        <v>249</v>
      </c>
      <c r="R57" s="138" t="s">
        <v>228</v>
      </c>
    </row>
    <row r="58" spans="1:18" ht="12" customHeight="1">
      <c r="P58" s="138" t="s">
        <v>250</v>
      </c>
      <c r="R58" s="138" t="s">
        <v>229</v>
      </c>
    </row>
    <row r="59" spans="1:18" ht="12" customHeight="1">
      <c r="P59" s="138" t="s">
        <v>251</v>
      </c>
      <c r="R59" s="138" t="s">
        <v>230</v>
      </c>
    </row>
    <row r="60" spans="1:18" ht="12" customHeight="1">
      <c r="P60" s="138" t="s">
        <v>287</v>
      </c>
      <c r="R60" s="138" t="s">
        <v>231</v>
      </c>
    </row>
    <row r="61" spans="1:18" ht="12" customHeight="1">
      <c r="P61" s="138" t="s">
        <v>288</v>
      </c>
      <c r="R61" s="138" t="s">
        <v>289</v>
      </c>
    </row>
    <row r="62" spans="1:18" ht="12" customHeight="1">
      <c r="P62" s="138" t="s">
        <v>252</v>
      </c>
      <c r="R62" s="138" t="s">
        <v>232</v>
      </c>
    </row>
    <row r="63" spans="1:18" ht="12" customHeight="1">
      <c r="P63" s="138" t="s">
        <v>253</v>
      </c>
      <c r="R63" s="138" t="s">
        <v>233</v>
      </c>
    </row>
  </sheetData>
  <sheetProtection algorithmName="SHA-512" hashValue="grJkyOcH1LF/aOu5toqaK/gOMJoBHoGFKD7L6atIXO2+y2FV5YT16A+ywA3l5M6TB981Tu48ZZ2GH9JK0zY3ag==" saltValue="Y20AvhYUXvud70793D6kLw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21277-13BD-460F-B82C-7E769C3EC3B2}">
  <sheetPr codeName="Sheet12"/>
  <dimension ref="A1:T63"/>
  <sheetViews>
    <sheetView showGridLines="0" zoomScaleNormal="100" workbookViewId="0"/>
  </sheetViews>
  <sheetFormatPr defaultColWidth="8.7109375" defaultRowHeight="12" customHeight="1"/>
  <cols>
    <col min="1" max="16384" width="8.7109375" style="138"/>
  </cols>
  <sheetData>
    <row r="1" spans="1:16" ht="12" customHeight="1">
      <c r="A1" s="138" t="s">
        <v>340</v>
      </c>
      <c r="P1" s="138" t="s">
        <v>205</v>
      </c>
    </row>
    <row r="3" spans="1:16" ht="12" customHeight="1">
      <c r="P3" s="138" t="s">
        <v>292</v>
      </c>
    </row>
    <row r="4" spans="1:16" ht="12" customHeight="1">
      <c r="A4" s="138" t="s">
        <v>341</v>
      </c>
    </row>
    <row r="5" spans="1:16" ht="12" customHeight="1">
      <c r="A5" s="138" t="str">
        <f>"-----------------"</f>
        <v>-----------------</v>
      </c>
      <c r="P5" s="139" t="s">
        <v>371</v>
      </c>
    </row>
    <row r="6" spans="1:16" ht="12" customHeight="1">
      <c r="A6" s="138" t="s">
        <v>368</v>
      </c>
    </row>
    <row r="7" spans="1:16" ht="12" customHeight="1">
      <c r="A7" s="138" t="s">
        <v>342</v>
      </c>
    </row>
    <row r="8" spans="1:16" ht="12" customHeight="1">
      <c r="P8" s="138" t="s">
        <v>293</v>
      </c>
    </row>
    <row r="10" spans="1:16" ht="12" customHeight="1">
      <c r="A10" s="138" t="s">
        <v>369</v>
      </c>
    </row>
    <row r="11" spans="1:16" ht="12" customHeight="1">
      <c r="A11" s="138" t="str">
        <f>"-------------"</f>
        <v>-------------</v>
      </c>
    </row>
    <row r="12" spans="1:16" ht="12" customHeight="1">
      <c r="A12" s="138" t="s">
        <v>294</v>
      </c>
      <c r="P12" s="138" t="s">
        <v>370</v>
      </c>
    </row>
    <row r="13" spans="1:16" ht="12" customHeight="1">
      <c r="A13" s="138" t="s">
        <v>295</v>
      </c>
    </row>
    <row r="17" spans="1:16" ht="12" customHeight="1">
      <c r="P17" s="138" t="s">
        <v>296</v>
      </c>
    </row>
    <row r="23" spans="1:16" ht="12" customHeight="1">
      <c r="A23" s="138" t="s">
        <v>297</v>
      </c>
    </row>
    <row r="24" spans="1:16" ht="12" customHeight="1">
      <c r="A24" s="138" t="s">
        <v>298</v>
      </c>
    </row>
    <row r="25" spans="1:16" ht="12" customHeight="1">
      <c r="A25" s="138" t="s">
        <v>346</v>
      </c>
    </row>
    <row r="26" spans="1:16" ht="12" customHeight="1">
      <c r="A26" s="138" t="s">
        <v>347</v>
      </c>
    </row>
    <row r="27" spans="1:16" ht="12" customHeight="1">
      <c r="A27" s="138" t="s">
        <v>299</v>
      </c>
    </row>
    <row r="28" spans="1:16" ht="12" customHeight="1">
      <c r="A28" s="138" t="s">
        <v>300</v>
      </c>
    </row>
    <row r="29" spans="1:16" ht="12" customHeight="1">
      <c r="A29" s="138" t="s">
        <v>301</v>
      </c>
    </row>
    <row r="30" spans="1:16" ht="12" customHeight="1">
      <c r="A30" s="138" t="s">
        <v>302</v>
      </c>
    </row>
    <row r="31" spans="1:16" ht="12" customHeight="1">
      <c r="A31" s="138" t="s">
        <v>303</v>
      </c>
    </row>
    <row r="32" spans="1:16" ht="12" customHeight="1">
      <c r="A32" s="138" t="s">
        <v>305</v>
      </c>
    </row>
    <row r="33" spans="1:20" ht="12" customHeight="1">
      <c r="A33" s="138" t="s">
        <v>306</v>
      </c>
      <c r="P33" s="138" t="s">
        <v>304</v>
      </c>
    </row>
    <row r="34" spans="1:20" ht="12" customHeight="1">
      <c r="A34" s="138" t="s">
        <v>307</v>
      </c>
      <c r="P34" s="138" t="s">
        <v>350</v>
      </c>
      <c r="S34" s="138" t="s">
        <v>351</v>
      </c>
    </row>
    <row r="35" spans="1:20" ht="12" customHeight="1">
      <c r="A35" s="138" t="s">
        <v>302</v>
      </c>
      <c r="P35" s="138" t="s">
        <v>348</v>
      </c>
      <c r="S35" s="138" t="s">
        <v>349</v>
      </c>
    </row>
    <row r="36" spans="1:20" ht="12" customHeight="1">
      <c r="A36" s="138" t="s">
        <v>343</v>
      </c>
    </row>
    <row r="37" spans="1:20" ht="12" customHeight="1">
      <c r="A37" s="138" t="s">
        <v>310</v>
      </c>
      <c r="P37" s="138" t="s">
        <v>308</v>
      </c>
    </row>
    <row r="38" spans="1:20" ht="12" customHeight="1">
      <c r="A38" s="138" t="s">
        <v>311</v>
      </c>
      <c r="P38" s="138" t="s">
        <v>309</v>
      </c>
    </row>
    <row r="39" spans="1:20" ht="12" customHeight="1">
      <c r="A39" s="138" t="s">
        <v>313</v>
      </c>
    </row>
    <row r="40" spans="1:20" ht="12" customHeight="1">
      <c r="A40" s="138" t="s">
        <v>316</v>
      </c>
      <c r="P40" s="138" t="s">
        <v>312</v>
      </c>
    </row>
    <row r="41" spans="1:20" ht="12" customHeight="1">
      <c r="A41" s="138" t="s">
        <v>344</v>
      </c>
      <c r="P41" s="138" t="s">
        <v>314</v>
      </c>
      <c r="T41" s="138" t="s">
        <v>315</v>
      </c>
    </row>
    <row r="42" spans="1:20" ht="12" customHeight="1">
      <c r="A42" s="138" t="s">
        <v>345</v>
      </c>
      <c r="P42" s="138" t="s">
        <v>317</v>
      </c>
      <c r="T42" s="138" t="s">
        <v>318</v>
      </c>
    </row>
    <row r="43" spans="1:20" ht="12" customHeight="1">
      <c r="A43" s="138" t="s">
        <v>319</v>
      </c>
    </row>
    <row r="44" spans="1:20" ht="12" customHeight="1">
      <c r="A44" s="138" t="s">
        <v>302</v>
      </c>
      <c r="P44" s="138" t="s">
        <v>320</v>
      </c>
    </row>
    <row r="45" spans="1:20" ht="12" customHeight="1">
      <c r="A45" s="138" t="s">
        <v>321</v>
      </c>
      <c r="P45" s="138" t="s">
        <v>352</v>
      </c>
    </row>
    <row r="46" spans="1:20" ht="12" customHeight="1">
      <c r="A46" s="138" t="s">
        <v>322</v>
      </c>
      <c r="Q46" s="138" t="s">
        <v>356</v>
      </c>
    </row>
    <row r="47" spans="1:20" ht="12" customHeight="1">
      <c r="A47" s="138" t="s">
        <v>323</v>
      </c>
      <c r="P47" s="138" t="s">
        <v>353</v>
      </c>
    </row>
    <row r="48" spans="1:20" ht="12" customHeight="1">
      <c r="A48" s="138" t="s">
        <v>324</v>
      </c>
      <c r="Q48" s="138" t="s">
        <v>359</v>
      </c>
    </row>
    <row r="49" spans="1:18" ht="12" customHeight="1">
      <c r="A49" s="138" t="s">
        <v>325</v>
      </c>
      <c r="P49" s="138" t="s">
        <v>354</v>
      </c>
    </row>
    <row r="50" spans="1:18" ht="12" customHeight="1">
      <c r="A50" s="138" t="s">
        <v>326</v>
      </c>
      <c r="Q50" s="138" t="s">
        <v>357</v>
      </c>
    </row>
    <row r="51" spans="1:18" ht="12" customHeight="1">
      <c r="A51" s="138" t="s">
        <v>302</v>
      </c>
      <c r="P51" s="138" t="s">
        <v>355</v>
      </c>
    </row>
    <row r="52" spans="1:18" ht="12" customHeight="1">
      <c r="A52" s="138" t="s">
        <v>327</v>
      </c>
      <c r="Q52" s="138" t="s">
        <v>358</v>
      </c>
    </row>
    <row r="53" spans="1:18" ht="12" customHeight="1">
      <c r="A53" s="138" t="s">
        <v>328</v>
      </c>
      <c r="P53" s="138" t="s">
        <v>360</v>
      </c>
    </row>
    <row r="54" spans="1:18" ht="12" customHeight="1">
      <c r="A54" s="138" t="s">
        <v>330</v>
      </c>
      <c r="Q54" s="138" t="s">
        <v>329</v>
      </c>
    </row>
    <row r="55" spans="1:18" ht="12" customHeight="1">
      <c r="A55" s="138" t="s">
        <v>331</v>
      </c>
    </row>
    <row r="56" spans="1:18" ht="12" customHeight="1">
      <c r="P56" s="138" t="s">
        <v>332</v>
      </c>
    </row>
    <row r="57" spans="1:18" ht="12" customHeight="1">
      <c r="P57" s="138" t="s">
        <v>333</v>
      </c>
      <c r="R57" s="138" t="s">
        <v>361</v>
      </c>
    </row>
    <row r="58" spans="1:18" ht="12" customHeight="1">
      <c r="P58" s="138" t="s">
        <v>334</v>
      </c>
      <c r="R58" s="138" t="s">
        <v>362</v>
      </c>
    </row>
    <row r="59" spans="1:18" ht="12" customHeight="1">
      <c r="P59" s="138" t="s">
        <v>335</v>
      </c>
      <c r="R59" s="138" t="s">
        <v>363</v>
      </c>
    </row>
    <row r="60" spans="1:18" ht="12" customHeight="1">
      <c r="P60" s="138" t="s">
        <v>336</v>
      </c>
      <c r="R60" s="138" t="s">
        <v>364</v>
      </c>
    </row>
    <row r="61" spans="1:18" ht="12" customHeight="1">
      <c r="P61" s="138" t="s">
        <v>337</v>
      </c>
      <c r="R61" s="138" t="s">
        <v>365</v>
      </c>
    </row>
    <row r="62" spans="1:18" ht="12" customHeight="1">
      <c r="P62" s="138" t="s">
        <v>338</v>
      </c>
      <c r="R62" s="138" t="s">
        <v>366</v>
      </c>
    </row>
    <row r="63" spans="1:18" ht="12" customHeight="1">
      <c r="P63" s="138" t="s">
        <v>339</v>
      </c>
      <c r="R63" s="138" t="s">
        <v>367</v>
      </c>
    </row>
  </sheetData>
  <sheetProtection algorithmName="SHA-512" hashValue="p5ODwV9lyT+bUVfRvbv95Pb4Ox2mWQlQqzSTo2t5o9yHm2ED3IGdjOUEIbbOzKq8275xfZS1Fb+jvwlikHsjHQ==" saltValue="/X2zlCde1NVftQs7MBATLg==" spinCount="100000" sheet="1" objects="1" scenarios="1" selectLockedCells="1" selectUnlockedCells="1"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8F110-D5C6-4CF7-8C4C-7F403A49193F}">
  <sheetPr codeName="Sheet13"/>
  <dimension ref="A1:V480"/>
  <sheetViews>
    <sheetView zoomScaleNormal="100" zoomScaleSheetLayoutView="100" workbookViewId="0"/>
  </sheetViews>
  <sheetFormatPr defaultColWidth="8.7109375" defaultRowHeight="9.75" customHeight="1"/>
  <cols>
    <col min="1" max="2" width="44.7109375" style="1" customWidth="1"/>
    <col min="3" max="3" width="8.7109375" style="111"/>
    <col min="4" max="22" width="8.7109375" style="111" customWidth="1"/>
    <col min="23" max="24" width="8.7109375" style="111"/>
    <col min="25" max="40" width="8.7109375" style="111" customWidth="1"/>
    <col min="41" max="42" width="8.7109375" style="111"/>
    <col min="43" max="72" width="8.7109375" style="111" customWidth="1"/>
    <col min="73" max="16384" width="8.7109375" style="111"/>
  </cols>
  <sheetData>
    <row r="1" spans="3:22" s="1" customFormat="1" ht="9.75" customHeight="1">
      <c r="D1" s="2" t="s">
        <v>213</v>
      </c>
      <c r="E1" s="2" t="s">
        <v>214</v>
      </c>
      <c r="F1" s="153" t="s">
        <v>256</v>
      </c>
      <c r="G1" s="153"/>
      <c r="H1" s="153"/>
      <c r="I1" s="153"/>
      <c r="J1" s="153" t="s">
        <v>216</v>
      </c>
      <c r="K1" s="153"/>
      <c r="L1" s="153"/>
      <c r="M1" s="153"/>
      <c r="N1" s="153" t="s">
        <v>217</v>
      </c>
      <c r="O1" s="153"/>
      <c r="P1" s="153"/>
      <c r="Q1" s="153"/>
    </row>
    <row r="2" spans="3:22" s="1" customFormat="1" ht="9.75" customHeight="1">
      <c r="D2" s="4" t="s">
        <v>0</v>
      </c>
      <c r="E2" s="4" t="s">
        <v>1</v>
      </c>
      <c r="F2" s="3" t="s">
        <v>215</v>
      </c>
      <c r="G2" s="3" t="s">
        <v>3</v>
      </c>
      <c r="H2" s="3" t="s">
        <v>4</v>
      </c>
      <c r="I2" s="3" t="s">
        <v>5</v>
      </c>
      <c r="J2" s="3" t="s">
        <v>215</v>
      </c>
      <c r="K2" s="3" t="s">
        <v>3</v>
      </c>
      <c r="L2" s="3" t="s">
        <v>4</v>
      </c>
      <c r="M2" s="3" t="s">
        <v>5</v>
      </c>
      <c r="N2" s="3" t="s">
        <v>215</v>
      </c>
      <c r="O2" s="3" t="s">
        <v>3</v>
      </c>
      <c r="P2" s="3" t="s">
        <v>4</v>
      </c>
      <c r="Q2" s="3" t="s">
        <v>5</v>
      </c>
      <c r="S2" s="3" t="s">
        <v>9</v>
      </c>
    </row>
    <row r="3" spans="3:22" s="1" customFormat="1" ht="9.75" customHeight="1">
      <c r="C3" s="5" t="str">
        <f>IF(Overview!P5="JPN","最上階","Top")&amp;"→"</f>
        <v>最上階→</v>
      </c>
      <c r="D3" s="113"/>
      <c r="E3" s="113"/>
      <c r="F3" s="113"/>
      <c r="G3" s="113"/>
      <c r="H3" s="113"/>
      <c r="I3" s="113"/>
      <c r="J3" s="113"/>
      <c r="K3" s="113"/>
      <c r="L3" s="113"/>
      <c r="M3" s="113"/>
      <c r="N3" s="113"/>
      <c r="O3" s="113"/>
      <c r="P3" s="113"/>
      <c r="Q3" s="113"/>
      <c r="S3" s="6"/>
      <c r="T3" s="145" t="s">
        <v>10</v>
      </c>
      <c r="U3" s="146"/>
    </row>
    <row r="4" spans="3:22" s="1" customFormat="1" ht="9.75" customHeight="1">
      <c r="C4" s="5" t="str">
        <f>IF(COUNT(S3:S6)=4,IF(COUNTBLANK(D4:Q4)=14,IF(Overview!P5="JPN","免震層","IsoLyr")&amp;"→","･"),"･")</f>
        <v>･</v>
      </c>
      <c r="D4" s="7"/>
      <c r="E4" s="113"/>
      <c r="F4" s="113"/>
      <c r="G4" s="113"/>
      <c r="H4" s="113"/>
      <c r="I4" s="7"/>
      <c r="J4" s="7"/>
      <c r="K4" s="7"/>
      <c r="L4" s="7"/>
      <c r="M4" s="7"/>
      <c r="N4" s="7"/>
      <c r="O4" s="7"/>
      <c r="P4" s="7"/>
      <c r="Q4" s="7"/>
      <c r="S4" s="7"/>
      <c r="T4" s="145" t="s">
        <v>11</v>
      </c>
      <c r="U4" s="146"/>
    </row>
    <row r="5" spans="3:22" s="1" customFormat="1" ht="9.75" customHeight="1">
      <c r="C5" s="5" t="str">
        <f>IF(COUNTIF(C$4:C4,IF(Overview!P$5="JPN","免震層","IsoLyr")&amp;"→")=0,IF(COUNT(S$3:S$6)=4,IF(COUNTBLANK(D5:Q5)=14,IF(Overview!P$5="JPN","免震層","IsoLyr")&amp;"→","･"),"･"),"･")</f>
        <v>･</v>
      </c>
      <c r="D5" s="7"/>
      <c r="E5" s="113"/>
      <c r="F5" s="113"/>
      <c r="G5" s="113"/>
      <c r="H5" s="113"/>
      <c r="I5" s="7"/>
      <c r="J5" s="7"/>
      <c r="K5" s="7"/>
      <c r="L5" s="7"/>
      <c r="M5" s="7"/>
      <c r="N5" s="7"/>
      <c r="O5" s="7"/>
      <c r="P5" s="7"/>
      <c r="Q5" s="7"/>
      <c r="S5" s="7"/>
      <c r="T5" s="145" t="s">
        <v>12</v>
      </c>
      <c r="U5" s="146"/>
    </row>
    <row r="6" spans="3:22" s="1" customFormat="1" ht="9.75" customHeight="1">
      <c r="C6" s="5" t="str">
        <f>IF(COUNTIF(C$4:C5,IF(Overview!P$5="JPN","免震層","IsoLyr")&amp;"→")=0,IF(COUNT(S$3:S$6)=4,IF(COUNTBLANK(D6:Q6)=14,IF(Overview!P$5="JPN","免震層","IsoLyr")&amp;"→","･"),"･"),"･")</f>
        <v>･</v>
      </c>
      <c r="D6" s="7"/>
      <c r="E6" s="113"/>
      <c r="F6" s="113"/>
      <c r="G6" s="113"/>
      <c r="H6" s="113"/>
      <c r="I6" s="7"/>
      <c r="J6" s="7"/>
      <c r="K6" s="7"/>
      <c r="L6" s="7"/>
      <c r="M6" s="7"/>
      <c r="N6" s="7"/>
      <c r="O6" s="7"/>
      <c r="P6" s="7"/>
      <c r="Q6" s="7"/>
      <c r="S6" s="8"/>
      <c r="T6" s="145" t="s">
        <v>13</v>
      </c>
      <c r="U6" s="146"/>
    </row>
    <row r="7" spans="3:22" s="1" customFormat="1" ht="9.75" customHeight="1">
      <c r="C7" s="5" t="str">
        <f>IF(COUNTIF(C$4:C6,IF(Overview!P$5="JPN","免震層","IsoLyr")&amp;"→")=0,IF(COUNT(S$3:S$6)=4,IF(COUNTBLANK(D7:Q7)=14,IF(Overview!P$5="JPN","免震層","IsoLyr")&amp;"→","･"),"･"),"･")</f>
        <v>･</v>
      </c>
      <c r="D7" s="7"/>
      <c r="E7" s="113"/>
      <c r="F7" s="113"/>
      <c r="G7" s="113"/>
      <c r="H7" s="113"/>
      <c r="I7" s="7"/>
      <c r="J7" s="7"/>
      <c r="K7" s="7"/>
      <c r="L7" s="7"/>
      <c r="M7" s="7"/>
      <c r="N7" s="7"/>
      <c r="O7" s="7"/>
      <c r="P7" s="7"/>
      <c r="Q7" s="7"/>
    </row>
    <row r="8" spans="3:22" s="1" customFormat="1" ht="9.75" customHeight="1">
      <c r="C8" s="5" t="str">
        <f>IF(COUNTIF(C$4:C7,IF(Overview!P$5="JPN","免震層","IsoLyr")&amp;"→")=0,IF(COUNT(S$3:S$6)=4,IF(COUNTBLANK(D8:Q8)=14,IF(Overview!P$5="JPN","免震層","IsoLyr")&amp;"→","･"),"･"),"･")</f>
        <v>･</v>
      </c>
      <c r="D8" s="7"/>
      <c r="E8" s="113"/>
      <c r="F8" s="113"/>
      <c r="G8" s="113"/>
      <c r="H8" s="113"/>
      <c r="I8" s="7"/>
      <c r="J8" s="7"/>
      <c r="K8" s="7"/>
      <c r="L8" s="7"/>
      <c r="M8" s="7"/>
      <c r="N8" s="7"/>
      <c r="O8" s="7"/>
      <c r="P8" s="7"/>
      <c r="Q8" s="7"/>
      <c r="S8" s="3" t="s">
        <v>14</v>
      </c>
    </row>
    <row r="9" spans="3:22" s="1" customFormat="1" ht="9.75" customHeight="1">
      <c r="C9" s="5" t="str">
        <f>IF(COUNTIF(C$4:C8,IF(Overview!P$5="JPN","免震層","IsoLyr")&amp;"→")=0,IF(COUNT(S$3:S$6)=4,IF(COUNTBLANK(D9:Q9)=14,IF(Overview!P$5="JPN","免震層","IsoLyr")&amp;"→","･"),"･"),"･")</f>
        <v>･</v>
      </c>
      <c r="D9" s="7"/>
      <c r="E9" s="113"/>
      <c r="F9" s="113"/>
      <c r="G9" s="113"/>
      <c r="H9" s="113"/>
      <c r="I9" s="7"/>
      <c r="J9" s="7"/>
      <c r="K9" s="7"/>
      <c r="L9" s="7"/>
      <c r="M9" s="7"/>
      <c r="N9" s="7"/>
      <c r="O9" s="7"/>
      <c r="P9" s="7"/>
      <c r="Q9" s="7"/>
      <c r="S9" s="140"/>
      <c r="T9" s="145" t="s">
        <v>10</v>
      </c>
      <c r="U9" s="146"/>
    </row>
    <row r="10" spans="3:22" s="1" customFormat="1" ht="9.75" customHeight="1">
      <c r="C10" s="5" t="str">
        <f>IF(COUNTIF(C$4:C9,IF(Overview!P$5="JPN","免震層","IsoLyr")&amp;"→")=0,IF(COUNT(S$3:S$6)=4,IF(COUNTBLANK(D10:Q10)=14,IF(Overview!P$5="JPN","免震層","IsoLyr")&amp;"→","･"),"･"),"･")</f>
        <v>･</v>
      </c>
      <c r="D10" s="7"/>
      <c r="E10" s="113"/>
      <c r="F10" s="113"/>
      <c r="G10" s="113"/>
      <c r="H10" s="113"/>
      <c r="I10" s="7"/>
      <c r="J10" s="7"/>
      <c r="K10" s="7"/>
      <c r="L10" s="7"/>
      <c r="M10" s="7"/>
      <c r="N10" s="7"/>
      <c r="O10" s="7"/>
      <c r="P10" s="7"/>
      <c r="Q10" s="7"/>
      <c r="S10" s="141"/>
      <c r="T10" s="145" t="s">
        <v>15</v>
      </c>
      <c r="U10" s="146"/>
    </row>
    <row r="11" spans="3:22" s="1" customFormat="1" ht="9.75" customHeight="1">
      <c r="C11" s="5" t="str">
        <f>IF(COUNTIF(C$4:C10,IF(Overview!P$5="JPN","免震層","IsoLyr")&amp;"→")=0,IF(COUNT(S$3:S$6)=4,IF(COUNTBLANK(D11:Q11)=14,IF(Overview!P$5="JPN","免震層","IsoLyr")&amp;"→","･"),"･"),"･")</f>
        <v>･</v>
      </c>
      <c r="D11" s="7"/>
      <c r="E11" s="113"/>
      <c r="F11" s="113"/>
      <c r="G11" s="113"/>
      <c r="H11" s="113"/>
      <c r="I11" s="7"/>
      <c r="J11" s="7"/>
      <c r="K11" s="7"/>
      <c r="L11" s="7"/>
      <c r="M11" s="7"/>
      <c r="N11" s="7"/>
      <c r="O11" s="7"/>
      <c r="P11" s="7"/>
      <c r="Q11" s="7"/>
      <c r="S11" s="142"/>
      <c r="T11" s="145" t="s">
        <v>16</v>
      </c>
      <c r="U11" s="146"/>
      <c r="V11" s="146"/>
    </row>
    <row r="12" spans="3:22" s="1" customFormat="1" ht="9.75" customHeight="1">
      <c r="C12" s="5" t="str">
        <f>IF(COUNTIF(C$4:C11,IF(Overview!P$5="JPN","免震層","IsoLyr")&amp;"→")=0,IF(COUNT(S$3:S$6)=4,IF(COUNTBLANK(D12:Q12)=14,IF(Overview!P$5="JPN","免震層","IsoLyr")&amp;"→","･"),"･"),"･")</f>
        <v>･</v>
      </c>
      <c r="D12" s="7"/>
      <c r="E12" s="113"/>
      <c r="F12" s="113"/>
      <c r="G12" s="113"/>
      <c r="H12" s="113"/>
      <c r="I12" s="7"/>
      <c r="J12" s="7"/>
      <c r="K12" s="7"/>
      <c r="L12" s="7"/>
      <c r="M12" s="7"/>
      <c r="N12" s="7"/>
      <c r="O12" s="7"/>
      <c r="P12" s="7"/>
      <c r="Q12" s="7"/>
    </row>
    <row r="13" spans="3:22" s="1" customFormat="1" ht="9.75" customHeight="1">
      <c r="C13" s="5" t="str">
        <f>IF(COUNTIF(C$4:C12,IF(Overview!P$5="JPN","免震層","IsoLyr")&amp;"→")=0,IF(COUNT(S$3:S$6)=4,IF(COUNTBLANK(D13:Q13)=14,IF(Overview!P$5="JPN","免震層","IsoLyr")&amp;"→","･"),"･"),"･")</f>
        <v>･</v>
      </c>
      <c r="D13" s="7"/>
      <c r="E13" s="113"/>
      <c r="F13" s="113"/>
      <c r="G13" s="113"/>
      <c r="H13" s="113"/>
      <c r="I13" s="7"/>
      <c r="J13" s="7"/>
      <c r="K13" s="7"/>
      <c r="L13" s="7"/>
      <c r="M13" s="7"/>
      <c r="N13" s="7"/>
      <c r="O13" s="7"/>
      <c r="P13" s="7"/>
      <c r="Q13" s="7"/>
      <c r="S13" s="3" t="s">
        <v>17</v>
      </c>
    </row>
    <row r="14" spans="3:22" s="1" customFormat="1" ht="9.75" customHeight="1">
      <c r="C14" s="5" t="str">
        <f>IF(COUNTIF(C$4:C13,IF(Overview!P$5="JPN","免震層","IsoLyr")&amp;"→")=0,IF(COUNT(S$3:S$6)=4,IF(COUNTBLANK(D14:Q14)=14,IF(Overview!P$5="JPN","免震層","IsoLyr")&amp;"→","･"),"･"),"･")</f>
        <v>･</v>
      </c>
      <c r="D14" s="7"/>
      <c r="E14" s="113"/>
      <c r="F14" s="113"/>
      <c r="G14" s="113"/>
      <c r="H14" s="113"/>
      <c r="I14" s="7"/>
      <c r="J14" s="7"/>
      <c r="K14" s="7"/>
      <c r="L14" s="7"/>
      <c r="M14" s="7"/>
      <c r="N14" s="7"/>
      <c r="O14" s="7"/>
      <c r="P14" s="7"/>
      <c r="Q14" s="7"/>
      <c r="S14" s="140"/>
      <c r="T14" s="145" t="s">
        <v>18</v>
      </c>
      <c r="U14" s="146"/>
      <c r="V14" s="146"/>
    </row>
    <row r="15" spans="3:22" s="1" customFormat="1" ht="9.75" customHeight="1">
      <c r="C15" s="5" t="str">
        <f>IF(COUNTIF(C$4:C14,IF(Overview!P$5="JPN","免震層","IsoLyr")&amp;"→")=0,IF(COUNT(S$3:S$6)=4,IF(COUNTBLANK(D15:Q15)=14,IF(Overview!P$5="JPN","免震層","IsoLyr")&amp;"→","･"),"･"),"･")</f>
        <v>･</v>
      </c>
      <c r="D15" s="7"/>
      <c r="E15" s="113"/>
      <c r="F15" s="113"/>
      <c r="G15" s="113"/>
      <c r="H15" s="113"/>
      <c r="I15" s="7"/>
      <c r="J15" s="7"/>
      <c r="K15" s="7"/>
      <c r="L15" s="7"/>
      <c r="M15" s="7"/>
      <c r="N15" s="7"/>
      <c r="O15" s="7"/>
      <c r="P15" s="7"/>
      <c r="Q15" s="7"/>
      <c r="S15" s="141"/>
      <c r="T15" s="145" t="s">
        <v>19</v>
      </c>
      <c r="U15" s="146"/>
    </row>
    <row r="16" spans="3:22" s="1" customFormat="1" ht="9.75" customHeight="1">
      <c r="C16" s="5" t="str">
        <f>IF(COUNTIF(C$4:C15,IF(Overview!P$5="JPN","免震層","IsoLyr")&amp;"→")=0,IF(COUNT(S$3:S$6)=4,IF(COUNTBLANK(D16:Q16)=14,IF(Overview!P$5="JPN","免震層","IsoLyr")&amp;"→","･"),"･"),"･")</f>
        <v>･</v>
      </c>
      <c r="D16" s="7"/>
      <c r="E16" s="113"/>
      <c r="F16" s="113"/>
      <c r="G16" s="113"/>
      <c r="H16" s="113"/>
      <c r="I16" s="113"/>
      <c r="J16" s="7"/>
      <c r="K16" s="7"/>
      <c r="L16" s="7"/>
      <c r="M16" s="7"/>
      <c r="N16" s="7"/>
      <c r="O16" s="7"/>
      <c r="P16" s="7"/>
      <c r="Q16" s="7"/>
      <c r="S16" s="142"/>
      <c r="T16" s="145" t="s">
        <v>20</v>
      </c>
      <c r="U16" s="146"/>
      <c r="V16" s="146"/>
    </row>
    <row r="17" spans="3:22" s="1" customFormat="1" ht="9.75" customHeight="1">
      <c r="C17" s="5" t="str">
        <f>IF(COUNTIF(C$4:C16,IF(Overview!P$5="JPN","免震層","IsoLyr")&amp;"→")=0,IF(COUNT(S$3:S$6)=4,IF(COUNTBLANK(D17:Q17)=14,IF(Overview!P$5="JPN","免震層","IsoLyr")&amp;"→","･"),"･"),"･")</f>
        <v>･</v>
      </c>
      <c r="D17" s="7"/>
      <c r="E17" s="113"/>
      <c r="F17" s="113"/>
      <c r="G17" s="113"/>
      <c r="H17" s="113"/>
      <c r="I17" s="7"/>
      <c r="J17" s="7"/>
      <c r="K17" s="7"/>
      <c r="L17" s="7"/>
      <c r="M17" s="7"/>
      <c r="N17" s="7"/>
      <c r="O17" s="7"/>
      <c r="P17" s="7"/>
      <c r="Q17" s="7"/>
    </row>
    <row r="18" spans="3:22" s="1" customFormat="1" ht="9.75" customHeight="1">
      <c r="C18" s="5" t="str">
        <f>IF(COUNTIF(C$4:C17,IF(Overview!P$5="JPN","免震層","IsoLyr")&amp;"→")=0,IF(COUNT(S$3:S$6)=4,IF(COUNTBLANK(D18:Q18)=14,IF(Overview!P$5="JPN","免震層","IsoLyr")&amp;"→","･"),"･"),"･")</f>
        <v>･</v>
      </c>
      <c r="D18" s="7"/>
      <c r="E18" s="113"/>
      <c r="F18" s="113"/>
      <c r="G18" s="113"/>
      <c r="H18" s="113"/>
      <c r="I18" s="7"/>
      <c r="J18" s="7"/>
      <c r="K18" s="7"/>
      <c r="L18" s="7"/>
      <c r="M18" s="7"/>
      <c r="N18" s="7"/>
      <c r="O18" s="7"/>
      <c r="P18" s="7"/>
      <c r="Q18" s="7"/>
      <c r="S18" s="9"/>
      <c r="T18" s="1" t="s">
        <v>21</v>
      </c>
    </row>
    <row r="19" spans="3:22" s="1" customFormat="1" ht="9.75" customHeight="1">
      <c r="C19" s="5" t="str">
        <f>IF(COUNTIF(C$4:C18,IF(Overview!P$5="JPN","免震層","IsoLyr")&amp;"→")=0,IF(COUNT(S$3:S$6)=4,IF(COUNTBLANK(D19:Q19)=14,IF(Overview!P$5="JPN","免震層","IsoLyr")&amp;"→","･"),"･"),"･")</f>
        <v>･</v>
      </c>
      <c r="D19" s="7"/>
      <c r="E19" s="113"/>
      <c r="F19" s="113"/>
      <c r="G19" s="113"/>
      <c r="H19" s="113"/>
      <c r="I19" s="7"/>
      <c r="J19" s="7"/>
      <c r="K19" s="7"/>
      <c r="L19" s="7"/>
      <c r="M19" s="7"/>
      <c r="N19" s="7"/>
      <c r="O19" s="7"/>
      <c r="P19" s="7"/>
      <c r="Q19" s="7"/>
      <c r="S19" s="7"/>
      <c r="T19" s="1" t="s">
        <v>22</v>
      </c>
    </row>
    <row r="20" spans="3:22" s="1" customFormat="1" ht="9.75" customHeight="1">
      <c r="C20" s="5" t="str">
        <f>IF(COUNTIF(C$4:C19,IF(Overview!P$5="JPN","免震層","IsoLyr")&amp;"→")=0,IF(COUNT(S$3:S$6)=4,IF(COUNTBLANK(D20:Q20)=14,IF(Overview!P$5="JPN","免震層","IsoLyr")&amp;"→","･"),"･"),"･")</f>
        <v>･</v>
      </c>
      <c r="D20" s="7"/>
      <c r="E20" s="113"/>
      <c r="F20" s="113"/>
      <c r="G20" s="113"/>
      <c r="H20" s="113"/>
      <c r="I20" s="7"/>
      <c r="J20" s="7"/>
      <c r="K20" s="7"/>
      <c r="L20" s="7"/>
      <c r="M20" s="7"/>
      <c r="N20" s="7"/>
      <c r="O20" s="7"/>
      <c r="P20" s="7"/>
      <c r="Q20" s="7"/>
      <c r="S20" s="8"/>
      <c r="T20" s="1" t="s">
        <v>23</v>
      </c>
    </row>
    <row r="21" spans="3:22" s="1" customFormat="1" ht="9.75" customHeight="1">
      <c r="C21" s="5" t="str">
        <f>IF(COUNTIF(C$4:C20,IF(Overview!P$5="JPN","免震層","IsoLyr")&amp;"→")=0,IF(COUNT(S$3:S$6)=4,IF(COUNTBLANK(D21:Q21)=14,IF(Overview!P$5="JPN","免震層","IsoLyr")&amp;"→","･"),"･"),"･")</f>
        <v>･</v>
      </c>
      <c r="D21" s="7"/>
      <c r="E21" s="113"/>
      <c r="F21" s="113"/>
      <c r="G21" s="113"/>
      <c r="H21" s="113"/>
      <c r="I21" s="7"/>
      <c r="J21" s="7"/>
      <c r="K21" s="7"/>
      <c r="L21" s="7"/>
      <c r="M21" s="7"/>
      <c r="N21" s="7"/>
      <c r="O21" s="7"/>
      <c r="P21" s="7"/>
      <c r="Q21" s="7"/>
    </row>
    <row r="22" spans="3:22" s="1" customFormat="1" ht="9.75" customHeight="1">
      <c r="C22" s="5" t="str">
        <f>IF(COUNTIF(C$4:C21,IF(Overview!P$5="JPN","免震層","IsoLyr")&amp;"→")=0,IF(COUNT(S$3:S$6)=4,IF(COUNTBLANK(D22:Q22)=14,IF(Overview!P$5="JPN","免震層","IsoLyr")&amp;"→","･"),"･"),"･")</f>
        <v>･</v>
      </c>
      <c r="D22" s="7"/>
      <c r="E22" s="113"/>
      <c r="F22" s="113"/>
      <c r="G22" s="113"/>
      <c r="H22" s="113"/>
      <c r="I22" s="7"/>
      <c r="J22" s="7"/>
      <c r="K22" s="7"/>
      <c r="L22" s="7"/>
      <c r="M22" s="7"/>
      <c r="N22" s="7"/>
      <c r="O22" s="7"/>
      <c r="P22" s="7"/>
      <c r="Q22" s="7"/>
      <c r="S22" s="27" t="str">
        <f>IF(COUNT(D3:Q52)=0,IF(Overview!P5="JPN","なし","none"),IF(COUNTIF(F53:Q54,"×")&gt;0,IF(Overview!P5="JPN","未定","unfixed"),IF(OR(
AND(S18=IF(Overview!P5="JPN","レーリー型","Rayleigh"),COUNTIF(S19:S20,"&gt;0")=2),
AND(S18=IF(Overview!P5="JPN","質量比例","MassProp"),OR(ISNUMBER(S19),MID(S19,5,1)="/")),
AND(S18=IF(Overview!P5="JPN","剛性比例","StifProp"),OR(ISNUMBER(S19),MID(S19,5,1)="/"))),
IF(F53="◎","S+I+S",
IF(N53="◎","BS+I+BS",
IF(AND(F54="○",N53="○"),"BS+I+S",
IF(F53="○",IF(COUNTIF(S3:S6,"&gt;0")=4,IF(COUNTIF(S9:S11,"&gt;0")+COUNTIF(S14:S16,"&gt;0")=6,"S+I+SR","S+I"),IF(COUNTIF(S9:S11,"&gt;0")+COUNTIF(S14:S16,"&gt;0")=6,"S+SR","S")),
IF(N53="○",IF(COUNTIF(S3:S6,"&gt;0")=4,IF(COUNTIF(S9:S11,"&gt;0")+COUNTIF(S14:S16,"&gt;0")=6,"BS+I+SR","BS+I"),IF(COUNTIF(S9:S11,"&gt;0")+COUNTIF(S14:S16,"&gt;0")=6,"BS+SR","BS")),IF(Overview!P5="JPN","未定","unfixed")))))),IF(Overview!P5="JPN","未定","unfixed"))))</f>
        <v>なし</v>
      </c>
      <c r="T22" s="1" t="s">
        <v>24</v>
      </c>
    </row>
    <row r="23" spans="3:22" s="1" customFormat="1" ht="9.75" customHeight="1">
      <c r="C23" s="5" t="str">
        <f>IF(COUNTIF(C$4:C22,IF(Overview!P$5="JPN","免震層","IsoLyr")&amp;"→")=0,IF(COUNT(S$3:S$6)=4,IF(COUNTBLANK(D23:Q23)=14,IF(Overview!P$5="JPN","免震層","IsoLyr")&amp;"→","･"),"･"),"･")</f>
        <v>･</v>
      </c>
      <c r="D23" s="7"/>
      <c r="E23" s="113"/>
      <c r="F23" s="113"/>
      <c r="G23" s="113"/>
      <c r="H23" s="113"/>
      <c r="I23" s="7"/>
      <c r="J23" s="7"/>
      <c r="K23" s="7"/>
      <c r="L23" s="7"/>
      <c r="M23" s="7"/>
      <c r="N23" s="7"/>
      <c r="O23" s="7"/>
      <c r="P23" s="7"/>
      <c r="Q23" s="7"/>
      <c r="S23" s="27" t="str">
        <f>IF(OR(S22="S",S22="S+I",S22="S+SR",S22="S+I+SR"),IF(F53="○",IF(Overview!P5="JPN","実行可","ready"),"・"),
IF(OR(S22="BS",S22="BS+I",S22="BS+SR",S22="BS+I+SR"),IF(N53="○",IF(Overview!P5="JPN","実行可","ready"),"・"),
IF(S22="S+I+S",IF(F53="◎",IF(Overview!P5="JPN","実行可","ready"),"・"),
IF(S22="BS+I+S",IF(AND(N53="○",F54="○"),IF(Overview!P5="JPN","実行可","ready"),"・"),"・"))))</f>
        <v>・</v>
      </c>
      <c r="T23" s="1" t="s">
        <v>25</v>
      </c>
    </row>
    <row r="24" spans="3:22" s="1" customFormat="1" ht="9.75" customHeight="1">
      <c r="C24" s="5" t="str">
        <f>IF(COUNTIF(C$4:C23,IF(Overview!P$5="JPN","免震層","IsoLyr")&amp;"→")=0,IF(COUNT(S$3:S$6)=4,IF(COUNTBLANK(D24:Q24)=14,IF(Overview!P$5="JPN","免震層","IsoLyr")&amp;"→","･"),"･"),"･")</f>
        <v>･</v>
      </c>
      <c r="D24" s="7"/>
      <c r="E24" s="113"/>
      <c r="F24" s="113"/>
      <c r="G24" s="113"/>
      <c r="H24" s="113"/>
      <c r="I24" s="7"/>
      <c r="J24" s="7"/>
      <c r="K24" s="7"/>
      <c r="L24" s="7"/>
      <c r="M24" s="7"/>
      <c r="N24" s="7"/>
      <c r="O24" s="7"/>
      <c r="P24" s="7"/>
      <c r="Q24" s="7"/>
      <c r="S24" s="27" t="str">
        <f>IF(OR(S22="S",S22="S+I",S22="S+SR",S22="S+I+SR"),IF(G53="○",IF(Overview!P5="JPN","実行可","ready"),"・"),
IF(OR(S22="BS",S22="BS+I",S22="BS+SR",S22="BS+I+SR"),IF(O53="○",IF(Overview!P5="JPN","実行可","ready"),"・"),
IF(S22="S+I+S",IF(G53="◎",IF(Overview!P5="JPN","実行可","ready"),"・"),
IF(S22="BS+I+S",IF(AND(O53="○",G54="○"),IF(Overview!P5="JPN","実行可","ready"),"・"),"・"))))</f>
        <v>・</v>
      </c>
      <c r="T24" s="1" t="s">
        <v>26</v>
      </c>
    </row>
    <row r="25" spans="3:22" s="1" customFormat="1" ht="9.75" customHeight="1">
      <c r="C25" s="5" t="str">
        <f>IF(COUNTIF(C$4:C24,IF(Overview!P$5="JPN","免震層","IsoLyr")&amp;"→")=0,IF(COUNT(S$3:S$6)=4,IF(COUNTBLANK(D25:Q25)=14,IF(Overview!P$5="JPN","免震層","IsoLyr")&amp;"→","･"),"･"),"･")</f>
        <v>･</v>
      </c>
      <c r="D25" s="7"/>
      <c r="E25" s="113"/>
      <c r="F25" s="113"/>
      <c r="G25" s="113"/>
      <c r="H25" s="113"/>
      <c r="I25" s="7"/>
      <c r="J25" s="7"/>
      <c r="K25" s="7"/>
      <c r="L25" s="7"/>
      <c r="M25" s="7"/>
      <c r="N25" s="7"/>
      <c r="O25" s="7"/>
      <c r="P25" s="7"/>
      <c r="Q25" s="7"/>
      <c r="S25" s="27" t="str">
        <f>IF(OR(S22="S",S22="S+I",S22="S+SR",S22="S+I+SR"),IF(H53="○",IF(Overview!P5="JPN","実行可","ready"),"・"),
IF(OR(S22="BS",S22="BS+I",S22="BS+SR",S22="BS+I+SR"),IF(P53="○",IF(Overview!P5="JPN","実行可","ready"),"・"),
IF(S22="S+I+S",IF(H53="◎",IF(Overview!P5="JPN","実行可","ready"),"・"),
IF(S22="BS+I+S",IF(AND(P53="○",H54="○"),IF(Overview!P5="JPN","実行可","ready"),"・"),"・"))))</f>
        <v>・</v>
      </c>
      <c r="T25" s="1" t="s">
        <v>27</v>
      </c>
    </row>
    <row r="26" spans="3:22" s="1" customFormat="1" ht="9.75" customHeight="1">
      <c r="C26" s="5" t="str">
        <f>IF(COUNTIF(C$4:C25,IF(Overview!P$5="JPN","免震層","IsoLyr")&amp;"→")=0,IF(COUNT(S$3:S$6)=4,IF(COUNTBLANK(D26:Q26)=14,IF(Overview!P$5="JPN","免震層","IsoLyr")&amp;"→","･"),"･"),"･")</f>
        <v>･</v>
      </c>
      <c r="D26" s="7"/>
      <c r="E26" s="113"/>
      <c r="F26" s="7"/>
      <c r="G26" s="113"/>
      <c r="H26" s="113"/>
      <c r="I26" s="7"/>
      <c r="J26" s="7"/>
      <c r="K26" s="113"/>
      <c r="L26" s="7"/>
      <c r="M26" s="7"/>
      <c r="N26" s="7"/>
      <c r="O26" s="113"/>
      <c r="P26" s="7"/>
      <c r="Q26" s="7"/>
      <c r="S26" s="27" t="str">
        <f>IF(OR(S22="S",S22="S+I",S22="S+SR",S22="S+I+SR"),IF(I53="○",IF(Overview!P5="JPN","実行可","ready"),"・"),
IF(OR(S22="BS",S22="BS+I",S22="BS+SR",S22="BS+I+SR"),IF(Q53="○",IF(Overview!P5="JPN","実行可","ready"),"・"),
IF(S22="S+I+S",IF(I53="◎",IF(Overview!P5="JPN","実行可","ready"),"・"),
IF(S22="BS+I+S",IF(AND(Q53="○",I54="○"),IF(Overview!P5="JPN","実行可","ready"),"・"),"・"))))</f>
        <v>・</v>
      </c>
      <c r="T26" s="1" t="s">
        <v>28</v>
      </c>
    </row>
    <row r="27" spans="3:22" s="1" customFormat="1" ht="9.75" customHeight="1">
      <c r="C27" s="5" t="str">
        <f>IF(COUNTIF(C$4:C26,IF(Overview!P$5="JPN","免震層","IsoLyr")&amp;"→")=0,IF(COUNT(S$3:S$6)=4,IF(COUNTBLANK(D27:Q27)=14,IF(Overview!P$5="JPN","免震層","IsoLyr")&amp;"→","･"),"･"),"･")</f>
        <v>･</v>
      </c>
      <c r="D27" s="7"/>
      <c r="E27" s="113"/>
      <c r="F27" s="7"/>
      <c r="G27" s="113"/>
      <c r="H27" s="113"/>
      <c r="I27" s="7"/>
      <c r="J27" s="7"/>
      <c r="K27" s="113"/>
      <c r="L27" s="7"/>
      <c r="M27" s="7"/>
      <c r="N27" s="7"/>
      <c r="O27" s="113"/>
      <c r="P27" s="7"/>
      <c r="Q27" s="7"/>
      <c r="R27" s="10"/>
      <c r="S27" s="10"/>
      <c r="T27" s="10"/>
      <c r="U27" s="10"/>
      <c r="V27" s="10"/>
    </row>
    <row r="28" spans="3:22" s="1" customFormat="1" ht="9.75" customHeight="1">
      <c r="C28" s="5" t="str">
        <f>IF(COUNTIF(C$4:C27,IF(Overview!P$5="JPN","免震層","IsoLyr")&amp;"→")=0,IF(COUNT(S$3:S$6)=4,IF(COUNTBLANK(D28:Q28)=14,IF(Overview!P$5="JPN","免震層","IsoLyr")&amp;"→","･"),"･"),"･")</f>
        <v>･</v>
      </c>
      <c r="D28" s="7"/>
      <c r="E28" s="113"/>
      <c r="F28" s="7"/>
      <c r="G28" s="113"/>
      <c r="H28" s="113"/>
      <c r="I28" s="7"/>
      <c r="J28" s="7"/>
      <c r="K28" s="113"/>
      <c r="L28" s="7"/>
      <c r="M28" s="7"/>
      <c r="N28" s="7"/>
      <c r="O28" s="113"/>
      <c r="P28" s="7"/>
      <c r="Q28" s="7"/>
      <c r="R28" s="10"/>
      <c r="S28" s="10"/>
      <c r="T28" s="10"/>
      <c r="U28" s="10"/>
      <c r="V28" s="10"/>
    </row>
    <row r="29" spans="3:22" s="1" customFormat="1" ht="9.75" customHeight="1">
      <c r="C29" s="5" t="str">
        <f>IF(COUNTIF(C$4:C28,IF(Overview!P$5="JPN","免震層","IsoLyr")&amp;"→")=0,IF(COUNT(S$3:S$6)=4,IF(COUNTBLANK(D29:Q29)=14,IF(Overview!P$5="JPN","免震層","IsoLyr")&amp;"→","･"),"･"),"･")</f>
        <v>･</v>
      </c>
      <c r="D29" s="7"/>
      <c r="E29" s="113"/>
      <c r="F29" s="7"/>
      <c r="G29" s="113"/>
      <c r="H29" s="113"/>
      <c r="I29" s="7"/>
      <c r="J29" s="7"/>
      <c r="K29" s="113"/>
      <c r="L29" s="7"/>
      <c r="M29" s="7"/>
      <c r="N29" s="7"/>
      <c r="O29" s="113"/>
      <c r="P29" s="7"/>
      <c r="Q29" s="7"/>
      <c r="R29" s="10"/>
      <c r="S29" s="10"/>
      <c r="T29" s="10"/>
      <c r="U29" s="10"/>
      <c r="V29" s="10"/>
    </row>
    <row r="30" spans="3:22" s="1" customFormat="1" ht="9.75" customHeight="1">
      <c r="C30" s="5" t="str">
        <f>IF(COUNTIF(C$4:C29,IF(Overview!P$5="JPN","免震層","IsoLyr")&amp;"→")=0,IF(COUNT(S$3:S$6)=4,IF(COUNTBLANK(D30:Q30)=14,IF(Overview!P$5="JPN","免震層","IsoLyr")&amp;"→","･"),"･"),"･")</f>
        <v>･</v>
      </c>
      <c r="D30" s="7"/>
      <c r="E30" s="113"/>
      <c r="F30" s="7"/>
      <c r="G30" s="113"/>
      <c r="H30" s="113"/>
      <c r="I30" s="7"/>
      <c r="J30" s="7"/>
      <c r="K30" s="113"/>
      <c r="L30" s="7"/>
      <c r="M30" s="7"/>
      <c r="N30" s="7"/>
      <c r="O30" s="113"/>
      <c r="P30" s="7"/>
      <c r="Q30" s="7"/>
      <c r="R30" s="10"/>
      <c r="S30" s="11"/>
      <c r="T30" s="10"/>
      <c r="U30" s="10"/>
      <c r="V30" s="10"/>
    </row>
    <row r="31" spans="3:22" s="1" customFormat="1" ht="9.75" customHeight="1">
      <c r="C31" s="5" t="str">
        <f>IF(COUNTIF(C$4:C30,IF(Overview!P$5="JPN","免震層","IsoLyr")&amp;"→")=0,IF(COUNT(S$3:S$6)=4,IF(COUNTBLANK(D31:Q31)=14,IF(Overview!P$5="JPN","免震層","IsoLyr")&amp;"→","･"),"･"),"･")</f>
        <v>･</v>
      </c>
      <c r="D31" s="7"/>
      <c r="E31" s="113"/>
      <c r="F31" s="7"/>
      <c r="G31" s="113"/>
      <c r="H31" s="113"/>
      <c r="I31" s="7"/>
      <c r="J31" s="7"/>
      <c r="K31" s="113"/>
      <c r="L31" s="7"/>
      <c r="M31" s="7"/>
      <c r="N31" s="7"/>
      <c r="O31" s="113"/>
      <c r="P31" s="7"/>
      <c r="Q31" s="7"/>
      <c r="R31" s="10"/>
      <c r="S31" s="10"/>
      <c r="T31" s="10"/>
      <c r="U31" s="10"/>
      <c r="V31" s="10"/>
    </row>
    <row r="32" spans="3:22" s="1" customFormat="1" ht="9.75" customHeight="1">
      <c r="C32" s="5" t="str">
        <f>IF(COUNTIF(C$4:C31,IF(Overview!P$5="JPN","免震層","IsoLyr")&amp;"→")=0,IF(COUNT(S$3:S$6)=4,IF(COUNTBLANK(D32:Q32)=14,IF(Overview!P$5="JPN","免震層","IsoLyr")&amp;"→","･"),"･"),"･")</f>
        <v>･</v>
      </c>
      <c r="D32" s="7"/>
      <c r="E32" s="113"/>
      <c r="F32" s="7"/>
      <c r="G32" s="113"/>
      <c r="H32" s="113"/>
      <c r="I32" s="7"/>
      <c r="J32" s="7"/>
      <c r="K32" s="113"/>
      <c r="L32" s="7"/>
      <c r="M32" s="7"/>
      <c r="N32" s="7"/>
      <c r="O32" s="113"/>
      <c r="P32" s="7"/>
      <c r="Q32" s="7"/>
      <c r="R32" s="10"/>
      <c r="S32" s="10"/>
      <c r="T32" s="10"/>
      <c r="U32" s="10"/>
      <c r="V32" s="10"/>
    </row>
    <row r="33" spans="1:22" s="1" customFormat="1" ht="9.75" customHeight="1">
      <c r="C33" s="5" t="str">
        <f>IF(COUNTIF(C$4:C32,IF(Overview!P$5="JPN","免震層","IsoLyr")&amp;"→")=0,IF(COUNT(S$3:S$6)=4,IF(COUNTBLANK(D33:Q33)=14,IF(Overview!P$5="JPN","免震層","IsoLyr")&amp;"→","･"),"･"),"･")</f>
        <v>･</v>
      </c>
      <c r="D33" s="7"/>
      <c r="E33" s="7"/>
      <c r="F33" s="7"/>
      <c r="G33" s="113"/>
      <c r="H33" s="113"/>
      <c r="I33" s="7"/>
      <c r="J33" s="7"/>
      <c r="K33" s="7"/>
      <c r="L33" s="7"/>
      <c r="M33" s="7"/>
      <c r="N33" s="7"/>
      <c r="O33" s="7"/>
      <c r="P33" s="7"/>
      <c r="Q33" s="7"/>
      <c r="R33" s="10"/>
      <c r="S33" s="10"/>
      <c r="T33" s="10"/>
      <c r="U33" s="10"/>
      <c r="V33" s="10"/>
    </row>
    <row r="34" spans="1:22" s="1" customFormat="1" ht="9.75" customHeight="1">
      <c r="C34" s="5" t="str">
        <f>IF(COUNTIF(C$4:C33,IF(Overview!P$5="JPN","免震層","IsoLyr")&amp;"→")=0,IF(COUNT(S$3:S$6)=4,IF(COUNTBLANK(D34:Q34)=14,IF(Overview!P$5="JPN","免震層","IsoLyr")&amp;"→","･"),"･"),"･")</f>
        <v>･</v>
      </c>
      <c r="D34" s="7"/>
      <c r="E34" s="7"/>
      <c r="F34" s="7"/>
      <c r="G34" s="113"/>
      <c r="H34" s="7"/>
      <c r="I34" s="7"/>
      <c r="J34" s="7"/>
      <c r="K34" s="7"/>
      <c r="L34" s="7"/>
      <c r="M34" s="7"/>
      <c r="N34" s="7"/>
      <c r="O34" s="7"/>
      <c r="P34" s="7"/>
      <c r="Q34" s="7"/>
      <c r="R34" s="10"/>
      <c r="S34" s="10"/>
      <c r="T34" s="10"/>
      <c r="U34" s="10"/>
      <c r="V34" s="10"/>
    </row>
    <row r="35" spans="1:22" s="1" customFormat="1" ht="9.75" customHeight="1">
      <c r="C35" s="5" t="str">
        <f>IF(COUNTIF(C$4:C34,IF(Overview!P$5="JPN","免震層","IsoLyr")&amp;"→")=0,IF(COUNT(S$3:S$6)=4,IF(COUNTBLANK(D35:Q35)=14,IF(Overview!P$5="JPN","免震層","IsoLyr")&amp;"→","･"),"･"),"･")</f>
        <v>･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10"/>
      <c r="S35" s="10"/>
      <c r="T35" s="10"/>
      <c r="U35" s="10"/>
      <c r="V35" s="10"/>
    </row>
    <row r="36" spans="1:22" s="1" customFormat="1" ht="9.75" customHeight="1">
      <c r="C36" s="5" t="str">
        <f>IF(COUNTIF(C$4:C35,IF(Overview!P$5="JPN","免震層","IsoLyr")&amp;"→")=0,IF(COUNT(S$3:S$6)=4,IF(COUNTBLANK(D36:Q36)=14,IF(Overview!P$5="JPN","免震層","IsoLyr")&amp;"→","･"),"･"),"･")</f>
        <v>･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10"/>
      <c r="S36" s="10"/>
      <c r="T36" s="10"/>
      <c r="U36" s="10"/>
      <c r="V36" s="10"/>
    </row>
    <row r="37" spans="1:22" s="1" customFormat="1" ht="9.75" customHeight="1">
      <c r="C37" s="5" t="str">
        <f>IF(COUNTIF(C$4:C36,IF(Overview!P$5="JPN","免震層","IsoLyr")&amp;"→")=0,IF(COUNT(S$3:S$6)=4,IF(COUNTBLANK(D37:Q37)=14,IF(Overview!P$5="JPN","免震層","IsoLyr")&amp;"→","･"),"･"),"･")</f>
        <v>･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10"/>
      <c r="S37" s="10"/>
      <c r="T37" s="10"/>
      <c r="U37" s="10"/>
      <c r="V37" s="10"/>
    </row>
    <row r="38" spans="1:22" s="1" customFormat="1" ht="9.75" customHeight="1">
      <c r="C38" s="5" t="str">
        <f>IF(COUNTIF(C$4:C37,IF(Overview!P$5="JPN","免震層","IsoLyr")&amp;"→")=0,IF(COUNT(S$3:S$6)=4,IF(COUNTBLANK(D38:Q38)=14,IF(Overview!P$5="JPN","免震層","IsoLyr")&amp;"→","･"),"･"),"･")</f>
        <v>･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10"/>
      <c r="S38" s="10"/>
      <c r="T38" s="10"/>
      <c r="U38" s="10"/>
      <c r="V38" s="10"/>
    </row>
    <row r="39" spans="1:22" s="1" customFormat="1" ht="9.75" customHeight="1">
      <c r="A39" s="144" t="s">
        <v>29</v>
      </c>
      <c r="B39" s="144" t="s">
        <v>30</v>
      </c>
      <c r="C39" s="5" t="str">
        <f>IF(COUNTIF(C$4:C38,IF(Overview!P$5="JPN","免震層","IsoLyr")&amp;"→")=0,IF(COUNT(S$3:S$6)=4,IF(COUNTBLANK(D39:Q39)=14,IF(Overview!P$5="JPN","免震層","IsoLyr")&amp;"→","･"),"･"),"･")</f>
        <v>･</v>
      </c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10"/>
      <c r="S39" s="10"/>
      <c r="T39" s="10"/>
      <c r="U39" s="10"/>
      <c r="V39" s="10"/>
    </row>
    <row r="40" spans="1:22" s="1" customFormat="1" ht="9.75" customHeight="1">
      <c r="A40" s="144"/>
      <c r="B40" s="144"/>
      <c r="C40" s="5" t="str">
        <f>IF(COUNTIF(C$4:C39,IF(Overview!P$5="JPN","免震層","IsoLyr")&amp;"→")=0,IF(COUNT(S$3:S$6)=4,IF(COUNTBLANK(D40:Q40)=14,IF(Overview!P$5="JPN","免震層","IsoLyr")&amp;"→","･"),"･"),"･")</f>
        <v>･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10"/>
      <c r="S40" s="10"/>
      <c r="T40" s="10"/>
      <c r="U40" s="10"/>
      <c r="V40" s="10"/>
    </row>
    <row r="41" spans="1:22" s="1" customFormat="1" ht="9.75" customHeight="1">
      <c r="C41" s="5" t="str">
        <f>IF(COUNTIF(C$4:C40,IF(Overview!P$5="JPN","免震層","IsoLyr")&amp;"→")=0,IF(COUNT(S$3:S$6)=4,IF(COUNTBLANK(D41:Q41)=14,IF(Overview!P$5="JPN","免震層","IsoLyr")&amp;"→","･"),"･"),"･")</f>
        <v>･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10"/>
      <c r="S41" s="10"/>
      <c r="T41" s="10"/>
      <c r="U41" s="10"/>
      <c r="V41" s="10"/>
    </row>
    <row r="42" spans="1:22" s="1" customFormat="1" ht="9.75" customHeight="1">
      <c r="C42" s="5" t="str">
        <f>IF(COUNTIF(C$4:C41,IF(Overview!P$5="JPN","免震層","IsoLyr")&amp;"→")=0,IF(COUNT(S$3:S$6)=4,IF(COUNTBLANK(D42:Q42)=14,IF(Overview!P$5="JPN","免震層","IsoLyr")&amp;"→","･"),"･"),"･")</f>
        <v>･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10"/>
      <c r="S42" s="10"/>
      <c r="T42" s="10"/>
      <c r="U42" s="10"/>
      <c r="V42" s="10"/>
    </row>
    <row r="43" spans="1:22" s="1" customFormat="1" ht="9.75" customHeight="1">
      <c r="C43" s="5" t="str">
        <f>IF(COUNTIF(C$4:C42,IF(Overview!P$5="JPN","免震層","IsoLyr")&amp;"→")=0,IF(COUNT(S$3:S$6)=4,IF(COUNTBLANK(D43:Q43)=14,IF(Overview!P$5="JPN","免震層","IsoLyr")&amp;"→","･"),"･"),"･")</f>
        <v>･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10"/>
      <c r="S43" s="10"/>
      <c r="T43" s="10"/>
      <c r="U43" s="10"/>
      <c r="V43" s="10"/>
    </row>
    <row r="44" spans="1:22" s="1" customFormat="1" ht="9.75" customHeight="1">
      <c r="C44" s="5" t="str">
        <f>IF(COUNTIF(C$4:C43,IF(Overview!P$5="JPN","免震層","IsoLyr")&amp;"→")=0,IF(COUNT(S$3:S$6)=4,IF(COUNTBLANK(D44:Q44)=14,IF(Overview!P$5="JPN","免震層","IsoLyr")&amp;"→","･"),"･"),"･")</f>
        <v>･</v>
      </c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10"/>
      <c r="S44" s="10"/>
      <c r="T44" s="10"/>
      <c r="U44" s="10"/>
      <c r="V44" s="10"/>
    </row>
    <row r="45" spans="1:22" s="1" customFormat="1" ht="9.75" customHeight="1">
      <c r="C45" s="5" t="str">
        <f>IF(COUNTIF(C$4:C44,IF(Overview!P$5="JPN","免震層","IsoLyr")&amp;"→")=0,IF(COUNT(S$3:S$6)=4,IF(COUNTBLANK(D45:Q45)=14,IF(Overview!P$5="JPN","免震層","IsoLyr")&amp;"→","･"),"･"),"･")</f>
        <v>･</v>
      </c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10"/>
      <c r="S45" s="10"/>
      <c r="T45" s="10"/>
      <c r="U45" s="10"/>
      <c r="V45" s="10"/>
    </row>
    <row r="46" spans="1:22" s="1" customFormat="1" ht="9.75" customHeight="1">
      <c r="C46" s="5" t="str">
        <f>IF(COUNTIF(C$4:C45,IF(Overview!P$5="JPN","免震層","IsoLyr")&amp;"→")=0,IF(COUNT(S$3:S$6)=4,IF(COUNTBLANK(D46:Q46)=14,IF(Overview!P$5="JPN","免震層","IsoLyr")&amp;"→","･"),"･"),"･")</f>
        <v>･</v>
      </c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10"/>
      <c r="S46" s="10"/>
      <c r="T46" s="10"/>
      <c r="U46" s="10"/>
      <c r="V46" s="10"/>
    </row>
    <row r="47" spans="1:22" s="1" customFormat="1" ht="9.75" customHeight="1">
      <c r="C47" s="5" t="str">
        <f>IF(COUNTIF(C$4:C46,IF(Overview!P$5="JPN","免震層","IsoLyr")&amp;"→")=0,IF(COUNT(S$3:S$6)=4,IF(COUNTBLANK(D47:Q47)=14,IF(Overview!P$5="JPN","免震層","IsoLyr")&amp;"→","･"),"･"),"･")</f>
        <v>･</v>
      </c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10"/>
      <c r="S47" s="10"/>
      <c r="T47" s="10"/>
      <c r="U47" s="10"/>
      <c r="V47" s="10"/>
    </row>
    <row r="48" spans="1:22" s="1" customFormat="1" ht="9.75" customHeight="1">
      <c r="C48" s="5" t="str">
        <f>IF(COUNTIF(C$4:C47,IF(Overview!P$5="JPN","免震層","IsoLyr")&amp;"→")=0,IF(COUNT(S$3:S$6)=4,IF(COUNTBLANK(D48:Q48)=14,IF(Overview!P$5="JPN","免震層","IsoLyr")&amp;"→","･"),"･"),"･")</f>
        <v>･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10"/>
      <c r="S48" s="10"/>
      <c r="T48" s="10"/>
      <c r="U48" s="10"/>
      <c r="V48" s="10"/>
    </row>
    <row r="49" spans="3:22" s="1" customFormat="1" ht="9.75" customHeight="1">
      <c r="C49" s="5" t="str">
        <f>IF(COUNTIF(C$4:C48,IF(Overview!P$5="JPN","免震層","IsoLyr")&amp;"→")=0,IF(COUNT(S$3:S$6)=4,IF(COUNTBLANK(D49:Q49)=14,IF(Overview!P$5="JPN","免震層","IsoLyr")&amp;"→","･"),"･"),"･")</f>
        <v>･</v>
      </c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10"/>
      <c r="S49" s="10"/>
      <c r="T49" s="10"/>
      <c r="U49" s="10"/>
      <c r="V49" s="10"/>
    </row>
    <row r="50" spans="3:22" s="1" customFormat="1" ht="9.75" customHeight="1">
      <c r="C50" s="5" t="str">
        <f>IF(COUNTIF(C$4:C49,IF(Overview!P$5="JPN","免震層","IsoLyr")&amp;"→")=0,IF(COUNT(S$3:S$6)=4,IF(COUNTBLANK(D50:Q50)=14,IF(Overview!P$5="JPN","免震層","IsoLyr")&amp;"→","･"),"･"),"･")</f>
        <v>･</v>
      </c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10"/>
      <c r="S50" s="10"/>
      <c r="T50" s="10"/>
      <c r="U50" s="10"/>
      <c r="V50" s="10"/>
    </row>
    <row r="51" spans="3:22" s="1" customFormat="1" ht="9.75" customHeight="1">
      <c r="C51" s="5" t="str">
        <f>IF(COUNTIF(C$4:C50,IF(Overview!P$5="JPN","免震層","IsoLyr")&amp;"→")=0,IF(COUNT(S$3:S$6)=4,IF(COUNTBLANK(D51:Q51)=14,IF(Overview!P$5="JPN","免震層","IsoLyr")&amp;"→","･"),"･"),"･")</f>
        <v>･</v>
      </c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10"/>
      <c r="S51" s="10"/>
      <c r="T51" s="10"/>
      <c r="U51" s="10"/>
      <c r="V51" s="10"/>
    </row>
    <row r="52" spans="3:22" s="1" customFormat="1" ht="9.75" customHeight="1">
      <c r="C52" s="5" t="str">
        <f>IF(COUNTIF(C$4:C51,IF(Overview!P$5="JPN","免震層","IsoLyr")&amp;"→")=0,IF(COUNT(S$3:S$6)=4,IF(COUNTBLANK(D52:Q52)=14,IF(Overview!P$5="JPN","免震層","IsoLyr")&amp;"→","･"),"･"),"･")</f>
        <v>･</v>
      </c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10"/>
      <c r="S52" s="10"/>
      <c r="T52" s="10"/>
      <c r="U52" s="10"/>
      <c r="V52" s="10"/>
    </row>
    <row r="53" spans="3:22" s="1" customFormat="1" ht="9.75" customHeight="1">
      <c r="C53" s="10"/>
      <c r="D53" s="143" t="str">
        <f>IF(ISNUMBER(D3),IF(LEN(D54)&gt;1,"D3:D"&amp;MID(D54,2,FIND(":",D54)-2)-2,"D3:D52"),"･")</f>
        <v>･</v>
      </c>
      <c r="E53" s="114"/>
      <c r="F53" s="143" t="str">
        <f ca="1">IF(COUNT(INDIRECT(D53))&gt;0,IF(AND(
COUNT(INDIRECT(SUBSTITUTE(D53,"D","E")))=COUNT(INDIRECT(D53)),
COUNT(INDIRECT(SUBSTITUTE(D53,"D","F")))=COUNT(INDIRECT(D53))),IF(AND(
COUNT(INDIRECT(SUBSTITUTE(D53,"D","J")))=0,
COUNT(INDIRECT(SUBSTITUTE(D53,"D","N")))=0),IF(F54="○","◎","○"),"×"),IF(
COUNT(INDIRECT(SUBSTITUTE(D53,"D","F")))=0,"･","×")),"･")</f>
        <v>･</v>
      </c>
      <c r="G53" s="143" t="str">
        <f ca="1">IF(COUNT(INDIRECT(D53))&gt;0,IF(AND(
COUNT(INDIRECT(SUBSTITUTE(D53,"D","E")))=COUNT(INDIRECT(D53)),
COUNT(INDIRECT(SUBSTITUTE(D53,"D","G")))=COUNT(INDIRECT(D53))),IF(AND(
COUNT(INDIRECT(SUBSTITUTE(D53,"D","K")))=0,
COUNT(INDIRECT(SUBSTITUTE(D53,"D","O")))=0),IF(G54="○","◎","○"),"×"),IF(
COUNT(INDIRECT(SUBSTITUTE(D53,"D","G")))=0,"･","×")),"･")</f>
        <v>･</v>
      </c>
      <c r="H53" s="143" t="str">
        <f ca="1">IF(COUNT(INDIRECT(D53))&gt;0,IF(AND(
COUNT(INDIRECT(SUBSTITUTE(D53,"D","E")))=COUNT(INDIRECT(D53)),
COUNT(INDIRECT(SUBSTITUTE(D53,"D","H")))=COUNT(INDIRECT(D53))),IF(AND(
COUNT(INDIRECT(SUBSTITUTE(D53,"D","L")))=0,
COUNT(INDIRECT(SUBSTITUTE(D53,"D","P")))=0),IF(H54="○","◎","○"),"×"),IF(
COUNT(INDIRECT(SUBSTITUTE(D53,"D","H")))=0,"･","×")),"･")</f>
        <v>･</v>
      </c>
      <c r="I53" s="143" t="str">
        <f ca="1">IF(COUNT(INDIRECT(D53))&gt;0,IF(AND(
COUNT(INDIRECT(SUBSTITUTE(D53,"D","E")))=COUNT(INDIRECT(D53)),
COUNT(INDIRECT(SUBSTITUTE(D53,"D","I")))=COUNT(INDIRECT(D53))),IF(AND(
COUNT(INDIRECT(SUBSTITUTE(D53,"D","M")))=0,
COUNT(INDIRECT(SUBSTITUTE(D53,"D","Q")))=0),IF(I54="○","◎","○"),"×"),IF(
COUNT(INDIRECT(SUBSTITUTE(D53,"D","I")))=0,"･","×")),"･")</f>
        <v>･</v>
      </c>
      <c r="J53" s="12"/>
      <c r="K53" s="12"/>
      <c r="L53" s="12"/>
      <c r="M53" s="12"/>
      <c r="N53" s="143" t="str">
        <f ca="1">IF(COUNT(INDIRECT(D53))&gt;0,IF(AND(
COUNT(INDIRECT(SUBSTITUTE(D53,"D","E")))=COUNT(INDIRECT(D53)),
COUNT(INDIRECT(SUBSTITUTE(D53,"D","J")))=COUNT(INDIRECT(D53)),
COUNT(INDIRECT(SUBSTITUTE(D53,"D","N")))=COUNT(INDIRECT(D53))),IF(
COUNT(INDIRECT(SUBSTITUTE(D53,"D","F")))=0,IF(N54="○","◎","○"),"×"),IF(AND(
COUNT(INDIRECT(SUBSTITUTE(D53,"D","J")))=0,
COUNT(INDIRECT(SUBSTITUTE(D53,"D","N")))=0),"･","×")),"･")</f>
        <v>･</v>
      </c>
      <c r="O53" s="143" t="str">
        <f ca="1">IF(COUNT(INDIRECT(D53))&gt;0,IF(AND(
COUNT(INDIRECT(SUBSTITUTE(D53,"D","E")))=COUNT(INDIRECT(D53)),
COUNT(INDIRECT(SUBSTITUTE(D53,"D","K")))=COUNT(INDIRECT(D53)),
COUNT(INDIRECT(SUBSTITUTE(D53,"D","O")))=COUNT(INDIRECT(D53))),IF(
COUNT(INDIRECT(SUBSTITUTE(D53,"D","G")))=0,IF(O54="○","◎","○"),"×"),IF(AND(
COUNT(INDIRECT(SUBSTITUTE(D53,"D","K")))=0,
COUNT(INDIRECT(SUBSTITUTE(D53,"D","O")))=0),"･","×")),"･")</f>
        <v>･</v>
      </c>
      <c r="P53" s="143" t="str">
        <f ca="1">IF(COUNT(INDIRECT(D53))&gt;0,IF(AND(
COUNT(INDIRECT(SUBSTITUTE(D53,"D","E")))=COUNT(INDIRECT(D53)),
COUNT(INDIRECT(SUBSTITUTE(D53,"D","L")))=COUNT(INDIRECT(D53)),
COUNT(INDIRECT(SUBSTITUTE(D53,"D","P")))=COUNT(INDIRECT(D53))),IF(
COUNT(INDIRECT(SUBSTITUTE(D53,"D","H")))=0,IF(P54="○","◎","○"),"×"),IF(AND(
COUNT(INDIRECT(SUBSTITUTE(D53,"D","L")))=0,
COUNT(INDIRECT(SUBSTITUTE(D53,"D","P")))=0),"･","×")),"･")</f>
        <v>･</v>
      </c>
      <c r="Q53" s="143" t="str">
        <f ca="1">IF(COUNT(INDIRECT(D53))&gt;0,IF(AND(
COUNT(INDIRECT(SUBSTITUTE(D53,"D","E")))=COUNT(INDIRECT(D53)),
COUNT(INDIRECT(SUBSTITUTE(D53,"D","M")))=COUNT(INDIRECT(D53)),
COUNT(INDIRECT(SUBSTITUTE(D53,"D","Q")))=COUNT(INDIRECT(D53))),IF(
COUNT(INDIRECT(SUBSTITUTE(D53,"D","I")))=0,IF(Q54="○","◎","○"),"×"),IF(AND(
COUNT(INDIRECT(SUBSTITUTE(D53,"D","M")))=0,
COUNT(INDIRECT(SUBSTITUTE(D53,"D","Q")))=0),"･","×")),"･")</f>
        <v>･</v>
      </c>
    </row>
    <row r="54" spans="3:22" s="1" customFormat="1" ht="9.75" customHeight="1">
      <c r="C54" s="10"/>
      <c r="D54" s="143" t="str">
        <f>IF(COUNTIF(C1:C52,"免震層→")&gt;0,"D"&amp;MATCH("免震層→",C1:C52,0)+1&amp;":D52","･")</f>
        <v>･</v>
      </c>
      <c r="E54" s="114"/>
      <c r="F54" s="143" t="str">
        <f ca="1">IF(COUNT(INDIRECT(D54))&gt;0,IF(AND(
COUNT(INDIRECT(SUBSTITUTE(D54,"D","E")))=COUNT(INDIRECT(D54)),
COUNT(INDIRECT(SUBSTITUTE(D54,"D","F")))=COUNT(INDIRECT(D54))),IF(AND(
COUNT(INDIRECT(SUBSTITUTE(D54,"D","J")))=0,
COUNT(INDIRECT(SUBSTITUTE(D54,"D","N")))=0),"○","×"),IF(
COUNT(INDIRECT(SUBSTITUTE(D54,"D","F")))=0,"･","×")),"･")</f>
        <v>･</v>
      </c>
      <c r="G54" s="143" t="str">
        <f ca="1">IF(COUNT(INDIRECT(D54))&gt;0,IF(AND(
COUNT(INDIRECT(SUBSTITUTE(D54,"D","E")))=COUNT(INDIRECT(D54)),
COUNT(INDIRECT(SUBSTITUTE(D54,"D","G")))=COUNT(INDIRECT(D54))),IF(AND(
COUNT(INDIRECT(SUBSTITUTE(D54,"D","K")))=0,
COUNT(INDIRECT(SUBSTITUTE(D54,"D","O")))=0),"○","×"),IF(
COUNT(INDIRECT(SUBSTITUTE(D54,"D","G")))=0,"･","×")),"･")</f>
        <v>･</v>
      </c>
      <c r="H54" s="143" t="str">
        <f ca="1">IF(COUNT(INDIRECT(D54))&gt;0,IF(AND(
COUNT(INDIRECT(SUBSTITUTE(D54,"D","E")))=COUNT(INDIRECT(D54)),
COUNT(INDIRECT(SUBSTITUTE(D54,"D","H")))=COUNT(INDIRECT(D54))),IF(AND(
COUNT(INDIRECT(SUBSTITUTE(D54,"D","L")))=0,
COUNT(INDIRECT(SUBSTITUTE(D54,"D","P")))=0),"○","×"),IF(
COUNT(INDIRECT(SUBSTITUTE(D54,"D","H")))=0,"･","×")),"･")</f>
        <v>･</v>
      </c>
      <c r="I54" s="143" t="str">
        <f ca="1">IF(COUNT(INDIRECT(D54))&gt;0,IF(AND(
COUNT(INDIRECT(SUBSTITUTE(D54,"D","E")))=COUNT(INDIRECT(D54)),
COUNT(INDIRECT(SUBSTITUTE(D54,"D","I")))=COUNT(INDIRECT(D54))),IF(AND(
COUNT(INDIRECT(SUBSTITUTE(D54,"D","M")))=0,
COUNT(INDIRECT(SUBSTITUTE(D54,"D","Q")))=0),"○","×"),IF(
COUNT(INDIRECT(SUBSTITUTE(D54,"D","I")))=0,"･","×")),"･")</f>
        <v>･</v>
      </c>
      <c r="J54" s="12"/>
      <c r="K54" s="12"/>
      <c r="L54" s="12"/>
      <c r="M54" s="12"/>
      <c r="N54" s="143" t="str">
        <f ca="1">IF(COUNT(INDIRECT(D54))&gt;0,IF(AND(
COUNT(INDIRECT(SUBSTITUTE(D54,"D","E")))=COUNT(INDIRECT(D54)),
COUNT(INDIRECT(SUBSTITUTE(D54,"D","J")))=COUNT(INDIRECT(D54)),
COUNT(INDIRECT(SUBSTITUTE(D54,"D","N")))=COUNT(INDIRECT(D54))),IF(
COUNT(INDIRECT(SUBSTITUTE(D54,"D","F")))=0,"○","×"),IF(AND(
COUNT(INDIRECT(SUBSTITUTE(D54,"D","J")))=0,
COUNT(INDIRECT(SUBSTITUTE(D54,"D","N")))=0),"･","×")),"･")</f>
        <v>･</v>
      </c>
      <c r="O54" s="143" t="str">
        <f ca="1">IF(COUNT(INDIRECT(D54))&gt;0,IF(AND(
COUNT(INDIRECT(SUBSTITUTE(D54,"D","E")))=COUNT(INDIRECT(D54)),
COUNT(INDIRECT(SUBSTITUTE(D54,"D","K")))=COUNT(INDIRECT(D54)),
COUNT(INDIRECT(SUBSTITUTE(D54,"D","O")))=COUNT(INDIRECT(D54))),IF(
COUNT(INDIRECT(SUBSTITUTE(D54,"D","G")))=0,"○","×"),IF(AND(
COUNT(INDIRECT(SUBSTITUTE(D54,"D","K")))=0,
COUNT(INDIRECT(SUBSTITUTE(D54,"D","O")))=0),"･","×")),"･")</f>
        <v>･</v>
      </c>
      <c r="P54" s="143" t="str">
        <f ca="1">IF(COUNT(INDIRECT(D54))&gt;0,IF(AND(
COUNT(INDIRECT(SUBSTITUTE(D54,"D","E")))=COUNT(INDIRECT(D54)),
COUNT(INDIRECT(SUBSTITUTE(D54,"D","L")))=COUNT(INDIRECT(D54)),
COUNT(INDIRECT(SUBSTITUTE(D54,"D","P")))=COUNT(INDIRECT(D54))),IF(
COUNT(INDIRECT(SUBSTITUTE(D54,"D","H")))=0,"○","×"),IF(AND(
COUNT(INDIRECT(SUBSTITUTE(D54,"D","L")))=0,
COUNT(INDIRECT(SUBSTITUTE(D54,"D","P")))=0),"･","×")),"･")</f>
        <v>･</v>
      </c>
      <c r="Q54" s="143" t="str">
        <f ca="1">IF(COUNT(INDIRECT(D54))&gt;0,IF(AND(
COUNT(INDIRECT(SUBSTITUTE(D54,"D","E")))=COUNT(INDIRECT(D54)),
COUNT(INDIRECT(SUBSTITUTE(D54,"D","M")))=COUNT(INDIRECT(D54)),
COUNT(INDIRECT(SUBSTITUTE(D54,"D","Q")))=COUNT(INDIRECT(D54))),IF(
COUNT(INDIRECT(SUBSTITUTE(D54,"D","I")))=0,"○","×"),IF(AND(
COUNT(INDIRECT(SUBSTITUTE(D54,"D","M")))=0,
COUNT(INDIRECT(SUBSTITUTE(D54,"D","Q")))=0),"･","×")),"･")</f>
        <v>･</v>
      </c>
    </row>
    <row r="55" spans="3:22" s="1" customFormat="1" ht="9.75" customHeight="1">
      <c r="C55" s="14"/>
      <c r="D55" s="15"/>
      <c r="E55" s="2" t="s">
        <v>31</v>
      </c>
      <c r="F55" s="147" t="s">
        <v>32</v>
      </c>
      <c r="G55" s="148"/>
      <c r="H55" s="148"/>
      <c r="I55" s="149"/>
      <c r="J55" s="147" t="s">
        <v>33</v>
      </c>
      <c r="K55" s="148"/>
      <c r="L55" s="148"/>
      <c r="M55" s="149"/>
      <c r="N55" s="147" t="s">
        <v>34</v>
      </c>
      <c r="O55" s="148"/>
      <c r="P55" s="148"/>
      <c r="Q55" s="149"/>
      <c r="S55" s="150" t="s">
        <v>35</v>
      </c>
      <c r="T55" s="151"/>
      <c r="U55" s="151"/>
      <c r="V55" s="152"/>
    </row>
    <row r="56" spans="3:22" s="1" customFormat="1" ht="9.75" customHeight="1">
      <c r="C56" s="10"/>
      <c r="D56" s="16"/>
      <c r="E56" s="17" t="s">
        <v>218</v>
      </c>
      <c r="F56" s="3" t="s">
        <v>215</v>
      </c>
      <c r="G56" s="3" t="s">
        <v>3</v>
      </c>
      <c r="H56" s="3" t="s">
        <v>4</v>
      </c>
      <c r="I56" s="3" t="s">
        <v>5</v>
      </c>
      <c r="J56" s="3" t="s">
        <v>100</v>
      </c>
      <c r="K56" s="3" t="s">
        <v>6</v>
      </c>
      <c r="L56" s="3" t="s">
        <v>7</v>
      </c>
      <c r="M56" s="3" t="s">
        <v>8</v>
      </c>
      <c r="N56" s="3" t="s">
        <v>100</v>
      </c>
      <c r="O56" s="3" t="s">
        <v>6</v>
      </c>
      <c r="P56" s="3" t="s">
        <v>7</v>
      </c>
      <c r="Q56" s="3" t="s">
        <v>8</v>
      </c>
      <c r="S56" s="18" t="s">
        <v>2</v>
      </c>
      <c r="T56" s="18" t="s">
        <v>6</v>
      </c>
      <c r="U56" s="18" t="s">
        <v>7</v>
      </c>
      <c r="V56" s="18" t="s">
        <v>8</v>
      </c>
    </row>
    <row r="57" spans="3:22" s="1" customFormat="1" ht="9.75" customHeight="1">
      <c r="C57" s="10"/>
      <c r="D57" s="16"/>
      <c r="E57" s="19" t="s">
        <v>220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S57" s="20"/>
      <c r="T57" s="20"/>
      <c r="U57" s="20"/>
      <c r="V57" s="20"/>
    </row>
    <row r="58" spans="3:22" s="1" customFormat="1" ht="9.75" customHeight="1">
      <c r="C58" s="10"/>
      <c r="D58" s="16"/>
      <c r="E58" s="21" t="s">
        <v>221</v>
      </c>
      <c r="F58" s="21"/>
      <c r="G58" s="21"/>
      <c r="H58" s="21"/>
      <c r="I58" s="21"/>
      <c r="J58" s="21"/>
      <c r="K58" s="21"/>
      <c r="L58" s="21"/>
      <c r="M58" s="21"/>
      <c r="N58" s="21"/>
      <c r="O58" s="21"/>
      <c r="P58" s="21"/>
      <c r="Q58" s="21"/>
      <c r="S58" s="20"/>
      <c r="T58" s="20"/>
      <c r="U58" s="20"/>
      <c r="V58" s="20"/>
    </row>
    <row r="59" spans="3:22" s="1" customFormat="1" ht="9.75" customHeight="1">
      <c r="C59" s="10"/>
      <c r="D59" s="16"/>
      <c r="E59" s="21" t="s">
        <v>222</v>
      </c>
      <c r="F59" s="21"/>
      <c r="G59" s="21"/>
      <c r="H59" s="21"/>
      <c r="I59" s="21"/>
      <c r="J59" s="21"/>
      <c r="K59" s="21"/>
      <c r="L59" s="21"/>
      <c r="M59" s="21"/>
      <c r="N59" s="21"/>
      <c r="O59" s="21"/>
      <c r="P59" s="21"/>
      <c r="Q59" s="21"/>
      <c r="S59" s="20"/>
      <c r="T59" s="20"/>
      <c r="U59" s="20"/>
      <c r="V59" s="20"/>
    </row>
    <row r="60" spans="3:22" s="1" customFormat="1" ht="9.75" customHeight="1">
      <c r="C60" s="14"/>
      <c r="D60" s="15"/>
      <c r="E60" s="22" t="s">
        <v>223</v>
      </c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S60" s="23"/>
      <c r="T60" s="23"/>
      <c r="U60" s="23"/>
      <c r="V60" s="23"/>
    </row>
    <row r="61" spans="3:22" ht="9.75" customHeight="1">
      <c r="E61" s="112"/>
      <c r="F61" s="112"/>
      <c r="G61" s="112"/>
      <c r="H61" s="112"/>
      <c r="I61" s="112"/>
      <c r="J61" s="112"/>
      <c r="K61" s="112"/>
      <c r="L61" s="112"/>
      <c r="M61" s="112"/>
      <c r="N61" s="112"/>
      <c r="O61" s="112"/>
      <c r="P61" s="112"/>
      <c r="Q61" s="112"/>
      <c r="S61" s="112"/>
      <c r="T61" s="112"/>
      <c r="U61" s="112"/>
      <c r="V61" s="112"/>
    </row>
    <row r="76" spans="1:2" ht="9.75" customHeight="1">
      <c r="A76" s="144" t="s">
        <v>36</v>
      </c>
      <c r="B76" s="144" t="s">
        <v>37</v>
      </c>
    </row>
    <row r="77" spans="1:2" ht="9.75" customHeight="1">
      <c r="A77" s="144"/>
      <c r="B77" s="144"/>
    </row>
    <row r="79" spans="1:2" ht="9.75" customHeight="1">
      <c r="A79" s="144" t="s">
        <v>189</v>
      </c>
      <c r="B79" s="144"/>
    </row>
    <row r="80" spans="1:2" ht="9.75" customHeight="1">
      <c r="A80" s="144"/>
      <c r="B80" s="144"/>
    </row>
    <row r="119" spans="1:2" ht="9.75" customHeight="1">
      <c r="A119" s="144" t="s">
        <v>29</v>
      </c>
      <c r="B119" s="144" t="s">
        <v>30</v>
      </c>
    </row>
    <row r="120" spans="1:2" ht="9.75" customHeight="1">
      <c r="A120" s="144"/>
      <c r="B120" s="144"/>
    </row>
    <row r="156" spans="1:2" ht="9.75" customHeight="1">
      <c r="A156" s="144" t="s">
        <v>36</v>
      </c>
      <c r="B156" s="144" t="s">
        <v>37</v>
      </c>
    </row>
    <row r="157" spans="1:2" ht="9.75" customHeight="1">
      <c r="A157" s="144"/>
      <c r="B157" s="144"/>
    </row>
    <row r="159" spans="1:2" ht="9.75" customHeight="1">
      <c r="A159" s="144" t="s">
        <v>209</v>
      </c>
      <c r="B159" s="144"/>
    </row>
    <row r="160" spans="1:2" ht="9.75" customHeight="1">
      <c r="A160" s="144"/>
      <c r="B160" s="144"/>
    </row>
    <row r="199" spans="1:2" ht="9.75" customHeight="1">
      <c r="A199" s="144" t="s">
        <v>29</v>
      </c>
      <c r="B199" s="144" t="s">
        <v>30</v>
      </c>
    </row>
    <row r="200" spans="1:2" ht="9.75" customHeight="1">
      <c r="A200" s="144"/>
      <c r="B200" s="144"/>
    </row>
    <row r="236" spans="1:2" ht="9.75" customHeight="1">
      <c r="A236" s="144" t="s">
        <v>36</v>
      </c>
      <c r="B236" s="144" t="s">
        <v>37</v>
      </c>
    </row>
    <row r="237" spans="1:2" ht="9.75" customHeight="1">
      <c r="A237" s="144"/>
      <c r="B237" s="144"/>
    </row>
    <row r="239" spans="1:2" ht="9.75" customHeight="1">
      <c r="A239" s="144" t="s">
        <v>210</v>
      </c>
      <c r="B239" s="144"/>
    </row>
    <row r="240" spans="1:2" ht="9.75" customHeight="1">
      <c r="A240" s="144"/>
      <c r="B240" s="144"/>
    </row>
    <row r="279" spans="1:2" ht="9.75" customHeight="1">
      <c r="A279" s="144" t="s">
        <v>29</v>
      </c>
      <c r="B279" s="144" t="s">
        <v>30</v>
      </c>
    </row>
    <row r="280" spans="1:2" ht="9.75" customHeight="1">
      <c r="A280" s="144"/>
      <c r="B280" s="144"/>
    </row>
    <row r="316" spans="1:2" ht="9.75" customHeight="1">
      <c r="A316" s="144" t="s">
        <v>36</v>
      </c>
      <c r="B316" s="144" t="s">
        <v>37</v>
      </c>
    </row>
    <row r="317" spans="1:2" ht="9.75" customHeight="1">
      <c r="A317" s="144"/>
      <c r="B317" s="144"/>
    </row>
    <row r="319" spans="1:2" ht="9.75" customHeight="1">
      <c r="A319" s="144" t="s">
        <v>190</v>
      </c>
      <c r="B319" s="144"/>
    </row>
    <row r="320" spans="1:2" ht="9.75" customHeight="1">
      <c r="A320" s="144"/>
      <c r="B320" s="144"/>
    </row>
    <row r="359" spans="1:2" ht="9.75" customHeight="1">
      <c r="A359" s="144" t="s">
        <v>29</v>
      </c>
      <c r="B359" s="144" t="s">
        <v>30</v>
      </c>
    </row>
    <row r="360" spans="1:2" ht="9.75" customHeight="1">
      <c r="A360" s="144"/>
      <c r="B360" s="144"/>
    </row>
    <row r="396" spans="1:2" ht="9.75" customHeight="1">
      <c r="A396" s="144" t="s">
        <v>36</v>
      </c>
      <c r="B396" s="144" t="s">
        <v>37</v>
      </c>
    </row>
    <row r="397" spans="1:2" ht="9.75" customHeight="1">
      <c r="A397" s="144"/>
      <c r="B397" s="144"/>
    </row>
    <row r="399" spans="1:2" ht="9.75" customHeight="1">
      <c r="A399" s="144" t="s">
        <v>211</v>
      </c>
      <c r="B399" s="144"/>
    </row>
    <row r="400" spans="1:2" ht="9.75" customHeight="1">
      <c r="A400" s="144"/>
      <c r="B400" s="144"/>
    </row>
    <row r="439" spans="1:2" ht="9.75" customHeight="1">
      <c r="A439" s="144" t="s">
        <v>29</v>
      </c>
      <c r="B439" s="144" t="s">
        <v>30</v>
      </c>
    </row>
    <row r="440" spans="1:2" ht="9.75" customHeight="1">
      <c r="A440" s="144"/>
      <c r="B440" s="144"/>
    </row>
    <row r="476" spans="1:2" ht="9.75" customHeight="1">
      <c r="A476" s="144" t="s">
        <v>36</v>
      </c>
      <c r="B476" s="144" t="s">
        <v>37</v>
      </c>
    </row>
    <row r="477" spans="1:2" ht="9.75" customHeight="1">
      <c r="A477" s="144"/>
      <c r="B477" s="144"/>
    </row>
    <row r="479" spans="1:2" ht="9.75" customHeight="1">
      <c r="A479" s="144" t="s">
        <v>212</v>
      </c>
      <c r="B479" s="144"/>
    </row>
    <row r="480" spans="1:2" ht="9.75" customHeight="1">
      <c r="A480" s="144"/>
      <c r="B480" s="144"/>
    </row>
  </sheetData>
  <sheetProtection algorithmName="SHA-512" hashValue="9dBUbi1DQy50E8pP2m31RLWBXrPoNaxceCJ1kA70lKm6pyOGDqfuBO19p1T4ha9aVK1vnAV7TtcD1YHCwKbnYw==" saltValue="+aV9SP21TT9SGiy6rzqwOQ==" spinCount="100000" sheet="1" formatCells="0" formatColumns="0" formatRows="0" insertColumns="0" insertRows="0" insertHyperlinks="0" deleteColumns="0" deleteRows="0" sort="0" autoFilter="0" pivotTables="0"/>
  <mergeCells count="47">
    <mergeCell ref="T15:U15"/>
    <mergeCell ref="F1:I1"/>
    <mergeCell ref="J1:M1"/>
    <mergeCell ref="N1:Q1"/>
    <mergeCell ref="T3:U3"/>
    <mergeCell ref="T4:U4"/>
    <mergeCell ref="T5:U5"/>
    <mergeCell ref="T6:U6"/>
    <mergeCell ref="T9:U9"/>
    <mergeCell ref="T10:U10"/>
    <mergeCell ref="T11:V11"/>
    <mergeCell ref="T14:V14"/>
    <mergeCell ref="A76:A77"/>
    <mergeCell ref="B76:B77"/>
    <mergeCell ref="T16:V16"/>
    <mergeCell ref="A39:A40"/>
    <mergeCell ref="B39:B40"/>
    <mergeCell ref="F55:I55"/>
    <mergeCell ref="J55:M55"/>
    <mergeCell ref="N55:Q55"/>
    <mergeCell ref="S55:V55"/>
    <mergeCell ref="A79:B80"/>
    <mergeCell ref="A119:A120"/>
    <mergeCell ref="B119:B120"/>
    <mergeCell ref="A156:A157"/>
    <mergeCell ref="B156:B157"/>
    <mergeCell ref="A359:A360"/>
    <mergeCell ref="B359:B360"/>
    <mergeCell ref="A159:B160"/>
    <mergeCell ref="A199:A200"/>
    <mergeCell ref="B199:B200"/>
    <mergeCell ref="A236:A237"/>
    <mergeCell ref="B236:B237"/>
    <mergeCell ref="A239:B240"/>
    <mergeCell ref="A279:A280"/>
    <mergeCell ref="B279:B280"/>
    <mergeCell ref="A316:A317"/>
    <mergeCell ref="B316:B317"/>
    <mergeCell ref="A319:B320"/>
    <mergeCell ref="A479:B480"/>
    <mergeCell ref="A396:A397"/>
    <mergeCell ref="B396:B397"/>
    <mergeCell ref="A399:B400"/>
    <mergeCell ref="A439:A440"/>
    <mergeCell ref="B439:B440"/>
    <mergeCell ref="A476:A477"/>
    <mergeCell ref="B476:B477"/>
  </mergeCells>
  <phoneticPr fontId="1"/>
  <conditionalFormatting sqref="S23:S26">
    <cfRule type="expression" dxfId="22" priority="13">
      <formula>OR(S23="実行可",S23="ready")</formula>
    </cfRule>
  </conditionalFormatting>
  <conditionalFormatting sqref="F53:Q54">
    <cfRule type="expression" dxfId="21" priority="14">
      <formula>F53="×"</formula>
    </cfRule>
  </conditionalFormatting>
  <conditionalFormatting sqref="S22">
    <cfRule type="expression" dxfId="20" priority="2">
      <formula>S22="BS+SR"</formula>
    </cfRule>
    <cfRule type="expression" dxfId="19" priority="3">
      <formula>S22="BS+I+SR"</formula>
    </cfRule>
    <cfRule type="expression" dxfId="18" priority="4">
      <formula>S22="BS+I+BS"</formula>
    </cfRule>
    <cfRule type="expression" dxfId="17" priority="5">
      <formula>S22="BS+I+S"</formula>
    </cfRule>
    <cfRule type="expression" dxfId="16" priority="6">
      <formula>S22="BS+I"</formula>
    </cfRule>
    <cfRule type="expression" dxfId="15" priority="7">
      <formula>S22="BS"</formula>
    </cfRule>
    <cfRule type="expression" dxfId="14" priority="8">
      <formula>S22="S+SR"</formula>
    </cfRule>
    <cfRule type="expression" dxfId="13" priority="9">
      <formula>S22="S+I+SR"</formula>
    </cfRule>
    <cfRule type="expression" dxfId="12" priority="10">
      <formula>S22="S+I+S"</formula>
    </cfRule>
    <cfRule type="expression" dxfId="11" priority="11">
      <formula>S22="S+I"</formula>
    </cfRule>
    <cfRule type="expression" dxfId="10" priority="12">
      <formula>S22="S"</formula>
    </cfRule>
  </conditionalFormatting>
  <conditionalFormatting sqref="S20">
    <cfRule type="expression" dxfId="9" priority="1">
      <formula>OR(S18="剛性比例",S18="質量比例",S18="StifProp",S18="MassProp")</formula>
    </cfRule>
  </conditionalFormatting>
  <dataValidations count="1">
    <dataValidation type="list" allowBlank="1" showInputMessage="1" showErrorMessage="1" sqref="S18" xr:uid="{252CABF5-9801-405A-97C2-6007E34FB49E}">
      <formula1>"剛性比例,質量比例,レーリー型"</formula1>
    </dataValidation>
  </dataValidations>
  <pageMargins left="1.1811023622047245" right="0.78740157480314965" top="0.78740157480314965" bottom="0.7874015748031496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_csv">
              <controlPr defaultSize="0" print="0" autoFill="0" autoPict="0" macro="[0]!ImportEigenCsvSequence">
                <anchor moveWithCells="1" sizeWithCells="1">
                  <from>
                    <xdr:col>20</xdr:col>
                    <xdr:colOff>0</xdr:colOff>
                    <xdr:row>60</xdr:row>
                    <xdr:rowOff>0</xdr:rowOff>
                  </from>
                  <to>
                    <xdr:col>21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00379-4D64-4932-BEAD-410A931AD76B}">
  <sheetPr codeName="Sheet14"/>
  <dimension ref="A1:BH261"/>
  <sheetViews>
    <sheetView zoomScaleNormal="100" workbookViewId="0"/>
  </sheetViews>
  <sheetFormatPr defaultColWidth="8.7109375" defaultRowHeight="9.75" customHeight="1"/>
  <cols>
    <col min="1" max="16384" width="8.7109375" style="101"/>
  </cols>
  <sheetData>
    <row r="1" spans="1:24" ht="9.75" customHeight="1">
      <c r="A1" s="13"/>
      <c r="B1" s="154" t="s">
        <v>25</v>
      </c>
      <c r="C1" s="155"/>
      <c r="D1" s="155"/>
      <c r="E1" s="156"/>
      <c r="F1" s="154" t="s">
        <v>26</v>
      </c>
      <c r="G1" s="155"/>
      <c r="H1" s="155"/>
      <c r="I1" s="156"/>
      <c r="J1" s="154" t="s">
        <v>27</v>
      </c>
      <c r="K1" s="155"/>
      <c r="L1" s="155"/>
      <c r="M1" s="156"/>
      <c r="N1" s="154" t="s">
        <v>28</v>
      </c>
      <c r="O1" s="155"/>
      <c r="P1" s="155"/>
      <c r="Q1" s="156"/>
      <c r="R1" s="155" t="s">
        <v>38</v>
      </c>
      <c r="S1" s="155"/>
      <c r="T1" s="155"/>
      <c r="U1" s="155"/>
      <c r="V1" s="60"/>
      <c r="W1" s="12"/>
      <c r="X1" s="12"/>
    </row>
    <row r="2" spans="1:24" ht="9.75" customHeight="1">
      <c r="A2" s="13"/>
      <c r="B2" s="27" t="s">
        <v>63</v>
      </c>
      <c r="C2" s="27" t="s">
        <v>64</v>
      </c>
      <c r="D2" s="27" t="s">
        <v>65</v>
      </c>
      <c r="E2" s="27" t="s">
        <v>66</v>
      </c>
      <c r="F2" s="27" t="s">
        <v>63</v>
      </c>
      <c r="G2" s="27" t="s">
        <v>64</v>
      </c>
      <c r="H2" s="27" t="s">
        <v>65</v>
      </c>
      <c r="I2" s="27" t="s">
        <v>66</v>
      </c>
      <c r="J2" s="27" t="s">
        <v>63</v>
      </c>
      <c r="K2" s="27" t="s">
        <v>64</v>
      </c>
      <c r="L2" s="27" t="s">
        <v>65</v>
      </c>
      <c r="M2" s="27" t="s">
        <v>66</v>
      </c>
      <c r="N2" s="27" t="s">
        <v>63</v>
      </c>
      <c r="O2" s="27" t="s">
        <v>64</v>
      </c>
      <c r="P2" s="27" t="s">
        <v>65</v>
      </c>
      <c r="Q2" s="27" t="s">
        <v>66</v>
      </c>
      <c r="R2" s="25" t="s">
        <v>25</v>
      </c>
      <c r="S2" s="27" t="s">
        <v>3</v>
      </c>
      <c r="T2" s="27" t="s">
        <v>4</v>
      </c>
      <c r="U2" s="24" t="s">
        <v>5</v>
      </c>
      <c r="V2" s="60"/>
      <c r="W2" s="12"/>
      <c r="X2" s="12"/>
    </row>
    <row r="3" spans="1:24" ht="9.75" customHeight="1">
      <c r="A3" s="5" t="str">
        <f>IF(AND(ISNUMBER(固有値!D3),NOT(ISNUMBER(固有値!D4))),IF(固有値!C4=IF(Overview!P$5="JPN","免震層","IsoLyr")&amp;"→","･","ここまで"),IF(固有値!C3=IF(Overview!P$5="JPN","免震層","IsoLyr")&amp;"→",固有値!C3,"･"))</f>
        <v>･</v>
      </c>
      <c r="B3" s="34"/>
      <c r="C3" s="35"/>
      <c r="D3" s="35"/>
      <c r="E3" s="36"/>
      <c r="F3" s="34"/>
      <c r="G3" s="35"/>
      <c r="H3" s="35"/>
      <c r="I3" s="36"/>
      <c r="J3" s="34"/>
      <c r="K3" s="35"/>
      <c r="L3" s="35"/>
      <c r="M3" s="36"/>
      <c r="N3" s="34"/>
      <c r="O3" s="35"/>
      <c r="P3" s="35"/>
      <c r="Q3" s="36"/>
      <c r="R3" s="37"/>
      <c r="S3" s="37"/>
      <c r="T3" s="37"/>
      <c r="U3" s="38"/>
      <c r="V3" s="60"/>
      <c r="W3" s="39">
        <v>45</v>
      </c>
      <c r="X3" s="13" t="s">
        <v>90</v>
      </c>
    </row>
    <row r="4" spans="1:24" ht="9.75" customHeight="1">
      <c r="A4" s="5" t="str">
        <f>IF(AND(ISNUMBER(固有値!D4),NOT(ISNUMBER(固有値!D5))),IF(固有値!C5=IF(Overview!P$5="JPN","免震層","IsoLyr")&amp;"→","･","ここまで"),IF(固有値!C4=IF(Overview!P$5="JPN","免震層","IsoLyr")&amp;"→",固有値!C4,"･"))</f>
        <v>･</v>
      </c>
      <c r="B4" s="34"/>
      <c r="C4" s="35"/>
      <c r="D4" s="35"/>
      <c r="E4" s="36"/>
      <c r="F4" s="34"/>
      <c r="G4" s="35"/>
      <c r="H4" s="35"/>
      <c r="I4" s="36"/>
      <c r="J4" s="34"/>
      <c r="K4" s="35"/>
      <c r="L4" s="35"/>
      <c r="M4" s="36"/>
      <c r="N4" s="34"/>
      <c r="O4" s="35"/>
      <c r="P4" s="35"/>
      <c r="Q4" s="36"/>
      <c r="R4" s="37"/>
      <c r="S4" s="37"/>
      <c r="T4" s="37"/>
      <c r="U4" s="38"/>
      <c r="V4" s="60"/>
      <c r="W4" s="12"/>
      <c r="X4" s="12"/>
    </row>
    <row r="5" spans="1:24" ht="9.75" customHeight="1">
      <c r="A5" s="5" t="str">
        <f>IF(AND(ISNUMBER(固有値!D5),NOT(ISNUMBER(固有値!D6))),IF(固有値!C6=IF(Overview!P$5="JPN","免震層","IsoLyr")&amp;"→","･","ここまで"),IF(固有値!C5=IF(Overview!P$5="JPN","免震層","IsoLyr")&amp;"→",固有値!C5,"･"))</f>
        <v>･</v>
      </c>
      <c r="B5" s="34"/>
      <c r="C5" s="35"/>
      <c r="D5" s="35"/>
      <c r="E5" s="36"/>
      <c r="F5" s="34"/>
      <c r="G5" s="35"/>
      <c r="H5" s="35"/>
      <c r="I5" s="36"/>
      <c r="J5" s="34"/>
      <c r="K5" s="35"/>
      <c r="L5" s="35"/>
      <c r="M5" s="36"/>
      <c r="N5" s="34"/>
      <c r="O5" s="35"/>
      <c r="P5" s="35"/>
      <c r="Q5" s="36"/>
      <c r="R5" s="37"/>
      <c r="S5" s="37"/>
      <c r="T5" s="37"/>
      <c r="U5" s="38"/>
      <c r="V5" s="60"/>
      <c r="W5" s="39" t="s">
        <v>372</v>
      </c>
      <c r="X5" s="13" t="str">
        <f>"共通の復元力特性："&amp;
IF(W5="Linear","リニア型",
IF(W5="Bi-Linear","ノーマルバイリニア型",
IF(W5="Takeda","武田型")))</f>
        <v>共通の復元力特性：武田型</v>
      </c>
    </row>
    <row r="6" spans="1:24" ht="9.75" customHeight="1">
      <c r="A6" s="5" t="str">
        <f>IF(AND(ISNUMBER(固有値!D6),NOT(ISNUMBER(固有値!D7))),IF(固有値!C7=IF(Overview!P$5="JPN","免震層","IsoLyr")&amp;"→","･","ここまで"),IF(固有値!C6=IF(Overview!P$5="JPN","免震層","IsoLyr")&amp;"→",固有値!C6,"･"))</f>
        <v>･</v>
      </c>
      <c r="B6" s="34"/>
      <c r="C6" s="35"/>
      <c r="D6" s="35"/>
      <c r="E6" s="36"/>
      <c r="F6" s="34"/>
      <c r="G6" s="35"/>
      <c r="H6" s="35"/>
      <c r="I6" s="36"/>
      <c r="J6" s="34"/>
      <c r="K6" s="35"/>
      <c r="L6" s="35"/>
      <c r="M6" s="36"/>
      <c r="N6" s="34"/>
      <c r="O6" s="35"/>
      <c r="P6" s="35"/>
      <c r="Q6" s="36"/>
      <c r="R6" s="37"/>
      <c r="S6" s="37"/>
      <c r="T6" s="37"/>
      <c r="U6" s="38"/>
      <c r="V6" s="60"/>
      <c r="W6" s="12"/>
      <c r="X6" s="12"/>
    </row>
    <row r="7" spans="1:24" ht="9.75" customHeight="1">
      <c r="A7" s="5" t="str">
        <f>IF(AND(ISNUMBER(固有値!D7),NOT(ISNUMBER(固有値!D8))),IF(固有値!C8=IF(Overview!P$5="JPN","免震層","IsoLyr")&amp;"→","･","ここまで"),IF(固有値!C7=IF(Overview!P$5="JPN","免震層","IsoLyr")&amp;"→",固有値!C7,"･"))</f>
        <v>･</v>
      </c>
      <c r="B7" s="34"/>
      <c r="C7" s="35"/>
      <c r="D7" s="35"/>
      <c r="E7" s="36"/>
      <c r="F7" s="34"/>
      <c r="G7" s="35"/>
      <c r="H7" s="35"/>
      <c r="I7" s="36"/>
      <c r="J7" s="34"/>
      <c r="K7" s="35"/>
      <c r="L7" s="35"/>
      <c r="M7" s="36"/>
      <c r="N7" s="34"/>
      <c r="O7" s="35"/>
      <c r="P7" s="35"/>
      <c r="Q7" s="36"/>
      <c r="R7" s="37"/>
      <c r="S7" s="37"/>
      <c r="T7" s="37"/>
      <c r="U7" s="38"/>
      <c r="V7" s="60"/>
      <c r="W7" s="39" t="s">
        <v>91</v>
      </c>
      <c r="X7" s="13" t="str">
        <f>"βの選択："&amp;IF(W7="β=1/4","平均加速度法",IF(W7="β=1/6","線形加速度法"))</f>
        <v>βの選択：平均加速度法</v>
      </c>
    </row>
    <row r="8" spans="1:24" ht="9.75" customHeight="1">
      <c r="A8" s="5" t="str">
        <f>IF(AND(ISNUMBER(固有値!D8),NOT(ISNUMBER(固有値!D9))),IF(固有値!C9=IF(Overview!P$5="JPN","免震層","IsoLyr")&amp;"→","･","ここまで"),IF(固有値!C8=IF(Overview!P$5="JPN","免震層","IsoLyr")&amp;"→",固有値!C8,"･"))</f>
        <v>･</v>
      </c>
      <c r="B8" s="34"/>
      <c r="C8" s="35"/>
      <c r="D8" s="35"/>
      <c r="E8" s="36"/>
      <c r="F8" s="34"/>
      <c r="G8" s="35"/>
      <c r="H8" s="35"/>
      <c r="I8" s="36"/>
      <c r="J8" s="34"/>
      <c r="K8" s="35"/>
      <c r="L8" s="35"/>
      <c r="M8" s="36"/>
      <c r="N8" s="34"/>
      <c r="O8" s="35"/>
      <c r="P8" s="35"/>
      <c r="Q8" s="36"/>
      <c r="R8" s="37"/>
      <c r="S8" s="37"/>
      <c r="T8" s="37"/>
      <c r="U8" s="38"/>
      <c r="V8" s="105"/>
    </row>
    <row r="9" spans="1:24" ht="9.75" customHeight="1">
      <c r="A9" s="5" t="str">
        <f>IF(AND(ISNUMBER(固有値!D9),NOT(ISNUMBER(固有値!D10))),IF(固有値!C10=IF(Overview!P$5="JPN","免震層","IsoLyr")&amp;"→","･","ここまで"),IF(固有値!C9=IF(Overview!P$5="JPN","免震層","IsoLyr")&amp;"→",固有値!C9,"･"))</f>
        <v>･</v>
      </c>
      <c r="B9" s="34"/>
      <c r="C9" s="35"/>
      <c r="D9" s="35"/>
      <c r="E9" s="36"/>
      <c r="F9" s="34"/>
      <c r="G9" s="35"/>
      <c r="H9" s="35"/>
      <c r="I9" s="36"/>
      <c r="J9" s="34"/>
      <c r="K9" s="35"/>
      <c r="L9" s="35"/>
      <c r="M9" s="36"/>
      <c r="N9" s="34"/>
      <c r="O9" s="35"/>
      <c r="P9" s="35"/>
      <c r="Q9" s="36"/>
      <c r="R9" s="37"/>
      <c r="S9" s="37"/>
      <c r="T9" s="37"/>
      <c r="U9" s="38"/>
      <c r="V9" s="105"/>
      <c r="W9" s="39" t="s">
        <v>208</v>
      </c>
      <c r="X9" s="101" t="str">
        <f>"逆行列の計算："&amp;
IF(W9="LU","LU分解",
IF(W9="LLT","コレスキー分解(LLT)",
IF(W9="LDLT","修正コレスキー分解(LDLT)")))</f>
        <v>逆行列の計算：コレスキー分解(LLT)</v>
      </c>
    </row>
    <row r="10" spans="1:24" ht="9.75" customHeight="1">
      <c r="A10" s="5" t="str">
        <f>IF(AND(ISNUMBER(固有値!D10),NOT(ISNUMBER(固有値!D11))),IF(固有値!C11=IF(Overview!P$5="JPN","免震層","IsoLyr")&amp;"→","･","ここまで"),IF(固有値!C10=IF(Overview!P$5="JPN","免震層","IsoLyr")&amp;"→",固有値!C10,"･"))</f>
        <v>･</v>
      </c>
      <c r="B10" s="34"/>
      <c r="C10" s="35"/>
      <c r="D10" s="35"/>
      <c r="E10" s="36"/>
      <c r="F10" s="34"/>
      <c r="G10" s="35"/>
      <c r="H10" s="35"/>
      <c r="I10" s="36"/>
      <c r="J10" s="34"/>
      <c r="K10" s="35"/>
      <c r="L10" s="35"/>
      <c r="M10" s="36"/>
      <c r="N10" s="34"/>
      <c r="O10" s="35"/>
      <c r="P10" s="35"/>
      <c r="Q10" s="36"/>
      <c r="R10" s="37"/>
      <c r="S10" s="37"/>
      <c r="T10" s="37"/>
      <c r="U10" s="38"/>
      <c r="V10" s="105"/>
    </row>
    <row r="11" spans="1:24" ht="9.75" customHeight="1">
      <c r="A11" s="5" t="str">
        <f>IF(AND(ISNUMBER(固有値!D11),NOT(ISNUMBER(固有値!D12))),IF(固有値!C12=IF(Overview!P$5="JPN","免震層","IsoLyr")&amp;"→","･","ここまで"),IF(固有値!C11=IF(Overview!P$5="JPN","免震層","IsoLyr")&amp;"→",固有値!C11,"･"))</f>
        <v>･</v>
      </c>
      <c r="B11" s="34"/>
      <c r="C11" s="35"/>
      <c r="D11" s="35"/>
      <c r="E11" s="36"/>
      <c r="F11" s="34"/>
      <c r="G11" s="35"/>
      <c r="H11" s="35"/>
      <c r="I11" s="36"/>
      <c r="J11" s="34"/>
      <c r="K11" s="35"/>
      <c r="L11" s="35"/>
      <c r="M11" s="36"/>
      <c r="N11" s="34"/>
      <c r="O11" s="35"/>
      <c r="P11" s="35"/>
      <c r="Q11" s="36"/>
      <c r="R11" s="37"/>
      <c r="S11" s="37"/>
      <c r="T11" s="37"/>
      <c r="U11" s="38"/>
      <c r="V11" s="105"/>
    </row>
    <row r="12" spans="1:24" ht="9.75" customHeight="1">
      <c r="A12" s="5" t="str">
        <f>IF(AND(ISNUMBER(固有値!D12),NOT(ISNUMBER(固有値!D13))),IF(固有値!C13=IF(Overview!P$5="JPN","免震層","IsoLyr")&amp;"→","･","ここまで"),IF(固有値!C12=IF(Overview!P$5="JPN","免震層","IsoLyr")&amp;"→",固有値!C12,"･"))</f>
        <v>･</v>
      </c>
      <c r="B12" s="34"/>
      <c r="C12" s="35"/>
      <c r="D12" s="35"/>
      <c r="E12" s="36"/>
      <c r="F12" s="34"/>
      <c r="G12" s="35"/>
      <c r="H12" s="35"/>
      <c r="I12" s="36"/>
      <c r="J12" s="34"/>
      <c r="K12" s="35"/>
      <c r="L12" s="35"/>
      <c r="M12" s="36"/>
      <c r="N12" s="34"/>
      <c r="O12" s="35"/>
      <c r="P12" s="35"/>
      <c r="Q12" s="36"/>
      <c r="R12" s="37"/>
      <c r="S12" s="37"/>
      <c r="T12" s="37"/>
      <c r="U12" s="38"/>
      <c r="V12" s="105"/>
    </row>
    <row r="13" spans="1:24" ht="9.75" customHeight="1">
      <c r="A13" s="5" t="str">
        <f>IF(AND(ISNUMBER(固有値!D13),NOT(ISNUMBER(固有値!D14))),IF(固有値!C14=IF(Overview!P$5="JPN","免震層","IsoLyr")&amp;"→","･","ここまで"),IF(固有値!C13=IF(Overview!P$5="JPN","免震層","IsoLyr")&amp;"→",固有値!C13,"･"))</f>
        <v>･</v>
      </c>
      <c r="B13" s="34"/>
      <c r="C13" s="35"/>
      <c r="D13" s="35"/>
      <c r="E13" s="36"/>
      <c r="F13" s="34"/>
      <c r="G13" s="35"/>
      <c r="H13" s="35"/>
      <c r="I13" s="36"/>
      <c r="J13" s="34"/>
      <c r="K13" s="35"/>
      <c r="L13" s="35"/>
      <c r="M13" s="36"/>
      <c r="N13" s="34"/>
      <c r="O13" s="35"/>
      <c r="P13" s="35"/>
      <c r="Q13" s="36"/>
      <c r="R13" s="37"/>
      <c r="S13" s="37"/>
      <c r="T13" s="37"/>
      <c r="U13" s="38"/>
      <c r="V13" s="105"/>
    </row>
    <row r="14" spans="1:24" ht="9.75" customHeight="1">
      <c r="A14" s="5" t="str">
        <f>IF(AND(ISNUMBER(固有値!D14),NOT(ISNUMBER(固有値!D15))),IF(固有値!C15=IF(Overview!P$5="JPN","免震層","IsoLyr")&amp;"→","･","ここまで"),IF(固有値!C14=IF(Overview!P$5="JPN","免震層","IsoLyr")&amp;"→",固有値!C14,"･"))</f>
        <v>･</v>
      </c>
      <c r="B14" s="34"/>
      <c r="C14" s="35"/>
      <c r="D14" s="35"/>
      <c r="E14" s="36"/>
      <c r="F14" s="34"/>
      <c r="G14" s="35"/>
      <c r="H14" s="35"/>
      <c r="I14" s="36"/>
      <c r="J14" s="34"/>
      <c r="K14" s="35"/>
      <c r="L14" s="35"/>
      <c r="M14" s="36"/>
      <c r="N14" s="34"/>
      <c r="O14" s="35"/>
      <c r="P14" s="35"/>
      <c r="Q14" s="36"/>
      <c r="R14" s="37"/>
      <c r="S14" s="37"/>
      <c r="T14" s="37"/>
      <c r="U14" s="38"/>
      <c r="V14" s="105"/>
    </row>
    <row r="15" spans="1:24" ht="9.75" customHeight="1">
      <c r="A15" s="5" t="str">
        <f>IF(AND(ISNUMBER(固有値!D15),NOT(ISNUMBER(固有値!D16))),IF(固有値!C16=IF(Overview!P$5="JPN","免震層","IsoLyr")&amp;"→","･","ここまで"),IF(固有値!C15=IF(Overview!P$5="JPN","免震層","IsoLyr")&amp;"→",固有値!C15,"･"))</f>
        <v>･</v>
      </c>
      <c r="B15" s="34"/>
      <c r="C15" s="35"/>
      <c r="D15" s="35"/>
      <c r="E15" s="36"/>
      <c r="F15" s="34"/>
      <c r="G15" s="35"/>
      <c r="H15" s="35"/>
      <c r="I15" s="36"/>
      <c r="J15" s="34"/>
      <c r="K15" s="35"/>
      <c r="L15" s="35"/>
      <c r="M15" s="36"/>
      <c r="N15" s="34"/>
      <c r="O15" s="35"/>
      <c r="P15" s="35"/>
      <c r="Q15" s="36"/>
      <c r="R15" s="37"/>
      <c r="S15" s="37"/>
      <c r="T15" s="37"/>
      <c r="U15" s="38"/>
      <c r="V15" s="105"/>
    </row>
    <row r="16" spans="1:24" ht="9.75" customHeight="1">
      <c r="A16" s="5" t="str">
        <f>IF(AND(ISNUMBER(固有値!D16),NOT(ISNUMBER(固有値!D17))),IF(固有値!C17=IF(Overview!P$5="JPN","免震層","IsoLyr")&amp;"→","･","ここまで"),IF(固有値!C16=IF(Overview!P$5="JPN","免震層","IsoLyr")&amp;"→",固有値!C16,"･"))</f>
        <v>･</v>
      </c>
      <c r="B16" s="47"/>
      <c r="C16" s="35"/>
      <c r="D16" s="48"/>
      <c r="E16" s="49"/>
      <c r="F16" s="34"/>
      <c r="G16" s="35"/>
      <c r="H16" s="48"/>
      <c r="I16" s="49"/>
      <c r="J16" s="34"/>
      <c r="K16" s="35"/>
      <c r="L16" s="48"/>
      <c r="M16" s="49"/>
      <c r="N16" s="47"/>
      <c r="O16" s="35"/>
      <c r="P16" s="48"/>
      <c r="Q16" s="49"/>
      <c r="R16" s="37"/>
      <c r="S16" s="37"/>
      <c r="T16" s="37"/>
      <c r="U16" s="38"/>
      <c r="V16" s="105"/>
    </row>
    <row r="17" spans="1:22" ht="9.75" customHeight="1">
      <c r="A17" s="5" t="str">
        <f>IF(AND(ISNUMBER(固有値!D17),NOT(ISNUMBER(固有値!D18))),IF(固有値!C18=IF(Overview!P$5="JPN","免震層","IsoLyr")&amp;"→","･","ここまで"),IF(固有値!C17=IF(Overview!P$5="JPN","免震層","IsoLyr")&amp;"→",固有値!C17,"･"))</f>
        <v>･</v>
      </c>
      <c r="B17" s="47"/>
      <c r="C17" s="35"/>
      <c r="D17" s="48"/>
      <c r="E17" s="49"/>
      <c r="F17" s="34"/>
      <c r="G17" s="35"/>
      <c r="H17" s="48"/>
      <c r="I17" s="49"/>
      <c r="J17" s="34"/>
      <c r="K17" s="35"/>
      <c r="L17" s="48"/>
      <c r="M17" s="49"/>
      <c r="N17" s="47"/>
      <c r="O17" s="35"/>
      <c r="P17" s="48"/>
      <c r="Q17" s="49"/>
      <c r="R17" s="37"/>
      <c r="S17" s="37"/>
      <c r="T17" s="37"/>
      <c r="U17" s="38"/>
      <c r="V17" s="105"/>
    </row>
    <row r="18" spans="1:22" ht="9.75" customHeight="1">
      <c r="A18" s="5" t="str">
        <f>IF(AND(ISNUMBER(固有値!D18),NOT(ISNUMBER(固有値!D19))),IF(固有値!C19=IF(Overview!P$5="JPN","免震層","IsoLyr")&amp;"→","･","ここまで"),IF(固有値!C18=IF(Overview!P$5="JPN","免震層","IsoLyr")&amp;"→",固有値!C18,"･"))</f>
        <v>･</v>
      </c>
      <c r="B18" s="47"/>
      <c r="C18" s="48"/>
      <c r="D18" s="48"/>
      <c r="E18" s="49"/>
      <c r="F18" s="34"/>
      <c r="G18" s="48"/>
      <c r="H18" s="48"/>
      <c r="I18" s="49"/>
      <c r="J18" s="34"/>
      <c r="K18" s="48"/>
      <c r="L18" s="48"/>
      <c r="M18" s="49"/>
      <c r="N18" s="47"/>
      <c r="O18" s="48"/>
      <c r="P18" s="48"/>
      <c r="Q18" s="49"/>
      <c r="R18" s="37"/>
      <c r="S18" s="37"/>
      <c r="T18" s="50"/>
      <c r="U18" s="51"/>
      <c r="V18" s="105"/>
    </row>
    <row r="19" spans="1:22" ht="9.75" customHeight="1">
      <c r="A19" s="5" t="str">
        <f>IF(AND(ISNUMBER(固有値!D19),NOT(ISNUMBER(固有値!D20))),IF(固有値!C20=IF(Overview!P$5="JPN","免震層","IsoLyr")&amp;"→","･","ここまで"),IF(固有値!C19=IF(Overview!P$5="JPN","免震層","IsoLyr")&amp;"→",固有値!C19,"･"))</f>
        <v>･</v>
      </c>
      <c r="B19" s="47"/>
      <c r="C19" s="48"/>
      <c r="D19" s="48"/>
      <c r="E19" s="49"/>
      <c r="F19" s="34"/>
      <c r="G19" s="48"/>
      <c r="H19" s="48"/>
      <c r="I19" s="49"/>
      <c r="J19" s="34"/>
      <c r="K19" s="48"/>
      <c r="L19" s="48"/>
      <c r="M19" s="49"/>
      <c r="N19" s="47"/>
      <c r="O19" s="48"/>
      <c r="P19" s="48"/>
      <c r="Q19" s="49"/>
      <c r="R19" s="37"/>
      <c r="S19" s="37"/>
      <c r="T19" s="50"/>
      <c r="U19" s="51"/>
      <c r="V19" s="105"/>
    </row>
    <row r="20" spans="1:22" ht="9.75" customHeight="1">
      <c r="A20" s="5" t="str">
        <f>IF(AND(ISNUMBER(固有値!D20),NOT(ISNUMBER(固有値!D21))),IF(固有値!C21=IF(Overview!P$5="JPN","免震層","IsoLyr")&amp;"→","･","ここまで"),IF(固有値!C20=IF(Overview!P$5="JPN","免震層","IsoLyr")&amp;"→",固有値!C20,"･"))</f>
        <v>･</v>
      </c>
      <c r="B20" s="47"/>
      <c r="C20" s="48"/>
      <c r="D20" s="48"/>
      <c r="E20" s="49"/>
      <c r="F20" s="34"/>
      <c r="G20" s="48"/>
      <c r="H20" s="48"/>
      <c r="I20" s="49"/>
      <c r="J20" s="34"/>
      <c r="K20" s="48"/>
      <c r="L20" s="48"/>
      <c r="M20" s="49"/>
      <c r="N20" s="47"/>
      <c r="O20" s="48"/>
      <c r="P20" s="48"/>
      <c r="Q20" s="49"/>
      <c r="R20" s="37"/>
      <c r="S20" s="37"/>
      <c r="T20" s="50"/>
      <c r="U20" s="51"/>
      <c r="V20" s="105"/>
    </row>
    <row r="21" spans="1:22" ht="9.75" customHeight="1">
      <c r="A21" s="5" t="str">
        <f>IF(AND(ISNUMBER(固有値!D21),NOT(ISNUMBER(固有値!D22))),IF(固有値!C22=IF(Overview!P$5="JPN","免震層","IsoLyr")&amp;"→","･","ここまで"),IF(固有値!C21=IF(Overview!P$5="JPN","免震層","IsoLyr")&amp;"→",固有値!C21,"･"))</f>
        <v>･</v>
      </c>
      <c r="B21" s="47"/>
      <c r="C21" s="48"/>
      <c r="D21" s="48"/>
      <c r="E21" s="49"/>
      <c r="F21" s="34"/>
      <c r="G21" s="48"/>
      <c r="H21" s="48"/>
      <c r="I21" s="49"/>
      <c r="J21" s="34"/>
      <c r="K21" s="48"/>
      <c r="L21" s="48"/>
      <c r="M21" s="49"/>
      <c r="N21" s="47"/>
      <c r="O21" s="48"/>
      <c r="P21" s="48"/>
      <c r="Q21" s="49"/>
      <c r="R21" s="37"/>
      <c r="S21" s="37"/>
      <c r="T21" s="50"/>
      <c r="U21" s="51"/>
      <c r="V21" s="105"/>
    </row>
    <row r="22" spans="1:22" ht="9.75" customHeight="1">
      <c r="A22" s="5" t="str">
        <f>IF(AND(ISNUMBER(固有値!D22),NOT(ISNUMBER(固有値!D23))),IF(固有値!C23=IF(Overview!P$5="JPN","免震層","IsoLyr")&amp;"→","･","ここまで"),IF(固有値!C22=IF(Overview!P$5="JPN","免震層","IsoLyr")&amp;"→",固有値!C22,"･"))</f>
        <v>･</v>
      </c>
      <c r="B22" s="47"/>
      <c r="C22" s="48"/>
      <c r="D22" s="48"/>
      <c r="E22" s="49"/>
      <c r="F22" s="34"/>
      <c r="G22" s="48"/>
      <c r="H22" s="48"/>
      <c r="I22" s="49"/>
      <c r="J22" s="34"/>
      <c r="K22" s="48"/>
      <c r="L22" s="48"/>
      <c r="M22" s="49"/>
      <c r="N22" s="47"/>
      <c r="O22" s="48"/>
      <c r="P22" s="48"/>
      <c r="Q22" s="49"/>
      <c r="R22" s="37"/>
      <c r="S22" s="37"/>
      <c r="T22" s="50"/>
      <c r="U22" s="51"/>
      <c r="V22" s="105"/>
    </row>
    <row r="23" spans="1:22" ht="9.75" customHeight="1">
      <c r="A23" s="5" t="str">
        <f>IF(AND(ISNUMBER(固有値!D23),NOT(ISNUMBER(固有値!D24))),IF(固有値!C24=IF(Overview!P$5="JPN","免震層","IsoLyr")&amp;"→","･","ここまで"),IF(固有値!C23=IF(Overview!P$5="JPN","免震層","IsoLyr")&amp;"→",固有値!C23,"･"))</f>
        <v>･</v>
      </c>
      <c r="B23" s="47"/>
      <c r="C23" s="48"/>
      <c r="D23" s="48"/>
      <c r="E23" s="49"/>
      <c r="F23" s="34"/>
      <c r="G23" s="48"/>
      <c r="H23" s="48"/>
      <c r="I23" s="49"/>
      <c r="J23" s="34"/>
      <c r="K23" s="48"/>
      <c r="L23" s="48"/>
      <c r="M23" s="49"/>
      <c r="N23" s="47"/>
      <c r="O23" s="48"/>
      <c r="P23" s="48"/>
      <c r="Q23" s="49"/>
      <c r="R23" s="37"/>
      <c r="S23" s="37"/>
      <c r="T23" s="50"/>
      <c r="U23" s="51"/>
      <c r="V23" s="105"/>
    </row>
    <row r="24" spans="1:22" ht="9.75" customHeight="1">
      <c r="A24" s="5" t="str">
        <f>IF(AND(ISNUMBER(固有値!D24),NOT(ISNUMBER(固有値!D25))),IF(固有値!C25=IF(Overview!P$5="JPN","免震層","IsoLyr")&amp;"→","･","ここまで"),IF(固有値!C24=IF(Overview!P$5="JPN","免震層","IsoLyr")&amp;"→",固有値!C24,"･"))</f>
        <v>･</v>
      </c>
      <c r="B24" s="47"/>
      <c r="C24" s="48"/>
      <c r="D24" s="48"/>
      <c r="E24" s="49"/>
      <c r="F24" s="34"/>
      <c r="G24" s="48"/>
      <c r="H24" s="48"/>
      <c r="I24" s="49"/>
      <c r="J24" s="34"/>
      <c r="K24" s="48"/>
      <c r="L24" s="48"/>
      <c r="M24" s="49"/>
      <c r="N24" s="47"/>
      <c r="O24" s="48"/>
      <c r="P24" s="48"/>
      <c r="Q24" s="49"/>
      <c r="R24" s="37"/>
      <c r="S24" s="37"/>
      <c r="T24" s="50"/>
      <c r="U24" s="51"/>
      <c r="V24" s="105"/>
    </row>
    <row r="25" spans="1:22" ht="9.75" customHeight="1">
      <c r="A25" s="5" t="str">
        <f>IF(AND(ISNUMBER(固有値!D25),NOT(ISNUMBER(固有値!D26))),IF(固有値!C26=IF(Overview!P$5="JPN","免震層","IsoLyr")&amp;"→","･","ここまで"),IF(固有値!C25=IF(Overview!P$5="JPN","免震層","IsoLyr")&amp;"→",固有値!C25,"･"))</f>
        <v>･</v>
      </c>
      <c r="B25" s="47"/>
      <c r="C25" s="48"/>
      <c r="D25" s="48"/>
      <c r="E25" s="49"/>
      <c r="F25" s="34"/>
      <c r="G25" s="48"/>
      <c r="H25" s="48"/>
      <c r="I25" s="49"/>
      <c r="J25" s="34"/>
      <c r="K25" s="48"/>
      <c r="L25" s="48"/>
      <c r="M25" s="49"/>
      <c r="N25" s="47"/>
      <c r="O25" s="48"/>
      <c r="P25" s="48"/>
      <c r="Q25" s="49"/>
      <c r="R25" s="37"/>
      <c r="S25" s="37"/>
      <c r="T25" s="50"/>
      <c r="U25" s="51"/>
      <c r="V25" s="105"/>
    </row>
    <row r="26" spans="1:22" ht="9.75" customHeight="1">
      <c r="A26" s="5" t="str">
        <f>IF(AND(ISNUMBER(固有値!D26),NOT(ISNUMBER(固有値!D27))),IF(固有値!C27=IF(Overview!P$5="JPN","免震層","IsoLyr")&amp;"→","･","ここまで"),IF(固有値!C26=IF(Overview!P$5="JPN","免震層","IsoLyr")&amp;"→",固有値!C26,"･"))</f>
        <v>･</v>
      </c>
      <c r="B26" s="47"/>
      <c r="C26" s="48"/>
      <c r="D26" s="48"/>
      <c r="E26" s="49"/>
      <c r="F26" s="34"/>
      <c r="G26" s="35"/>
      <c r="H26" s="48"/>
      <c r="I26" s="49"/>
      <c r="J26" s="47"/>
      <c r="K26" s="35"/>
      <c r="L26" s="48"/>
      <c r="M26" s="49"/>
      <c r="N26" s="47"/>
      <c r="O26" s="48"/>
      <c r="P26" s="48"/>
      <c r="Q26" s="49"/>
      <c r="R26" s="37"/>
      <c r="S26" s="37"/>
      <c r="T26" s="50"/>
      <c r="U26" s="51"/>
      <c r="V26" s="105"/>
    </row>
    <row r="27" spans="1:22" ht="9.75" customHeight="1">
      <c r="A27" s="5" t="str">
        <f>IF(AND(ISNUMBER(固有値!D27),NOT(ISNUMBER(固有値!D28))),IF(固有値!C28=IF(Overview!P$5="JPN","免震層","IsoLyr")&amp;"→","･","ここまで"),IF(固有値!C27=IF(Overview!P$5="JPN","免震層","IsoLyr")&amp;"→",固有値!C27,"･"))</f>
        <v>･</v>
      </c>
      <c r="B27" s="47"/>
      <c r="C27" s="48"/>
      <c r="D27" s="48"/>
      <c r="E27" s="49"/>
      <c r="F27" s="34"/>
      <c r="G27" s="35"/>
      <c r="H27" s="48"/>
      <c r="I27" s="49"/>
      <c r="J27" s="47"/>
      <c r="K27" s="35"/>
      <c r="L27" s="48"/>
      <c r="M27" s="49"/>
      <c r="N27" s="47"/>
      <c r="O27" s="48"/>
      <c r="P27" s="48"/>
      <c r="Q27" s="49"/>
      <c r="R27" s="37"/>
      <c r="S27" s="37"/>
      <c r="T27" s="50"/>
      <c r="U27" s="51"/>
      <c r="V27" s="105"/>
    </row>
    <row r="28" spans="1:22" ht="9.75" customHeight="1">
      <c r="A28" s="5" t="str">
        <f>IF(AND(ISNUMBER(固有値!D28),NOT(ISNUMBER(固有値!D29))),IF(固有値!C29=IF(Overview!P$5="JPN","免震層","IsoLyr")&amp;"→","･","ここまで"),IF(固有値!C28=IF(Overview!P$5="JPN","免震層","IsoLyr")&amp;"→",固有値!C28,"･"))</f>
        <v>･</v>
      </c>
      <c r="B28" s="34"/>
      <c r="C28" s="35"/>
      <c r="D28" s="35"/>
      <c r="E28" s="36"/>
      <c r="F28" s="34"/>
      <c r="G28" s="35"/>
      <c r="H28" s="35"/>
      <c r="I28" s="36"/>
      <c r="J28" s="34"/>
      <c r="K28" s="35"/>
      <c r="L28" s="35"/>
      <c r="M28" s="36"/>
      <c r="N28" s="34"/>
      <c r="O28" s="35"/>
      <c r="P28" s="35"/>
      <c r="Q28" s="36"/>
      <c r="R28" s="37"/>
      <c r="S28" s="37"/>
      <c r="T28" s="37"/>
      <c r="U28" s="38"/>
      <c r="V28" s="105"/>
    </row>
    <row r="29" spans="1:22" ht="9.75" customHeight="1">
      <c r="A29" s="5" t="str">
        <f>IF(AND(ISNUMBER(固有値!D29),NOT(ISNUMBER(固有値!D30))),IF(固有値!C30=IF(Overview!P$5="JPN","免震層","IsoLyr")&amp;"→","･","ここまで"),IF(固有値!C29=IF(Overview!P$5="JPN","免震層","IsoLyr")&amp;"→",固有値!C29,"･"))</f>
        <v>･</v>
      </c>
      <c r="B29" s="47"/>
      <c r="C29" s="48"/>
      <c r="D29" s="48"/>
      <c r="E29" s="49"/>
      <c r="F29" s="34"/>
      <c r="G29" s="35"/>
      <c r="H29" s="48"/>
      <c r="I29" s="49"/>
      <c r="J29" s="47"/>
      <c r="K29" s="35"/>
      <c r="L29" s="48"/>
      <c r="M29" s="49"/>
      <c r="N29" s="47"/>
      <c r="O29" s="48"/>
      <c r="P29" s="48"/>
      <c r="Q29" s="49"/>
      <c r="R29" s="37"/>
      <c r="S29" s="37"/>
      <c r="T29" s="50"/>
      <c r="U29" s="51"/>
      <c r="V29" s="105"/>
    </row>
    <row r="30" spans="1:22" ht="9.75" customHeight="1">
      <c r="A30" s="5" t="str">
        <f>IF(AND(ISNUMBER(固有値!D30),NOT(ISNUMBER(固有値!D31))),IF(固有値!C31=IF(Overview!P$5="JPN","免震層","IsoLyr")&amp;"→","･","ここまで"),IF(固有値!C30=IF(Overview!P$5="JPN","免震層","IsoLyr")&amp;"→",固有値!C30,"･"))</f>
        <v>･</v>
      </c>
      <c r="B30" s="47"/>
      <c r="C30" s="48"/>
      <c r="D30" s="48"/>
      <c r="E30" s="49"/>
      <c r="F30" s="34"/>
      <c r="G30" s="35"/>
      <c r="H30" s="48"/>
      <c r="I30" s="49"/>
      <c r="J30" s="47"/>
      <c r="K30" s="35"/>
      <c r="L30" s="48"/>
      <c r="M30" s="49"/>
      <c r="N30" s="47"/>
      <c r="O30" s="48"/>
      <c r="P30" s="48"/>
      <c r="Q30" s="49"/>
      <c r="R30" s="37"/>
      <c r="S30" s="37"/>
      <c r="T30" s="50"/>
      <c r="U30" s="51"/>
      <c r="V30" s="105"/>
    </row>
    <row r="31" spans="1:22" ht="9.75" customHeight="1">
      <c r="A31" s="5" t="str">
        <f>IF(AND(ISNUMBER(固有値!D31),NOT(ISNUMBER(固有値!D32))),IF(固有値!C32=IF(Overview!P$5="JPN","免震層","IsoLyr")&amp;"→","･","ここまで"),IF(固有値!C31=IF(Overview!P$5="JPN","免震層","IsoLyr")&amp;"→",固有値!C31,"･"))</f>
        <v>･</v>
      </c>
      <c r="B31" s="47"/>
      <c r="C31" s="48"/>
      <c r="D31" s="48"/>
      <c r="E31" s="49"/>
      <c r="F31" s="34"/>
      <c r="G31" s="35"/>
      <c r="H31" s="48"/>
      <c r="I31" s="49"/>
      <c r="J31" s="47"/>
      <c r="K31" s="35"/>
      <c r="L31" s="48"/>
      <c r="M31" s="49"/>
      <c r="N31" s="47"/>
      <c r="O31" s="48"/>
      <c r="P31" s="48"/>
      <c r="Q31" s="49"/>
      <c r="R31" s="37"/>
      <c r="S31" s="37"/>
      <c r="T31" s="50"/>
      <c r="U31" s="51"/>
      <c r="V31" s="105"/>
    </row>
    <row r="32" spans="1:22" ht="9.75" customHeight="1">
      <c r="A32" s="5" t="str">
        <f>IF(AND(ISNUMBER(固有値!D32),NOT(ISNUMBER(固有値!D33))),IF(固有値!C33=IF(Overview!P$5="JPN","免震層","IsoLyr")&amp;"→","･","ここまで"),IF(固有値!C32=IF(Overview!P$5="JPN","免震層","IsoLyr")&amp;"→",固有値!C32,"･"))</f>
        <v>･</v>
      </c>
      <c r="B32" s="47"/>
      <c r="C32" s="48"/>
      <c r="D32" s="48"/>
      <c r="E32" s="49"/>
      <c r="F32" s="34"/>
      <c r="G32" s="35"/>
      <c r="H32" s="48"/>
      <c r="I32" s="49"/>
      <c r="J32" s="47"/>
      <c r="K32" s="35"/>
      <c r="L32" s="48"/>
      <c r="M32" s="49"/>
      <c r="N32" s="47"/>
      <c r="O32" s="48"/>
      <c r="P32" s="48"/>
      <c r="Q32" s="49"/>
      <c r="R32" s="37"/>
      <c r="S32" s="37"/>
      <c r="T32" s="50"/>
      <c r="U32" s="51"/>
      <c r="V32" s="105"/>
    </row>
    <row r="33" spans="1:22" ht="9.75" customHeight="1">
      <c r="A33" s="5" t="str">
        <f>IF(AND(ISNUMBER(固有値!D33),NOT(ISNUMBER(固有値!D34))),IF(固有値!C34=IF(Overview!P$5="JPN","免震層","IsoLyr")&amp;"→","･","ここまで"),IF(固有値!C33=IF(Overview!P$5="JPN","免震層","IsoLyr")&amp;"→",固有値!C33,"･"))</f>
        <v>･</v>
      </c>
      <c r="B33" s="47"/>
      <c r="C33" s="48"/>
      <c r="D33" s="48"/>
      <c r="E33" s="49"/>
      <c r="F33" s="47"/>
      <c r="G33" s="48"/>
      <c r="H33" s="48"/>
      <c r="I33" s="49"/>
      <c r="J33" s="47"/>
      <c r="K33" s="48"/>
      <c r="L33" s="48"/>
      <c r="M33" s="49"/>
      <c r="N33" s="47"/>
      <c r="O33" s="48"/>
      <c r="P33" s="48"/>
      <c r="Q33" s="49"/>
      <c r="R33" s="37"/>
      <c r="S33" s="37"/>
      <c r="T33" s="50"/>
      <c r="U33" s="51"/>
      <c r="V33" s="105"/>
    </row>
    <row r="34" spans="1:22" ht="9.75" customHeight="1">
      <c r="A34" s="5" t="str">
        <f>IF(AND(ISNUMBER(固有値!D34),NOT(ISNUMBER(固有値!D35))),IF(固有値!C35=IF(Overview!P$5="JPN","免震層","IsoLyr")&amp;"→","･","ここまで"),IF(固有値!C34=IF(Overview!P$5="JPN","免震層","IsoLyr")&amp;"→",固有値!C34,"･"))</f>
        <v>･</v>
      </c>
      <c r="B34" s="47"/>
      <c r="C34" s="48"/>
      <c r="D34" s="48"/>
      <c r="E34" s="49"/>
      <c r="F34" s="47"/>
      <c r="G34" s="48"/>
      <c r="H34" s="48"/>
      <c r="I34" s="49"/>
      <c r="J34" s="47"/>
      <c r="K34" s="48"/>
      <c r="L34" s="48"/>
      <c r="M34" s="49"/>
      <c r="N34" s="47"/>
      <c r="O34" s="48"/>
      <c r="P34" s="48"/>
      <c r="Q34" s="49"/>
      <c r="R34" s="37"/>
      <c r="S34" s="37"/>
      <c r="T34" s="50"/>
      <c r="U34" s="51"/>
      <c r="V34" s="105"/>
    </row>
    <row r="35" spans="1:22" ht="9.75" customHeight="1">
      <c r="A35" s="5" t="str">
        <f>IF(AND(ISNUMBER(固有値!D35),NOT(ISNUMBER(固有値!D36))),IF(固有値!C36=IF(Overview!P$5="JPN","免震層","IsoLyr")&amp;"→","･","ここまで"),IF(固有値!C35=IF(Overview!P$5="JPN","免震層","IsoLyr")&amp;"→",固有値!C35,"･"))</f>
        <v>･</v>
      </c>
      <c r="B35" s="47"/>
      <c r="C35" s="48"/>
      <c r="D35" s="48"/>
      <c r="E35" s="49"/>
      <c r="F35" s="47"/>
      <c r="G35" s="48"/>
      <c r="H35" s="48"/>
      <c r="I35" s="49"/>
      <c r="J35" s="47"/>
      <c r="K35" s="48"/>
      <c r="L35" s="48"/>
      <c r="M35" s="49"/>
      <c r="N35" s="47"/>
      <c r="O35" s="48"/>
      <c r="P35" s="48"/>
      <c r="Q35" s="49"/>
      <c r="R35" s="37"/>
      <c r="S35" s="37"/>
      <c r="T35" s="50"/>
      <c r="U35" s="51"/>
      <c r="V35" s="105"/>
    </row>
    <row r="36" spans="1:22" ht="9.75" customHeight="1">
      <c r="A36" s="5" t="str">
        <f>IF(AND(ISNUMBER(固有値!D36),NOT(ISNUMBER(固有値!D37))),IF(固有値!C37=IF(Overview!P$5="JPN","免震層","IsoLyr")&amp;"→","･","ここまで"),IF(固有値!C36=IF(Overview!P$5="JPN","免震層","IsoLyr")&amp;"→",固有値!C36,"･"))</f>
        <v>･</v>
      </c>
      <c r="B36" s="47"/>
      <c r="C36" s="48"/>
      <c r="D36" s="48"/>
      <c r="E36" s="49"/>
      <c r="F36" s="47"/>
      <c r="G36" s="48"/>
      <c r="H36" s="48"/>
      <c r="I36" s="49"/>
      <c r="J36" s="47"/>
      <c r="K36" s="48"/>
      <c r="L36" s="48"/>
      <c r="M36" s="49"/>
      <c r="N36" s="47"/>
      <c r="O36" s="48"/>
      <c r="P36" s="48"/>
      <c r="Q36" s="49"/>
      <c r="R36" s="37"/>
      <c r="S36" s="37"/>
      <c r="T36" s="50"/>
      <c r="U36" s="51"/>
      <c r="V36" s="105"/>
    </row>
    <row r="37" spans="1:22" ht="9.75" customHeight="1">
      <c r="A37" s="5" t="str">
        <f>IF(AND(ISNUMBER(固有値!D37),NOT(ISNUMBER(固有値!D38))),IF(固有値!C38=IF(Overview!P$5="JPN","免震層","IsoLyr")&amp;"→","･","ここまで"),IF(固有値!C37=IF(Overview!P$5="JPN","免震層","IsoLyr")&amp;"→",固有値!C37,"･"))</f>
        <v>･</v>
      </c>
      <c r="B37" s="47"/>
      <c r="C37" s="48"/>
      <c r="D37" s="48"/>
      <c r="E37" s="49"/>
      <c r="F37" s="47"/>
      <c r="G37" s="48"/>
      <c r="H37" s="48"/>
      <c r="I37" s="49"/>
      <c r="J37" s="47"/>
      <c r="K37" s="48"/>
      <c r="L37" s="48"/>
      <c r="M37" s="49"/>
      <c r="N37" s="47"/>
      <c r="O37" s="48"/>
      <c r="P37" s="48"/>
      <c r="Q37" s="49"/>
      <c r="R37" s="37"/>
      <c r="S37" s="37"/>
      <c r="T37" s="50"/>
      <c r="U37" s="51"/>
      <c r="V37" s="105"/>
    </row>
    <row r="38" spans="1:22" ht="9.75" customHeight="1">
      <c r="A38" s="5" t="str">
        <f>IF(AND(ISNUMBER(固有値!D38),NOT(ISNUMBER(固有値!D39))),IF(固有値!C39=IF(Overview!P$5="JPN","免震層","IsoLyr")&amp;"→","･","ここまで"),IF(固有値!C38=IF(Overview!P$5="JPN","免震層","IsoLyr")&amp;"→",固有値!C38,"･"))</f>
        <v>･</v>
      </c>
      <c r="B38" s="47"/>
      <c r="C38" s="48"/>
      <c r="D38" s="48"/>
      <c r="E38" s="49"/>
      <c r="F38" s="47"/>
      <c r="G38" s="48"/>
      <c r="H38" s="48"/>
      <c r="I38" s="49"/>
      <c r="J38" s="47"/>
      <c r="K38" s="48"/>
      <c r="L38" s="48"/>
      <c r="M38" s="49"/>
      <c r="N38" s="47"/>
      <c r="O38" s="48"/>
      <c r="P38" s="48"/>
      <c r="Q38" s="49"/>
      <c r="R38" s="37"/>
      <c r="S38" s="37"/>
      <c r="T38" s="50"/>
      <c r="U38" s="51"/>
      <c r="V38" s="105"/>
    </row>
    <row r="39" spans="1:22" ht="9.75" customHeight="1">
      <c r="A39" s="5" t="str">
        <f>IF(AND(ISNUMBER(固有値!D39),NOT(ISNUMBER(固有値!D40))),IF(固有値!C40=IF(Overview!P$5="JPN","免震層","IsoLyr")&amp;"→","･","ここまで"),IF(固有値!C39=IF(Overview!P$5="JPN","免震層","IsoLyr")&amp;"→",固有値!C39,"･"))</f>
        <v>･</v>
      </c>
      <c r="B39" s="47"/>
      <c r="C39" s="48"/>
      <c r="D39" s="48"/>
      <c r="E39" s="49"/>
      <c r="F39" s="47"/>
      <c r="G39" s="48"/>
      <c r="H39" s="48"/>
      <c r="I39" s="49"/>
      <c r="J39" s="47"/>
      <c r="K39" s="48"/>
      <c r="L39" s="48"/>
      <c r="M39" s="49"/>
      <c r="N39" s="47"/>
      <c r="O39" s="48"/>
      <c r="P39" s="48"/>
      <c r="Q39" s="49"/>
      <c r="R39" s="37"/>
      <c r="S39" s="37"/>
      <c r="T39" s="50"/>
      <c r="U39" s="51"/>
      <c r="V39" s="105"/>
    </row>
    <row r="40" spans="1:22" ht="9.75" customHeight="1">
      <c r="A40" s="5" t="str">
        <f>IF(AND(ISNUMBER(固有値!D40),NOT(ISNUMBER(固有値!D41))),IF(固有値!C41=IF(Overview!P$5="JPN","免震層","IsoLyr")&amp;"→","･","ここまで"),IF(固有値!C40=IF(Overview!P$5="JPN","免震層","IsoLyr")&amp;"→",固有値!C40,"･"))</f>
        <v>･</v>
      </c>
      <c r="B40" s="47"/>
      <c r="C40" s="48"/>
      <c r="D40" s="48"/>
      <c r="E40" s="49"/>
      <c r="F40" s="47"/>
      <c r="G40" s="48"/>
      <c r="H40" s="48"/>
      <c r="I40" s="49"/>
      <c r="J40" s="47"/>
      <c r="K40" s="48"/>
      <c r="L40" s="48"/>
      <c r="M40" s="49"/>
      <c r="N40" s="47"/>
      <c r="O40" s="48"/>
      <c r="P40" s="48"/>
      <c r="Q40" s="49"/>
      <c r="R40" s="37"/>
      <c r="S40" s="37"/>
      <c r="T40" s="50"/>
      <c r="U40" s="51"/>
      <c r="V40" s="105"/>
    </row>
    <row r="41" spans="1:22" ht="9.75" customHeight="1">
      <c r="A41" s="5" t="str">
        <f>IF(AND(ISNUMBER(固有値!D41),NOT(ISNUMBER(固有値!D42))),IF(固有値!C42=IF(Overview!P$5="JPN","免震層","IsoLyr")&amp;"→","･","ここまで"),IF(固有値!C41=IF(Overview!P$5="JPN","免震層","IsoLyr")&amp;"→",固有値!C41,"･"))</f>
        <v>･</v>
      </c>
      <c r="B41" s="47"/>
      <c r="C41" s="48"/>
      <c r="D41" s="48"/>
      <c r="E41" s="49"/>
      <c r="F41" s="47"/>
      <c r="G41" s="48"/>
      <c r="H41" s="48"/>
      <c r="I41" s="49"/>
      <c r="J41" s="47"/>
      <c r="K41" s="48"/>
      <c r="L41" s="48"/>
      <c r="M41" s="49"/>
      <c r="N41" s="47"/>
      <c r="O41" s="48"/>
      <c r="P41" s="48"/>
      <c r="Q41" s="49"/>
      <c r="R41" s="37"/>
      <c r="S41" s="37"/>
      <c r="T41" s="50"/>
      <c r="U41" s="51"/>
      <c r="V41" s="105"/>
    </row>
    <row r="42" spans="1:22" ht="9.75" customHeight="1">
      <c r="A42" s="5" t="str">
        <f>IF(AND(ISNUMBER(固有値!D42),NOT(ISNUMBER(固有値!D43))),IF(固有値!C43=IF(Overview!P$5="JPN","免震層","IsoLyr")&amp;"→","･","ここまで"),IF(固有値!C42=IF(Overview!P$5="JPN","免震層","IsoLyr")&amp;"→",固有値!C42,"･"))</f>
        <v>･</v>
      </c>
      <c r="B42" s="47"/>
      <c r="C42" s="48"/>
      <c r="D42" s="48"/>
      <c r="E42" s="49"/>
      <c r="F42" s="47"/>
      <c r="G42" s="48"/>
      <c r="H42" s="48"/>
      <c r="I42" s="49"/>
      <c r="J42" s="47"/>
      <c r="K42" s="48"/>
      <c r="L42" s="48"/>
      <c r="M42" s="49"/>
      <c r="N42" s="47"/>
      <c r="O42" s="48"/>
      <c r="P42" s="48"/>
      <c r="Q42" s="49"/>
      <c r="R42" s="37"/>
      <c r="S42" s="37"/>
      <c r="T42" s="50"/>
      <c r="U42" s="51"/>
      <c r="V42" s="105"/>
    </row>
    <row r="43" spans="1:22" ht="9.75" customHeight="1">
      <c r="A43" s="5" t="str">
        <f>IF(AND(ISNUMBER(固有値!D43),NOT(ISNUMBER(固有値!D44))),IF(固有値!C44=IF(Overview!P$5="JPN","免震層","IsoLyr")&amp;"→","･","ここまで"),IF(固有値!C43=IF(Overview!P$5="JPN","免震層","IsoLyr")&amp;"→",固有値!C43,"･"))</f>
        <v>･</v>
      </c>
      <c r="B43" s="47"/>
      <c r="C43" s="48"/>
      <c r="D43" s="48"/>
      <c r="E43" s="49"/>
      <c r="F43" s="47"/>
      <c r="G43" s="48"/>
      <c r="H43" s="48"/>
      <c r="I43" s="49"/>
      <c r="J43" s="47"/>
      <c r="K43" s="48"/>
      <c r="L43" s="48"/>
      <c r="M43" s="49"/>
      <c r="N43" s="47"/>
      <c r="O43" s="48"/>
      <c r="P43" s="48"/>
      <c r="Q43" s="49"/>
      <c r="R43" s="37"/>
      <c r="S43" s="37"/>
      <c r="T43" s="50"/>
      <c r="U43" s="51"/>
      <c r="V43" s="105"/>
    </row>
    <row r="44" spans="1:22" ht="9.75" customHeight="1">
      <c r="A44" s="5" t="str">
        <f>IF(AND(ISNUMBER(固有値!D44),NOT(ISNUMBER(固有値!D45))),IF(固有値!C45=IF(Overview!P$5="JPN","免震層","IsoLyr")&amp;"→","･","ここまで"),IF(固有値!C44=IF(Overview!P$5="JPN","免震層","IsoLyr")&amp;"→",固有値!C44,"･"))</f>
        <v>･</v>
      </c>
      <c r="B44" s="47"/>
      <c r="C44" s="48"/>
      <c r="D44" s="48"/>
      <c r="E44" s="49"/>
      <c r="F44" s="47"/>
      <c r="G44" s="48"/>
      <c r="H44" s="48"/>
      <c r="I44" s="49"/>
      <c r="J44" s="47"/>
      <c r="K44" s="48"/>
      <c r="L44" s="48"/>
      <c r="M44" s="49"/>
      <c r="N44" s="47"/>
      <c r="O44" s="48"/>
      <c r="P44" s="48"/>
      <c r="Q44" s="49"/>
      <c r="R44" s="37"/>
      <c r="S44" s="37"/>
      <c r="T44" s="50"/>
      <c r="U44" s="51"/>
      <c r="V44" s="105"/>
    </row>
    <row r="45" spans="1:22" ht="9.75" customHeight="1">
      <c r="A45" s="5" t="str">
        <f>IF(AND(ISNUMBER(固有値!D45),NOT(ISNUMBER(固有値!D46))),IF(固有値!C46=IF(Overview!P$5="JPN","免震層","IsoLyr")&amp;"→","･","ここまで"),IF(固有値!C45=IF(Overview!P$5="JPN","免震層","IsoLyr")&amp;"→",固有値!C45,"･"))</f>
        <v>･</v>
      </c>
      <c r="B45" s="47"/>
      <c r="C45" s="48"/>
      <c r="D45" s="48"/>
      <c r="E45" s="49"/>
      <c r="F45" s="47"/>
      <c r="G45" s="48"/>
      <c r="H45" s="48"/>
      <c r="I45" s="49"/>
      <c r="J45" s="47"/>
      <c r="K45" s="48"/>
      <c r="L45" s="48"/>
      <c r="M45" s="49"/>
      <c r="N45" s="47"/>
      <c r="O45" s="48"/>
      <c r="P45" s="48"/>
      <c r="Q45" s="49"/>
      <c r="R45" s="37"/>
      <c r="S45" s="37"/>
      <c r="T45" s="50"/>
      <c r="U45" s="51"/>
      <c r="V45" s="105"/>
    </row>
    <row r="46" spans="1:22" ht="9.75" customHeight="1">
      <c r="A46" s="5" t="str">
        <f>IF(AND(ISNUMBER(固有値!D46),NOT(ISNUMBER(固有値!D47))),IF(固有値!C47=IF(Overview!P$5="JPN","免震層","IsoLyr")&amp;"→","･","ここまで"),IF(固有値!C46=IF(Overview!P$5="JPN","免震層","IsoLyr")&amp;"→",固有値!C46,"･"))</f>
        <v>･</v>
      </c>
      <c r="B46" s="47"/>
      <c r="C46" s="48"/>
      <c r="D46" s="48"/>
      <c r="E46" s="49"/>
      <c r="F46" s="47"/>
      <c r="G46" s="48"/>
      <c r="H46" s="48"/>
      <c r="I46" s="49"/>
      <c r="J46" s="47"/>
      <c r="K46" s="48"/>
      <c r="L46" s="48"/>
      <c r="M46" s="49"/>
      <c r="N46" s="47"/>
      <c r="O46" s="48"/>
      <c r="P46" s="48"/>
      <c r="Q46" s="49"/>
      <c r="R46" s="37"/>
      <c r="S46" s="37"/>
      <c r="T46" s="50"/>
      <c r="U46" s="51"/>
      <c r="V46" s="105"/>
    </row>
    <row r="47" spans="1:22" ht="9.75" customHeight="1">
      <c r="A47" s="5" t="str">
        <f>IF(AND(ISNUMBER(固有値!D47),NOT(ISNUMBER(固有値!D48))),IF(固有値!C48=IF(Overview!P$5="JPN","免震層","IsoLyr")&amp;"→","･","ここまで"),IF(固有値!C47=IF(Overview!P$5="JPN","免震層","IsoLyr")&amp;"→",固有値!C47,"･"))</f>
        <v>･</v>
      </c>
      <c r="B47" s="47"/>
      <c r="C47" s="48"/>
      <c r="D47" s="48"/>
      <c r="E47" s="49"/>
      <c r="F47" s="47"/>
      <c r="G47" s="48"/>
      <c r="H47" s="48"/>
      <c r="I47" s="49"/>
      <c r="J47" s="47"/>
      <c r="K47" s="48"/>
      <c r="L47" s="48"/>
      <c r="M47" s="49"/>
      <c r="N47" s="47"/>
      <c r="O47" s="48"/>
      <c r="P47" s="48"/>
      <c r="Q47" s="49"/>
      <c r="R47" s="37"/>
      <c r="S47" s="37"/>
      <c r="T47" s="50"/>
      <c r="U47" s="51"/>
      <c r="V47" s="105"/>
    </row>
    <row r="48" spans="1:22" ht="9.75" customHeight="1">
      <c r="A48" s="5" t="str">
        <f>IF(AND(ISNUMBER(固有値!D48),NOT(ISNUMBER(固有値!D49))),IF(固有値!C49=IF(Overview!P$5="JPN","免震層","IsoLyr")&amp;"→","･","ここまで"),IF(固有値!C48=IF(Overview!P$5="JPN","免震層","IsoLyr")&amp;"→",固有値!C48,"･"))</f>
        <v>･</v>
      </c>
      <c r="B48" s="47"/>
      <c r="C48" s="48"/>
      <c r="D48" s="48"/>
      <c r="E48" s="49"/>
      <c r="F48" s="47"/>
      <c r="G48" s="48"/>
      <c r="H48" s="48"/>
      <c r="I48" s="49"/>
      <c r="J48" s="47"/>
      <c r="K48" s="48"/>
      <c r="L48" s="48"/>
      <c r="M48" s="49"/>
      <c r="N48" s="47"/>
      <c r="O48" s="48"/>
      <c r="P48" s="48"/>
      <c r="Q48" s="49"/>
      <c r="R48" s="37"/>
      <c r="S48" s="37"/>
      <c r="T48" s="50"/>
      <c r="U48" s="51"/>
      <c r="V48" s="105"/>
    </row>
    <row r="49" spans="1:22" ht="9.75" customHeight="1">
      <c r="A49" s="5" t="str">
        <f>IF(AND(ISNUMBER(固有値!D49),NOT(ISNUMBER(固有値!D50))),IF(固有値!C50=IF(Overview!P$5="JPN","免震層","IsoLyr")&amp;"→","･","ここまで"),IF(固有値!C49=IF(Overview!P$5="JPN","免震層","IsoLyr")&amp;"→",固有値!C49,"･"))</f>
        <v>･</v>
      </c>
      <c r="B49" s="47"/>
      <c r="C49" s="48"/>
      <c r="D49" s="48"/>
      <c r="E49" s="49"/>
      <c r="F49" s="47"/>
      <c r="G49" s="48"/>
      <c r="H49" s="48"/>
      <c r="I49" s="49"/>
      <c r="J49" s="47"/>
      <c r="K49" s="48"/>
      <c r="L49" s="48"/>
      <c r="M49" s="49"/>
      <c r="N49" s="47"/>
      <c r="O49" s="48"/>
      <c r="P49" s="48"/>
      <c r="Q49" s="49"/>
      <c r="R49" s="37"/>
      <c r="S49" s="37"/>
      <c r="T49" s="50"/>
      <c r="U49" s="51"/>
      <c r="V49" s="105"/>
    </row>
    <row r="50" spans="1:22" ht="9.75" customHeight="1">
      <c r="A50" s="5" t="str">
        <f>IF(AND(ISNUMBER(固有値!D50),NOT(ISNUMBER(固有値!D51))),IF(固有値!C51=IF(Overview!P$5="JPN","免震層","IsoLyr")&amp;"→","･","ここまで"),IF(固有値!C50=IF(Overview!P$5="JPN","免震層","IsoLyr")&amp;"→",固有値!C50,"･"))</f>
        <v>･</v>
      </c>
      <c r="B50" s="47"/>
      <c r="C50" s="48"/>
      <c r="D50" s="48"/>
      <c r="E50" s="49"/>
      <c r="F50" s="47"/>
      <c r="G50" s="48"/>
      <c r="H50" s="48"/>
      <c r="I50" s="49"/>
      <c r="J50" s="47"/>
      <c r="K50" s="48"/>
      <c r="L50" s="48"/>
      <c r="M50" s="49"/>
      <c r="N50" s="47"/>
      <c r="O50" s="48"/>
      <c r="P50" s="48"/>
      <c r="Q50" s="49"/>
      <c r="R50" s="50"/>
      <c r="S50" s="50"/>
      <c r="T50" s="50"/>
      <c r="U50" s="51"/>
      <c r="V50" s="105"/>
    </row>
    <row r="51" spans="1:22" ht="9.75" customHeight="1">
      <c r="A51" s="5" t="str">
        <f>IF(AND(ISNUMBER(固有値!D51),NOT(ISNUMBER(固有値!D52))),IF(固有値!C52=IF(Overview!P$5="JPN","免震層","IsoLyr")&amp;"→","･","ここまで"),IF(固有値!C51=IF(Overview!P$5="JPN","免震層","IsoLyr")&amp;"→",固有値!C51,"･"))</f>
        <v>･</v>
      </c>
      <c r="B51" s="47"/>
      <c r="C51" s="48"/>
      <c r="D51" s="48"/>
      <c r="E51" s="49"/>
      <c r="F51" s="47"/>
      <c r="G51" s="48"/>
      <c r="H51" s="48"/>
      <c r="I51" s="49"/>
      <c r="J51" s="47"/>
      <c r="K51" s="48"/>
      <c r="L51" s="48"/>
      <c r="M51" s="49"/>
      <c r="N51" s="47"/>
      <c r="O51" s="48"/>
      <c r="P51" s="48"/>
      <c r="Q51" s="49"/>
      <c r="R51" s="50"/>
      <c r="S51" s="50"/>
      <c r="T51" s="50"/>
      <c r="U51" s="51"/>
      <c r="V51" s="105"/>
    </row>
    <row r="52" spans="1:22" ht="9.75" customHeight="1">
      <c r="A52" s="5" t="str">
        <f>IF(AND(ISNUMBER(固有値!D52),NOT(ISNUMBER(固有値!D53))),IF(固有値!C53=IF(Overview!P$5="JPN","免震層","IsoLyr")&amp;"→","･","ここまで"),IF(固有値!C52=IF(Overview!P$5="JPN","免震層","IsoLyr")&amp;"→",固有値!C52,"･"))</f>
        <v>･</v>
      </c>
      <c r="B52" s="61"/>
      <c r="C52" s="62"/>
      <c r="D52" s="62"/>
      <c r="E52" s="63"/>
      <c r="F52" s="61"/>
      <c r="G52" s="62"/>
      <c r="H52" s="62"/>
      <c r="I52" s="63"/>
      <c r="J52" s="61"/>
      <c r="K52" s="62"/>
      <c r="L52" s="62"/>
      <c r="M52" s="63"/>
      <c r="N52" s="61"/>
      <c r="O52" s="62"/>
      <c r="P52" s="62"/>
      <c r="Q52" s="63"/>
      <c r="R52" s="64"/>
      <c r="S52" s="64"/>
      <c r="T52" s="64"/>
      <c r="U52" s="65"/>
      <c r="V52" s="105"/>
    </row>
    <row r="53" spans="1:22" ht="9.75" customHeight="1">
      <c r="B53" s="104"/>
      <c r="C53" s="104"/>
      <c r="D53" s="104"/>
      <c r="E53" s="104"/>
      <c r="F53" s="104"/>
      <c r="G53" s="104"/>
      <c r="H53" s="104"/>
      <c r="I53" s="104"/>
      <c r="J53" s="104"/>
      <c r="K53" s="104"/>
      <c r="L53" s="104"/>
      <c r="M53" s="104"/>
      <c r="N53" s="104"/>
      <c r="O53" s="104"/>
      <c r="P53" s="104"/>
      <c r="Q53" s="104"/>
      <c r="R53" s="104"/>
      <c r="S53" s="104"/>
      <c r="T53" s="104"/>
      <c r="U53" s="104"/>
    </row>
    <row r="54" spans="1:22" ht="9.75" hidden="1" customHeight="1"/>
    <row r="55" spans="1:22" ht="9.75" hidden="1" customHeight="1"/>
    <row r="56" spans="1:22" ht="9.75" hidden="1" customHeight="1"/>
    <row r="57" spans="1:22" ht="9.75" hidden="1" customHeight="1"/>
    <row r="58" spans="1:22" ht="9.75" hidden="1" customHeight="1"/>
    <row r="59" spans="1:22" ht="9.75" hidden="1" customHeight="1"/>
    <row r="60" spans="1:22" ht="9.75" hidden="1" customHeight="1"/>
    <row r="61" spans="1:22" ht="9.75" hidden="1" customHeight="1"/>
    <row r="62" spans="1:22" ht="9.75" hidden="1" customHeight="1"/>
    <row r="63" spans="1:22" ht="9.75" hidden="1" customHeight="1"/>
    <row r="64" spans="1:22" ht="9.75" hidden="1" customHeight="1"/>
    <row r="65" ht="9.75" hidden="1" customHeight="1"/>
    <row r="66" ht="9.75" hidden="1" customHeight="1"/>
    <row r="67" ht="9.75" hidden="1" customHeight="1"/>
    <row r="68" ht="9.75" hidden="1" customHeight="1"/>
    <row r="69" ht="9.75" hidden="1" customHeight="1"/>
    <row r="70" ht="9.75" hidden="1" customHeight="1"/>
    <row r="71" ht="9.75" hidden="1" customHeight="1"/>
    <row r="72" ht="9.75" hidden="1" customHeight="1"/>
    <row r="73" ht="9.75" hidden="1" customHeight="1"/>
    <row r="74" ht="9.75" hidden="1" customHeight="1"/>
    <row r="75" ht="9.75" hidden="1" customHeight="1"/>
    <row r="76" ht="9.75" hidden="1" customHeight="1"/>
    <row r="77" ht="9.75" hidden="1" customHeight="1"/>
    <row r="78" ht="9.75" hidden="1" customHeight="1"/>
    <row r="79" ht="9.75" hidden="1" customHeight="1"/>
    <row r="80" ht="9.75" hidden="1" customHeight="1"/>
    <row r="81" ht="9.75" hidden="1" customHeight="1"/>
    <row r="82" ht="9.75" hidden="1" customHeight="1"/>
    <row r="83" ht="9.75" hidden="1" customHeight="1"/>
    <row r="84" ht="9.75" hidden="1" customHeight="1"/>
    <row r="85" ht="9.75" hidden="1" customHeight="1"/>
    <row r="86" ht="9.75" hidden="1" customHeight="1"/>
    <row r="87" ht="9.75" hidden="1" customHeight="1"/>
    <row r="88" ht="9.75" hidden="1" customHeight="1"/>
    <row r="89" ht="9.75" hidden="1" customHeight="1"/>
    <row r="90" ht="9.75" hidden="1" customHeight="1"/>
    <row r="91" ht="9.75" hidden="1" customHeight="1"/>
    <row r="92" ht="9.75" hidden="1" customHeight="1"/>
    <row r="93" ht="9.75" hidden="1" customHeight="1"/>
    <row r="94" ht="9.75" hidden="1" customHeight="1"/>
    <row r="95" ht="9.75" hidden="1" customHeight="1"/>
    <row r="96" ht="9.75" hidden="1" customHeight="1"/>
    <row r="97" spans="1:60" ht="9.75" hidden="1" customHeight="1"/>
    <row r="98" spans="1:60" ht="9.75" hidden="1" customHeight="1"/>
    <row r="99" spans="1:60" ht="9.75" hidden="1" customHeight="1"/>
    <row r="100" spans="1:60" ht="9.75" hidden="1" customHeight="1"/>
    <row r="101" spans="1:60" ht="9.75" hidden="1" customHeight="1"/>
    <row r="102" spans="1:60" ht="9.75" hidden="1" customHeight="1"/>
    <row r="103" spans="1:60" ht="9.75" hidden="1" customHeight="1"/>
    <row r="104" spans="1:60" ht="9.75" hidden="1" customHeight="1">
      <c r="A104" s="13"/>
      <c r="B104" s="154" t="s">
        <v>100</v>
      </c>
      <c r="C104" s="155"/>
      <c r="D104" s="155"/>
      <c r="E104" s="156"/>
      <c r="F104" s="154" t="s">
        <v>6</v>
      </c>
      <c r="G104" s="155"/>
      <c r="H104" s="155"/>
      <c r="I104" s="156"/>
      <c r="J104" s="154" t="s">
        <v>7</v>
      </c>
      <c r="K104" s="155"/>
      <c r="L104" s="155"/>
      <c r="M104" s="156"/>
      <c r="N104" s="154" t="s">
        <v>8</v>
      </c>
      <c r="O104" s="155"/>
      <c r="P104" s="155"/>
      <c r="Q104" s="156"/>
      <c r="R104" s="155" t="s">
        <v>101</v>
      </c>
      <c r="S104" s="155"/>
      <c r="T104" s="155"/>
      <c r="U104" s="155"/>
      <c r="V104" s="154" t="s">
        <v>102</v>
      </c>
      <c r="W104" s="155"/>
      <c r="X104" s="156"/>
      <c r="Y104" s="154" t="s">
        <v>103</v>
      </c>
      <c r="Z104" s="155"/>
      <c r="AA104" s="156"/>
      <c r="AB104" s="154" t="s">
        <v>104</v>
      </c>
      <c r="AC104" s="155"/>
      <c r="AD104" s="156"/>
      <c r="AE104" s="154" t="s">
        <v>105</v>
      </c>
      <c r="AF104" s="155"/>
      <c r="AG104" s="156"/>
      <c r="AH104" s="154" t="s">
        <v>106</v>
      </c>
      <c r="AI104" s="155"/>
      <c r="AJ104" s="156"/>
      <c r="AK104" s="154" t="s">
        <v>107</v>
      </c>
      <c r="AL104" s="155"/>
      <c r="AM104" s="156"/>
      <c r="AN104" s="154" t="s">
        <v>108</v>
      </c>
      <c r="AO104" s="155"/>
      <c r="AP104" s="156"/>
      <c r="AQ104" s="154" t="s">
        <v>109</v>
      </c>
      <c r="AR104" s="155"/>
      <c r="AS104" s="155"/>
      <c r="AT104" s="154" t="s">
        <v>110</v>
      </c>
      <c r="AU104" s="156"/>
      <c r="AV104" s="154" t="s">
        <v>111</v>
      </c>
      <c r="AW104" s="156"/>
      <c r="AX104" s="154" t="s">
        <v>112</v>
      </c>
      <c r="AY104" s="156"/>
      <c r="AZ104" s="154" t="s">
        <v>113</v>
      </c>
      <c r="BA104" s="156"/>
      <c r="BB104" s="13"/>
      <c r="BC104" s="157" t="s">
        <v>114</v>
      </c>
      <c r="BD104" s="158"/>
      <c r="BE104" s="13" t="s">
        <v>115</v>
      </c>
      <c r="BF104" s="13"/>
      <c r="BG104" s="13"/>
      <c r="BH104" s="13"/>
    </row>
    <row r="105" spans="1:60" ht="9.75" hidden="1" customHeight="1">
      <c r="A105" s="13"/>
      <c r="B105" s="27" t="s">
        <v>63</v>
      </c>
      <c r="C105" s="27" t="s">
        <v>64</v>
      </c>
      <c r="D105" s="27" t="s">
        <v>65</v>
      </c>
      <c r="E105" s="27" t="s">
        <v>66</v>
      </c>
      <c r="F105" s="27" t="s">
        <v>63</v>
      </c>
      <c r="G105" s="27" t="s">
        <v>64</v>
      </c>
      <c r="H105" s="27" t="s">
        <v>65</v>
      </c>
      <c r="I105" s="27" t="s">
        <v>66</v>
      </c>
      <c r="J105" s="27" t="s">
        <v>63</v>
      </c>
      <c r="K105" s="27" t="s">
        <v>64</v>
      </c>
      <c r="L105" s="27" t="s">
        <v>65</v>
      </c>
      <c r="M105" s="27" t="s">
        <v>66</v>
      </c>
      <c r="N105" s="27" t="s">
        <v>63</v>
      </c>
      <c r="O105" s="27" t="s">
        <v>64</v>
      </c>
      <c r="P105" s="27" t="s">
        <v>65</v>
      </c>
      <c r="Q105" s="27" t="s">
        <v>66</v>
      </c>
      <c r="R105" s="25" t="s">
        <v>100</v>
      </c>
      <c r="S105" s="27" t="s">
        <v>6</v>
      </c>
      <c r="T105" s="27" t="s">
        <v>7</v>
      </c>
      <c r="U105" s="24" t="s">
        <v>8</v>
      </c>
      <c r="V105" s="27" t="s">
        <v>116</v>
      </c>
      <c r="W105" s="27" t="s">
        <v>117</v>
      </c>
      <c r="X105" s="27" t="s">
        <v>118</v>
      </c>
      <c r="Y105" s="27" t="s">
        <v>116</v>
      </c>
      <c r="Z105" s="27" t="s">
        <v>117</v>
      </c>
      <c r="AA105" s="27" t="s">
        <v>118</v>
      </c>
      <c r="AB105" s="27" t="s">
        <v>116</v>
      </c>
      <c r="AC105" s="27" t="s">
        <v>117</v>
      </c>
      <c r="AD105" s="27" t="s">
        <v>118</v>
      </c>
      <c r="AE105" s="27" t="s">
        <v>116</v>
      </c>
      <c r="AF105" s="27" t="s">
        <v>117</v>
      </c>
      <c r="AG105" s="27" t="s">
        <v>118</v>
      </c>
      <c r="AH105" s="27" t="s">
        <v>116</v>
      </c>
      <c r="AI105" s="27" t="s">
        <v>117</v>
      </c>
      <c r="AJ105" s="27" t="s">
        <v>118</v>
      </c>
      <c r="AK105" s="27" t="s">
        <v>116</v>
      </c>
      <c r="AL105" s="27" t="s">
        <v>117</v>
      </c>
      <c r="AM105" s="27" t="s">
        <v>118</v>
      </c>
      <c r="AN105" s="27" t="s">
        <v>116</v>
      </c>
      <c r="AO105" s="27" t="s">
        <v>117</v>
      </c>
      <c r="AP105" s="27" t="s">
        <v>118</v>
      </c>
      <c r="AQ105" s="27" t="s">
        <v>116</v>
      </c>
      <c r="AR105" s="27" t="s">
        <v>117</v>
      </c>
      <c r="AS105" s="24" t="s">
        <v>118</v>
      </c>
      <c r="AT105" s="27" t="s">
        <v>100</v>
      </c>
      <c r="AU105" s="27" t="s">
        <v>6</v>
      </c>
      <c r="AV105" s="27" t="s">
        <v>100</v>
      </c>
      <c r="AW105" s="27" t="s">
        <v>6</v>
      </c>
      <c r="AX105" s="27" t="s">
        <v>100</v>
      </c>
      <c r="AY105" s="27" t="s">
        <v>6</v>
      </c>
      <c r="AZ105" s="27" t="s">
        <v>100</v>
      </c>
      <c r="BA105" s="27" t="s">
        <v>6</v>
      </c>
      <c r="BB105" s="13"/>
      <c r="BC105" s="53" t="s">
        <v>102</v>
      </c>
      <c r="BD105" s="54" t="s">
        <v>103</v>
      </c>
      <c r="BE105" s="53" t="s">
        <v>119</v>
      </c>
      <c r="BF105" s="54" t="s">
        <v>120</v>
      </c>
      <c r="BG105" s="53" t="s">
        <v>104</v>
      </c>
      <c r="BH105" s="54" t="s">
        <v>105</v>
      </c>
    </row>
    <row r="106" spans="1:60" ht="9.75" hidden="1" customHeight="1">
      <c r="A106" s="5" t="str">
        <f>A3</f>
        <v>･</v>
      </c>
      <c r="B106" s="34"/>
      <c r="C106" s="35"/>
      <c r="D106" s="35"/>
      <c r="E106" s="36"/>
      <c r="F106" s="34"/>
      <c r="G106" s="35"/>
      <c r="H106" s="35"/>
      <c r="I106" s="36"/>
      <c r="J106" s="34"/>
      <c r="K106" s="35"/>
      <c r="L106" s="35"/>
      <c r="M106" s="36"/>
      <c r="N106" s="34"/>
      <c r="O106" s="35"/>
      <c r="P106" s="35"/>
      <c r="Q106" s="36"/>
      <c r="R106" s="57"/>
      <c r="S106" s="58"/>
      <c r="T106" s="58"/>
      <c r="U106" s="59"/>
      <c r="V106" s="57"/>
      <c r="W106" s="58"/>
      <c r="X106" s="59"/>
      <c r="Y106" s="57"/>
      <c r="Z106" s="58"/>
      <c r="AA106" s="59"/>
      <c r="AB106" s="57"/>
      <c r="AC106" s="58"/>
      <c r="AD106" s="59"/>
      <c r="AE106" s="57"/>
      <c r="AF106" s="58"/>
      <c r="AG106" s="59"/>
      <c r="AH106" s="57"/>
      <c r="AI106" s="58"/>
      <c r="AJ106" s="59"/>
      <c r="AK106" s="57"/>
      <c r="AL106" s="58"/>
      <c r="AM106" s="59"/>
      <c r="AN106" s="57"/>
      <c r="AO106" s="58"/>
      <c r="AP106" s="59"/>
      <c r="AQ106" s="57"/>
      <c r="AR106" s="58"/>
      <c r="AS106" s="59"/>
      <c r="AT106" s="57"/>
      <c r="AU106" s="59"/>
      <c r="AV106" s="57"/>
      <c r="AW106" s="59"/>
      <c r="AX106" s="57"/>
      <c r="AY106" s="59"/>
      <c r="AZ106" s="57"/>
      <c r="BA106" s="59"/>
      <c r="BB106" s="13"/>
      <c r="BC106" s="55" t="str">
        <f t="shared" ref="BC106:BC137" si="0">IF(ISNUMBER(V106),IF(BC$104="μ=η/2+1",V106,IF(BC$104="manual5.3",W106,X106)),"･")</f>
        <v>･</v>
      </c>
      <c r="BD106" s="40" t="str">
        <f t="shared" ref="BD106:BD137" si="1">IF(ISNUMBER(Y106),IF(BC$104="μ=η/2+1",Y106,IF(BC$104="manual5.3",Z106,AA106)),"･")</f>
        <v>･</v>
      </c>
      <c r="BE106" s="55" t="str">
        <f>IF(ISNUMBER(BC106),BC106/固有値!E3,"･")</f>
        <v>･</v>
      </c>
      <c r="BF106" s="40" t="str">
        <f>IF(ISNUMBER(BD106),BD106/固有値!E3,"･")</f>
        <v>･</v>
      </c>
      <c r="BG106" s="55" t="str">
        <f t="shared" ref="BG106:BG137" si="2">IF(ISNUMBER(AB106),IF(BC$104="μ=η/2+1",AB106,IF(BC$104="manual5.3",AC106,AD106)),"･")</f>
        <v>･</v>
      </c>
      <c r="BH106" s="40" t="str">
        <f t="shared" ref="BH106:BH137" si="3">IF(ISNUMBER(AE106),IF(BC$104="μ=η/2+1",AE106,IF(BC$104="manual5.3",AF106,AG106)),"･")</f>
        <v>･</v>
      </c>
    </row>
    <row r="107" spans="1:60" ht="9.75" hidden="1" customHeight="1">
      <c r="A107" s="5" t="str">
        <f t="shared" ref="A107:A155" si="4">A4</f>
        <v>･</v>
      </c>
      <c r="B107" s="47"/>
      <c r="C107" s="48"/>
      <c r="D107" s="48"/>
      <c r="E107" s="49"/>
      <c r="F107" s="47"/>
      <c r="G107" s="48"/>
      <c r="H107" s="48"/>
      <c r="I107" s="49"/>
      <c r="J107" s="47"/>
      <c r="K107" s="48"/>
      <c r="L107" s="48"/>
      <c r="M107" s="49"/>
      <c r="N107" s="47"/>
      <c r="O107" s="48"/>
      <c r="P107" s="48"/>
      <c r="Q107" s="49"/>
      <c r="R107" s="34"/>
      <c r="S107" s="48"/>
      <c r="T107" s="35"/>
      <c r="U107" s="49"/>
      <c r="V107" s="47"/>
      <c r="W107" s="48"/>
      <c r="X107" s="49"/>
      <c r="Y107" s="47"/>
      <c r="Z107" s="48"/>
      <c r="AA107" s="49"/>
      <c r="AB107" s="47"/>
      <c r="AC107" s="48"/>
      <c r="AD107" s="49"/>
      <c r="AE107" s="47"/>
      <c r="AF107" s="48"/>
      <c r="AG107" s="49"/>
      <c r="AH107" s="47"/>
      <c r="AI107" s="48"/>
      <c r="AJ107" s="49"/>
      <c r="AK107" s="47"/>
      <c r="AL107" s="48"/>
      <c r="AM107" s="49"/>
      <c r="AN107" s="47"/>
      <c r="AO107" s="48"/>
      <c r="AP107" s="49"/>
      <c r="AQ107" s="47"/>
      <c r="AR107" s="48"/>
      <c r="AS107" s="49"/>
      <c r="AT107" s="47"/>
      <c r="AU107" s="49"/>
      <c r="AV107" s="47"/>
      <c r="AW107" s="49"/>
      <c r="AX107" s="47"/>
      <c r="AY107" s="49"/>
      <c r="AZ107" s="47"/>
      <c r="BA107" s="49"/>
      <c r="BB107" s="13"/>
      <c r="BC107" s="56" t="str">
        <f t="shared" si="0"/>
        <v>･</v>
      </c>
      <c r="BD107" s="44" t="str">
        <f t="shared" si="1"/>
        <v>･</v>
      </c>
      <c r="BE107" s="56" t="str">
        <f>IF(ISNUMBER(BC107),BC107/固有値!E4,"･")</f>
        <v>･</v>
      </c>
      <c r="BF107" s="44" t="str">
        <f>IF(ISNUMBER(BD107),BD107/固有値!E4,"･")</f>
        <v>･</v>
      </c>
      <c r="BG107" s="56" t="str">
        <f t="shared" si="2"/>
        <v>･</v>
      </c>
      <c r="BH107" s="44" t="str">
        <f t="shared" si="3"/>
        <v>･</v>
      </c>
    </row>
    <row r="108" spans="1:60" ht="9.75" hidden="1" customHeight="1">
      <c r="A108" s="5" t="str">
        <f t="shared" si="4"/>
        <v>･</v>
      </c>
      <c r="B108" s="47"/>
      <c r="C108" s="48"/>
      <c r="D108" s="48"/>
      <c r="E108" s="49"/>
      <c r="F108" s="47"/>
      <c r="G108" s="48"/>
      <c r="H108" s="48"/>
      <c r="I108" s="49"/>
      <c r="J108" s="47"/>
      <c r="K108" s="48"/>
      <c r="L108" s="48"/>
      <c r="M108" s="49"/>
      <c r="N108" s="47"/>
      <c r="O108" s="48"/>
      <c r="P108" s="48"/>
      <c r="Q108" s="49"/>
      <c r="R108" s="34"/>
      <c r="S108" s="35"/>
      <c r="T108" s="35"/>
      <c r="U108" s="36"/>
      <c r="V108" s="47"/>
      <c r="W108" s="48"/>
      <c r="X108" s="49"/>
      <c r="Y108" s="47"/>
      <c r="Z108" s="48"/>
      <c r="AA108" s="49"/>
      <c r="AB108" s="47"/>
      <c r="AC108" s="48"/>
      <c r="AD108" s="49"/>
      <c r="AE108" s="47"/>
      <c r="AF108" s="48"/>
      <c r="AG108" s="49"/>
      <c r="AH108" s="47"/>
      <c r="AI108" s="48"/>
      <c r="AJ108" s="49"/>
      <c r="AK108" s="47"/>
      <c r="AL108" s="48"/>
      <c r="AM108" s="49"/>
      <c r="AN108" s="47"/>
      <c r="AO108" s="48"/>
      <c r="AP108" s="49"/>
      <c r="AQ108" s="47"/>
      <c r="AR108" s="48"/>
      <c r="AS108" s="49"/>
      <c r="AT108" s="47"/>
      <c r="AU108" s="49"/>
      <c r="AV108" s="47"/>
      <c r="AW108" s="49"/>
      <c r="AX108" s="47"/>
      <c r="AY108" s="49"/>
      <c r="AZ108" s="47"/>
      <c r="BA108" s="49"/>
      <c r="BB108" s="13"/>
      <c r="BC108" s="56" t="str">
        <f t="shared" si="0"/>
        <v>･</v>
      </c>
      <c r="BD108" s="44" t="str">
        <f t="shared" si="1"/>
        <v>･</v>
      </c>
      <c r="BE108" s="56" t="str">
        <f>IF(ISNUMBER(BC108),BC108/固有値!E5,"･")</f>
        <v>･</v>
      </c>
      <c r="BF108" s="44" t="str">
        <f>IF(ISNUMBER(BD108),BD108/固有値!E5,"･")</f>
        <v>･</v>
      </c>
      <c r="BG108" s="56" t="str">
        <f t="shared" si="2"/>
        <v>･</v>
      </c>
      <c r="BH108" s="44" t="str">
        <f t="shared" si="3"/>
        <v>･</v>
      </c>
    </row>
    <row r="109" spans="1:60" ht="9.75" hidden="1" customHeight="1">
      <c r="A109" s="5" t="str">
        <f t="shared" si="4"/>
        <v>･</v>
      </c>
      <c r="B109" s="47"/>
      <c r="C109" s="48"/>
      <c r="D109" s="48"/>
      <c r="E109" s="49"/>
      <c r="F109" s="47"/>
      <c r="G109" s="48"/>
      <c r="H109" s="48"/>
      <c r="I109" s="49"/>
      <c r="J109" s="47"/>
      <c r="K109" s="48"/>
      <c r="L109" s="48"/>
      <c r="M109" s="49"/>
      <c r="N109" s="47"/>
      <c r="O109" s="48"/>
      <c r="P109" s="48"/>
      <c r="Q109" s="49"/>
      <c r="R109" s="34"/>
      <c r="S109" s="48"/>
      <c r="T109" s="35"/>
      <c r="U109" s="49"/>
      <c r="V109" s="47"/>
      <c r="W109" s="48"/>
      <c r="X109" s="49"/>
      <c r="Y109" s="47"/>
      <c r="Z109" s="48"/>
      <c r="AA109" s="49"/>
      <c r="AB109" s="47"/>
      <c r="AC109" s="48"/>
      <c r="AD109" s="49"/>
      <c r="AE109" s="47"/>
      <c r="AF109" s="48"/>
      <c r="AG109" s="49"/>
      <c r="AH109" s="47"/>
      <c r="AI109" s="48"/>
      <c r="AJ109" s="49"/>
      <c r="AK109" s="47"/>
      <c r="AL109" s="48"/>
      <c r="AM109" s="49"/>
      <c r="AN109" s="47"/>
      <c r="AO109" s="48"/>
      <c r="AP109" s="49"/>
      <c r="AQ109" s="47"/>
      <c r="AR109" s="48"/>
      <c r="AS109" s="49"/>
      <c r="AT109" s="47"/>
      <c r="AU109" s="49"/>
      <c r="AV109" s="47"/>
      <c r="AW109" s="49"/>
      <c r="AX109" s="47"/>
      <c r="AY109" s="49"/>
      <c r="AZ109" s="47"/>
      <c r="BA109" s="49"/>
      <c r="BB109" s="13"/>
      <c r="BC109" s="56" t="str">
        <f t="shared" si="0"/>
        <v>･</v>
      </c>
      <c r="BD109" s="44" t="str">
        <f t="shared" si="1"/>
        <v>･</v>
      </c>
      <c r="BE109" s="56" t="str">
        <f>IF(ISNUMBER(BC109),BC109/固有値!E6,"･")</f>
        <v>･</v>
      </c>
      <c r="BF109" s="44" t="str">
        <f>IF(ISNUMBER(BD109),BD109/固有値!E6,"･")</f>
        <v>･</v>
      </c>
      <c r="BG109" s="56" t="str">
        <f t="shared" si="2"/>
        <v>･</v>
      </c>
      <c r="BH109" s="44" t="str">
        <f t="shared" si="3"/>
        <v>･</v>
      </c>
    </row>
    <row r="110" spans="1:60" ht="9.75" hidden="1" customHeight="1">
      <c r="A110" s="5" t="str">
        <f t="shared" si="4"/>
        <v>･</v>
      </c>
      <c r="B110" s="47"/>
      <c r="C110" s="48"/>
      <c r="D110" s="48"/>
      <c r="E110" s="49"/>
      <c r="F110" s="47"/>
      <c r="G110" s="48"/>
      <c r="H110" s="48"/>
      <c r="I110" s="49"/>
      <c r="J110" s="47"/>
      <c r="K110" s="48"/>
      <c r="L110" s="48"/>
      <c r="M110" s="49"/>
      <c r="N110" s="47"/>
      <c r="O110" s="48"/>
      <c r="P110" s="48"/>
      <c r="Q110" s="49"/>
      <c r="R110" s="34"/>
      <c r="S110" s="48"/>
      <c r="T110" s="35"/>
      <c r="U110" s="49"/>
      <c r="V110" s="47"/>
      <c r="W110" s="48"/>
      <c r="X110" s="49"/>
      <c r="Y110" s="47"/>
      <c r="Z110" s="48"/>
      <c r="AA110" s="49"/>
      <c r="AB110" s="47"/>
      <c r="AC110" s="48"/>
      <c r="AD110" s="49"/>
      <c r="AE110" s="47"/>
      <c r="AF110" s="48"/>
      <c r="AG110" s="49"/>
      <c r="AH110" s="47"/>
      <c r="AI110" s="48"/>
      <c r="AJ110" s="49"/>
      <c r="AK110" s="47"/>
      <c r="AL110" s="48"/>
      <c r="AM110" s="49"/>
      <c r="AN110" s="47"/>
      <c r="AO110" s="48"/>
      <c r="AP110" s="49"/>
      <c r="AQ110" s="47"/>
      <c r="AR110" s="48"/>
      <c r="AS110" s="49"/>
      <c r="AT110" s="47"/>
      <c r="AU110" s="49"/>
      <c r="AV110" s="47"/>
      <c r="AW110" s="49"/>
      <c r="AX110" s="47"/>
      <c r="AY110" s="49"/>
      <c r="AZ110" s="47"/>
      <c r="BA110" s="49"/>
      <c r="BB110" s="13"/>
      <c r="BC110" s="56" t="str">
        <f t="shared" si="0"/>
        <v>･</v>
      </c>
      <c r="BD110" s="44" t="str">
        <f t="shared" si="1"/>
        <v>･</v>
      </c>
      <c r="BE110" s="56" t="str">
        <f>IF(ISNUMBER(BC110),BC110/固有値!E7,"･")</f>
        <v>･</v>
      </c>
      <c r="BF110" s="44" t="str">
        <f>IF(ISNUMBER(BD110),BD110/固有値!E7,"･")</f>
        <v>･</v>
      </c>
      <c r="BG110" s="56" t="str">
        <f t="shared" si="2"/>
        <v>･</v>
      </c>
      <c r="BH110" s="44" t="str">
        <f t="shared" si="3"/>
        <v>･</v>
      </c>
    </row>
    <row r="111" spans="1:60" ht="9.75" hidden="1" customHeight="1">
      <c r="A111" s="5" t="str">
        <f t="shared" si="4"/>
        <v>･</v>
      </c>
      <c r="B111" s="47"/>
      <c r="C111" s="48"/>
      <c r="D111" s="48"/>
      <c r="E111" s="49"/>
      <c r="F111" s="47"/>
      <c r="G111" s="48"/>
      <c r="H111" s="48"/>
      <c r="I111" s="49"/>
      <c r="J111" s="47"/>
      <c r="K111" s="48"/>
      <c r="L111" s="48"/>
      <c r="M111" s="49"/>
      <c r="N111" s="47"/>
      <c r="O111" s="48"/>
      <c r="P111" s="48"/>
      <c r="Q111" s="49"/>
      <c r="R111" s="34"/>
      <c r="S111" s="48"/>
      <c r="T111" s="35"/>
      <c r="U111" s="49"/>
      <c r="V111" s="47"/>
      <c r="W111" s="48"/>
      <c r="X111" s="49"/>
      <c r="Y111" s="47"/>
      <c r="Z111" s="48"/>
      <c r="AA111" s="49"/>
      <c r="AB111" s="47"/>
      <c r="AC111" s="48"/>
      <c r="AD111" s="49"/>
      <c r="AE111" s="47"/>
      <c r="AF111" s="48"/>
      <c r="AG111" s="49"/>
      <c r="AH111" s="47"/>
      <c r="AI111" s="48"/>
      <c r="AJ111" s="49"/>
      <c r="AK111" s="47"/>
      <c r="AL111" s="48"/>
      <c r="AM111" s="49"/>
      <c r="AN111" s="47"/>
      <c r="AO111" s="48"/>
      <c r="AP111" s="49"/>
      <c r="AQ111" s="47"/>
      <c r="AR111" s="48"/>
      <c r="AS111" s="49"/>
      <c r="AT111" s="47"/>
      <c r="AU111" s="49"/>
      <c r="AV111" s="47"/>
      <c r="AW111" s="49"/>
      <c r="AX111" s="47"/>
      <c r="AY111" s="49"/>
      <c r="AZ111" s="47"/>
      <c r="BA111" s="49"/>
      <c r="BB111" s="13"/>
      <c r="BC111" s="56" t="str">
        <f t="shared" si="0"/>
        <v>･</v>
      </c>
      <c r="BD111" s="44" t="str">
        <f t="shared" si="1"/>
        <v>･</v>
      </c>
      <c r="BE111" s="56" t="str">
        <f>IF(ISNUMBER(BC111),BC111/固有値!E8,"･")</f>
        <v>･</v>
      </c>
      <c r="BF111" s="44" t="str">
        <f>IF(ISNUMBER(BD111),BD111/固有値!E8,"･")</f>
        <v>･</v>
      </c>
      <c r="BG111" s="56" t="str">
        <f t="shared" si="2"/>
        <v>･</v>
      </c>
      <c r="BH111" s="44" t="str">
        <f t="shared" si="3"/>
        <v>･</v>
      </c>
    </row>
    <row r="112" spans="1:60" ht="9.75" hidden="1" customHeight="1">
      <c r="A112" s="5" t="str">
        <f t="shared" si="4"/>
        <v>･</v>
      </c>
      <c r="B112" s="47"/>
      <c r="C112" s="48"/>
      <c r="D112" s="48"/>
      <c r="E112" s="49"/>
      <c r="F112" s="47"/>
      <c r="G112" s="48"/>
      <c r="H112" s="48"/>
      <c r="I112" s="49"/>
      <c r="J112" s="47"/>
      <c r="K112" s="48"/>
      <c r="L112" s="48"/>
      <c r="M112" s="49"/>
      <c r="N112" s="47"/>
      <c r="O112" s="48"/>
      <c r="P112" s="48"/>
      <c r="Q112" s="49"/>
      <c r="R112" s="34"/>
      <c r="S112" s="48"/>
      <c r="T112" s="35"/>
      <c r="U112" s="49"/>
      <c r="V112" s="47"/>
      <c r="W112" s="48"/>
      <c r="X112" s="49"/>
      <c r="Y112" s="47"/>
      <c r="Z112" s="48"/>
      <c r="AA112" s="49"/>
      <c r="AB112" s="47"/>
      <c r="AC112" s="48"/>
      <c r="AD112" s="49"/>
      <c r="AE112" s="47"/>
      <c r="AF112" s="48"/>
      <c r="AG112" s="49"/>
      <c r="AH112" s="47"/>
      <c r="AI112" s="48"/>
      <c r="AJ112" s="49"/>
      <c r="AK112" s="47"/>
      <c r="AL112" s="48"/>
      <c r="AM112" s="49"/>
      <c r="AN112" s="47"/>
      <c r="AO112" s="48"/>
      <c r="AP112" s="49"/>
      <c r="AQ112" s="47"/>
      <c r="AR112" s="48"/>
      <c r="AS112" s="49"/>
      <c r="AT112" s="47"/>
      <c r="AU112" s="49"/>
      <c r="AV112" s="47"/>
      <c r="AW112" s="49"/>
      <c r="AX112" s="47"/>
      <c r="AY112" s="49"/>
      <c r="AZ112" s="47"/>
      <c r="BA112" s="49"/>
      <c r="BB112" s="13"/>
      <c r="BC112" s="56" t="str">
        <f t="shared" si="0"/>
        <v>･</v>
      </c>
      <c r="BD112" s="44" t="str">
        <f t="shared" si="1"/>
        <v>･</v>
      </c>
      <c r="BE112" s="56" t="str">
        <f>IF(ISNUMBER(BC112),BC112/固有値!E9,"･")</f>
        <v>･</v>
      </c>
      <c r="BF112" s="44" t="str">
        <f>IF(ISNUMBER(BD112),BD112/固有値!E9,"･")</f>
        <v>･</v>
      </c>
      <c r="BG112" s="56" t="str">
        <f t="shared" si="2"/>
        <v>･</v>
      </c>
      <c r="BH112" s="44" t="str">
        <f t="shared" si="3"/>
        <v>･</v>
      </c>
    </row>
    <row r="113" spans="1:60" ht="9.75" hidden="1" customHeight="1">
      <c r="A113" s="5" t="str">
        <f t="shared" si="4"/>
        <v>･</v>
      </c>
      <c r="B113" s="47"/>
      <c r="C113" s="48"/>
      <c r="D113" s="48"/>
      <c r="E113" s="49"/>
      <c r="F113" s="47"/>
      <c r="G113" s="48"/>
      <c r="H113" s="48"/>
      <c r="I113" s="49"/>
      <c r="J113" s="47"/>
      <c r="K113" s="48"/>
      <c r="L113" s="48"/>
      <c r="M113" s="49"/>
      <c r="N113" s="47"/>
      <c r="O113" s="48"/>
      <c r="P113" s="48"/>
      <c r="Q113" s="49"/>
      <c r="R113" s="34"/>
      <c r="S113" s="48"/>
      <c r="T113" s="35"/>
      <c r="U113" s="49"/>
      <c r="V113" s="47"/>
      <c r="W113" s="48"/>
      <c r="X113" s="49"/>
      <c r="Y113" s="47"/>
      <c r="Z113" s="48"/>
      <c r="AA113" s="49"/>
      <c r="AB113" s="47"/>
      <c r="AC113" s="48"/>
      <c r="AD113" s="49"/>
      <c r="AE113" s="47"/>
      <c r="AF113" s="48"/>
      <c r="AG113" s="49"/>
      <c r="AH113" s="47"/>
      <c r="AI113" s="48"/>
      <c r="AJ113" s="49"/>
      <c r="AK113" s="47"/>
      <c r="AL113" s="48"/>
      <c r="AM113" s="49"/>
      <c r="AN113" s="47"/>
      <c r="AO113" s="48"/>
      <c r="AP113" s="49"/>
      <c r="AQ113" s="47"/>
      <c r="AR113" s="48"/>
      <c r="AS113" s="49"/>
      <c r="AT113" s="47"/>
      <c r="AU113" s="49"/>
      <c r="AV113" s="47"/>
      <c r="AW113" s="49"/>
      <c r="AX113" s="47"/>
      <c r="AY113" s="49"/>
      <c r="AZ113" s="47"/>
      <c r="BA113" s="49"/>
      <c r="BB113" s="13"/>
      <c r="BC113" s="56" t="str">
        <f t="shared" si="0"/>
        <v>･</v>
      </c>
      <c r="BD113" s="44" t="str">
        <f t="shared" si="1"/>
        <v>･</v>
      </c>
      <c r="BE113" s="56" t="str">
        <f>IF(ISNUMBER(BC113),BC113/固有値!E10,"･")</f>
        <v>･</v>
      </c>
      <c r="BF113" s="44" t="str">
        <f>IF(ISNUMBER(BD113),BD113/固有値!E10,"･")</f>
        <v>･</v>
      </c>
      <c r="BG113" s="56" t="str">
        <f t="shared" si="2"/>
        <v>･</v>
      </c>
      <c r="BH113" s="44" t="str">
        <f t="shared" si="3"/>
        <v>･</v>
      </c>
    </row>
    <row r="114" spans="1:60" ht="9.75" hidden="1" customHeight="1">
      <c r="A114" s="5" t="str">
        <f t="shared" si="4"/>
        <v>･</v>
      </c>
      <c r="B114" s="47"/>
      <c r="C114" s="48"/>
      <c r="D114" s="48"/>
      <c r="E114" s="49"/>
      <c r="F114" s="47"/>
      <c r="G114" s="48"/>
      <c r="H114" s="48"/>
      <c r="I114" s="49"/>
      <c r="J114" s="47"/>
      <c r="K114" s="48"/>
      <c r="L114" s="48"/>
      <c r="M114" s="49"/>
      <c r="N114" s="47"/>
      <c r="O114" s="48"/>
      <c r="P114" s="48"/>
      <c r="Q114" s="49"/>
      <c r="R114" s="34"/>
      <c r="S114" s="48"/>
      <c r="T114" s="35"/>
      <c r="U114" s="49"/>
      <c r="V114" s="47"/>
      <c r="W114" s="48"/>
      <c r="X114" s="49"/>
      <c r="Y114" s="47"/>
      <c r="Z114" s="48"/>
      <c r="AA114" s="49"/>
      <c r="AB114" s="47"/>
      <c r="AC114" s="48"/>
      <c r="AD114" s="49"/>
      <c r="AE114" s="47"/>
      <c r="AF114" s="48"/>
      <c r="AG114" s="49"/>
      <c r="AH114" s="47"/>
      <c r="AI114" s="48"/>
      <c r="AJ114" s="49"/>
      <c r="AK114" s="47"/>
      <c r="AL114" s="48"/>
      <c r="AM114" s="49"/>
      <c r="AN114" s="47"/>
      <c r="AO114" s="48"/>
      <c r="AP114" s="49"/>
      <c r="AQ114" s="47"/>
      <c r="AR114" s="48"/>
      <c r="AS114" s="49"/>
      <c r="AT114" s="47"/>
      <c r="AU114" s="49"/>
      <c r="AV114" s="47"/>
      <c r="AW114" s="49"/>
      <c r="AX114" s="47"/>
      <c r="AY114" s="49"/>
      <c r="AZ114" s="47"/>
      <c r="BA114" s="49"/>
      <c r="BB114" s="13"/>
      <c r="BC114" s="56" t="str">
        <f t="shared" si="0"/>
        <v>･</v>
      </c>
      <c r="BD114" s="44" t="str">
        <f t="shared" si="1"/>
        <v>･</v>
      </c>
      <c r="BE114" s="56" t="str">
        <f>IF(ISNUMBER(BC114),BC114/固有値!E11,"･")</f>
        <v>･</v>
      </c>
      <c r="BF114" s="44" t="str">
        <f>IF(ISNUMBER(BD114),BD114/固有値!E11,"･")</f>
        <v>･</v>
      </c>
      <c r="BG114" s="56" t="str">
        <f t="shared" si="2"/>
        <v>･</v>
      </c>
      <c r="BH114" s="44" t="str">
        <f t="shared" si="3"/>
        <v>･</v>
      </c>
    </row>
    <row r="115" spans="1:60" ht="9.75" hidden="1" customHeight="1">
      <c r="A115" s="5" t="str">
        <f t="shared" si="4"/>
        <v>･</v>
      </c>
      <c r="B115" s="47"/>
      <c r="C115" s="48"/>
      <c r="D115" s="48"/>
      <c r="E115" s="49"/>
      <c r="F115" s="47"/>
      <c r="G115" s="48"/>
      <c r="H115" s="48"/>
      <c r="I115" s="49"/>
      <c r="J115" s="47"/>
      <c r="K115" s="48"/>
      <c r="L115" s="48"/>
      <c r="M115" s="49"/>
      <c r="N115" s="47"/>
      <c r="O115" s="48"/>
      <c r="P115" s="48"/>
      <c r="Q115" s="49"/>
      <c r="R115" s="34"/>
      <c r="S115" s="48"/>
      <c r="T115" s="35"/>
      <c r="U115" s="49"/>
      <c r="V115" s="47"/>
      <c r="W115" s="48"/>
      <c r="X115" s="49"/>
      <c r="Y115" s="47"/>
      <c r="Z115" s="48"/>
      <c r="AA115" s="49"/>
      <c r="AB115" s="47"/>
      <c r="AC115" s="48"/>
      <c r="AD115" s="49"/>
      <c r="AE115" s="47"/>
      <c r="AF115" s="48"/>
      <c r="AG115" s="49"/>
      <c r="AH115" s="47"/>
      <c r="AI115" s="48"/>
      <c r="AJ115" s="49"/>
      <c r="AK115" s="47"/>
      <c r="AL115" s="48"/>
      <c r="AM115" s="49"/>
      <c r="AN115" s="47"/>
      <c r="AO115" s="48"/>
      <c r="AP115" s="49"/>
      <c r="AQ115" s="47"/>
      <c r="AR115" s="48"/>
      <c r="AS115" s="49"/>
      <c r="AT115" s="47"/>
      <c r="AU115" s="49"/>
      <c r="AV115" s="47"/>
      <c r="AW115" s="49"/>
      <c r="AX115" s="47"/>
      <c r="AY115" s="49"/>
      <c r="AZ115" s="47"/>
      <c r="BA115" s="49"/>
      <c r="BB115" s="13"/>
      <c r="BC115" s="56" t="str">
        <f t="shared" si="0"/>
        <v>･</v>
      </c>
      <c r="BD115" s="44" t="str">
        <f t="shared" si="1"/>
        <v>･</v>
      </c>
      <c r="BE115" s="56" t="str">
        <f>IF(ISNUMBER(BC115),BC115/固有値!E12,"･")</f>
        <v>･</v>
      </c>
      <c r="BF115" s="44" t="str">
        <f>IF(ISNUMBER(BD115),BD115/固有値!E12,"･")</f>
        <v>･</v>
      </c>
      <c r="BG115" s="56" t="str">
        <f t="shared" si="2"/>
        <v>･</v>
      </c>
      <c r="BH115" s="44" t="str">
        <f t="shared" si="3"/>
        <v>･</v>
      </c>
    </row>
    <row r="116" spans="1:60" ht="9.75" hidden="1" customHeight="1">
      <c r="A116" s="5" t="str">
        <f t="shared" si="4"/>
        <v>･</v>
      </c>
      <c r="B116" s="47"/>
      <c r="C116" s="48"/>
      <c r="D116" s="48"/>
      <c r="E116" s="49"/>
      <c r="F116" s="47"/>
      <c r="G116" s="48"/>
      <c r="H116" s="48"/>
      <c r="I116" s="49"/>
      <c r="J116" s="47"/>
      <c r="K116" s="48"/>
      <c r="L116" s="48"/>
      <c r="M116" s="49"/>
      <c r="N116" s="47"/>
      <c r="O116" s="48"/>
      <c r="P116" s="48"/>
      <c r="Q116" s="49"/>
      <c r="R116" s="34"/>
      <c r="S116" s="48"/>
      <c r="T116" s="35"/>
      <c r="U116" s="49"/>
      <c r="V116" s="47"/>
      <c r="W116" s="48"/>
      <c r="X116" s="49"/>
      <c r="Y116" s="47"/>
      <c r="Z116" s="48"/>
      <c r="AA116" s="49"/>
      <c r="AB116" s="47"/>
      <c r="AC116" s="48"/>
      <c r="AD116" s="49"/>
      <c r="AE116" s="47"/>
      <c r="AF116" s="48"/>
      <c r="AG116" s="49"/>
      <c r="AH116" s="47"/>
      <c r="AI116" s="48"/>
      <c r="AJ116" s="49"/>
      <c r="AK116" s="47"/>
      <c r="AL116" s="48"/>
      <c r="AM116" s="49"/>
      <c r="AN116" s="47"/>
      <c r="AO116" s="48"/>
      <c r="AP116" s="49"/>
      <c r="AQ116" s="47"/>
      <c r="AR116" s="48"/>
      <c r="AS116" s="49"/>
      <c r="AT116" s="47"/>
      <c r="AU116" s="49"/>
      <c r="AV116" s="47"/>
      <c r="AW116" s="49"/>
      <c r="AX116" s="47"/>
      <c r="AY116" s="49"/>
      <c r="AZ116" s="47"/>
      <c r="BA116" s="49"/>
      <c r="BB116" s="13"/>
      <c r="BC116" s="56" t="str">
        <f t="shared" si="0"/>
        <v>･</v>
      </c>
      <c r="BD116" s="44" t="str">
        <f t="shared" si="1"/>
        <v>･</v>
      </c>
      <c r="BE116" s="56" t="str">
        <f>IF(ISNUMBER(BC116),BC116/固有値!E13,"･")</f>
        <v>･</v>
      </c>
      <c r="BF116" s="44" t="str">
        <f>IF(ISNUMBER(BD116),BD116/固有値!E13,"･")</f>
        <v>･</v>
      </c>
      <c r="BG116" s="56" t="str">
        <f t="shared" si="2"/>
        <v>･</v>
      </c>
      <c r="BH116" s="44" t="str">
        <f t="shared" si="3"/>
        <v>･</v>
      </c>
    </row>
    <row r="117" spans="1:60" ht="9.75" hidden="1" customHeight="1">
      <c r="A117" s="5" t="str">
        <f t="shared" si="4"/>
        <v>･</v>
      </c>
      <c r="B117" s="47"/>
      <c r="C117" s="48"/>
      <c r="D117" s="48"/>
      <c r="E117" s="49"/>
      <c r="F117" s="47"/>
      <c r="G117" s="48"/>
      <c r="H117" s="48"/>
      <c r="I117" s="49"/>
      <c r="J117" s="47"/>
      <c r="K117" s="48"/>
      <c r="L117" s="48"/>
      <c r="M117" s="49"/>
      <c r="N117" s="47"/>
      <c r="O117" s="48"/>
      <c r="P117" s="48"/>
      <c r="Q117" s="49"/>
      <c r="R117" s="34"/>
      <c r="S117" s="48"/>
      <c r="T117" s="35"/>
      <c r="U117" s="49"/>
      <c r="V117" s="47"/>
      <c r="W117" s="48"/>
      <c r="X117" s="49"/>
      <c r="Y117" s="47"/>
      <c r="Z117" s="48"/>
      <c r="AA117" s="49"/>
      <c r="AB117" s="47"/>
      <c r="AC117" s="48"/>
      <c r="AD117" s="49"/>
      <c r="AE117" s="47"/>
      <c r="AF117" s="48"/>
      <c r="AG117" s="49"/>
      <c r="AH117" s="47"/>
      <c r="AI117" s="48"/>
      <c r="AJ117" s="49"/>
      <c r="AK117" s="47"/>
      <c r="AL117" s="48"/>
      <c r="AM117" s="49"/>
      <c r="AN117" s="47"/>
      <c r="AO117" s="48"/>
      <c r="AP117" s="49"/>
      <c r="AQ117" s="47"/>
      <c r="AR117" s="48"/>
      <c r="AS117" s="49"/>
      <c r="AT117" s="47"/>
      <c r="AU117" s="49"/>
      <c r="AV117" s="47"/>
      <c r="AW117" s="49"/>
      <c r="AX117" s="47"/>
      <c r="AY117" s="49"/>
      <c r="AZ117" s="47"/>
      <c r="BA117" s="49"/>
      <c r="BB117" s="13"/>
      <c r="BC117" s="56" t="str">
        <f t="shared" si="0"/>
        <v>･</v>
      </c>
      <c r="BD117" s="44" t="str">
        <f t="shared" si="1"/>
        <v>･</v>
      </c>
      <c r="BE117" s="56" t="str">
        <f>IF(ISNUMBER(BC117),BC117/固有値!E14,"･")</f>
        <v>･</v>
      </c>
      <c r="BF117" s="44" t="str">
        <f>IF(ISNUMBER(BD117),BD117/固有値!E14,"･")</f>
        <v>･</v>
      </c>
      <c r="BG117" s="56" t="str">
        <f t="shared" si="2"/>
        <v>･</v>
      </c>
      <c r="BH117" s="44" t="str">
        <f t="shared" si="3"/>
        <v>･</v>
      </c>
    </row>
    <row r="118" spans="1:60" ht="9.75" hidden="1" customHeight="1">
      <c r="A118" s="5" t="str">
        <f t="shared" si="4"/>
        <v>･</v>
      </c>
      <c r="B118" s="47"/>
      <c r="C118" s="48"/>
      <c r="D118" s="48"/>
      <c r="E118" s="49"/>
      <c r="F118" s="47"/>
      <c r="G118" s="48"/>
      <c r="H118" s="48"/>
      <c r="I118" s="49"/>
      <c r="J118" s="47"/>
      <c r="K118" s="48"/>
      <c r="L118" s="48"/>
      <c r="M118" s="49"/>
      <c r="N118" s="47"/>
      <c r="O118" s="48"/>
      <c r="P118" s="48"/>
      <c r="Q118" s="49"/>
      <c r="R118" s="34"/>
      <c r="S118" s="48"/>
      <c r="T118" s="35"/>
      <c r="U118" s="49"/>
      <c r="V118" s="47"/>
      <c r="W118" s="48"/>
      <c r="X118" s="49"/>
      <c r="Y118" s="47"/>
      <c r="Z118" s="48"/>
      <c r="AA118" s="49"/>
      <c r="AB118" s="47"/>
      <c r="AC118" s="48"/>
      <c r="AD118" s="49"/>
      <c r="AE118" s="47"/>
      <c r="AF118" s="48"/>
      <c r="AG118" s="49"/>
      <c r="AH118" s="47"/>
      <c r="AI118" s="48"/>
      <c r="AJ118" s="49"/>
      <c r="AK118" s="47"/>
      <c r="AL118" s="48"/>
      <c r="AM118" s="49"/>
      <c r="AN118" s="47"/>
      <c r="AO118" s="48"/>
      <c r="AP118" s="49"/>
      <c r="AQ118" s="47"/>
      <c r="AR118" s="48"/>
      <c r="AS118" s="49"/>
      <c r="AT118" s="47"/>
      <c r="AU118" s="49"/>
      <c r="AV118" s="47"/>
      <c r="AW118" s="49"/>
      <c r="AX118" s="47"/>
      <c r="AY118" s="49"/>
      <c r="AZ118" s="47"/>
      <c r="BA118" s="49"/>
      <c r="BB118" s="13"/>
      <c r="BC118" s="56" t="str">
        <f t="shared" si="0"/>
        <v>･</v>
      </c>
      <c r="BD118" s="44" t="str">
        <f t="shared" si="1"/>
        <v>･</v>
      </c>
      <c r="BE118" s="56" t="str">
        <f>IF(ISNUMBER(BC118),BC118/固有値!E15,"･")</f>
        <v>･</v>
      </c>
      <c r="BF118" s="44" t="str">
        <f>IF(ISNUMBER(BD118),BD118/固有値!E15,"･")</f>
        <v>･</v>
      </c>
      <c r="BG118" s="56" t="str">
        <f t="shared" si="2"/>
        <v>･</v>
      </c>
      <c r="BH118" s="44" t="str">
        <f t="shared" si="3"/>
        <v>･</v>
      </c>
    </row>
    <row r="119" spans="1:60" ht="9.75" hidden="1" customHeight="1">
      <c r="A119" s="5" t="str">
        <f t="shared" si="4"/>
        <v>･</v>
      </c>
      <c r="B119" s="47"/>
      <c r="C119" s="48"/>
      <c r="D119" s="48"/>
      <c r="E119" s="49"/>
      <c r="F119" s="47"/>
      <c r="G119" s="48"/>
      <c r="H119" s="48"/>
      <c r="I119" s="49"/>
      <c r="J119" s="47"/>
      <c r="K119" s="48"/>
      <c r="L119" s="48"/>
      <c r="M119" s="49"/>
      <c r="N119" s="47"/>
      <c r="O119" s="48"/>
      <c r="P119" s="48"/>
      <c r="Q119" s="49"/>
      <c r="R119" s="34"/>
      <c r="S119" s="35"/>
      <c r="T119" s="35"/>
      <c r="U119" s="36"/>
      <c r="V119" s="47"/>
      <c r="W119" s="48"/>
      <c r="X119" s="49"/>
      <c r="Y119" s="47"/>
      <c r="Z119" s="48"/>
      <c r="AA119" s="49"/>
      <c r="AB119" s="47"/>
      <c r="AC119" s="48"/>
      <c r="AD119" s="49"/>
      <c r="AE119" s="47"/>
      <c r="AF119" s="48"/>
      <c r="AG119" s="49"/>
      <c r="AH119" s="47"/>
      <c r="AI119" s="48"/>
      <c r="AJ119" s="49"/>
      <c r="AK119" s="47"/>
      <c r="AL119" s="48"/>
      <c r="AM119" s="49"/>
      <c r="AN119" s="47"/>
      <c r="AO119" s="48"/>
      <c r="AP119" s="49"/>
      <c r="AQ119" s="47"/>
      <c r="AR119" s="48"/>
      <c r="AS119" s="49"/>
      <c r="AT119" s="47"/>
      <c r="AU119" s="49"/>
      <c r="AV119" s="47"/>
      <c r="AW119" s="49"/>
      <c r="AX119" s="47"/>
      <c r="AY119" s="49"/>
      <c r="AZ119" s="47"/>
      <c r="BA119" s="49"/>
      <c r="BB119" s="13"/>
      <c r="BC119" s="56" t="str">
        <f t="shared" si="0"/>
        <v>･</v>
      </c>
      <c r="BD119" s="44" t="str">
        <f t="shared" si="1"/>
        <v>･</v>
      </c>
      <c r="BE119" s="56" t="str">
        <f>IF(ISNUMBER(BC119),BC119/固有値!E16,"･")</f>
        <v>･</v>
      </c>
      <c r="BF119" s="44" t="str">
        <f>IF(ISNUMBER(BD119),BD119/固有値!E16,"･")</f>
        <v>･</v>
      </c>
      <c r="BG119" s="56" t="str">
        <f t="shared" si="2"/>
        <v>･</v>
      </c>
      <c r="BH119" s="44" t="str">
        <f t="shared" si="3"/>
        <v>･</v>
      </c>
    </row>
    <row r="120" spans="1:60" ht="9.75" hidden="1" customHeight="1">
      <c r="A120" s="5" t="str">
        <f t="shared" si="4"/>
        <v>･</v>
      </c>
      <c r="B120" s="47"/>
      <c r="C120" s="48"/>
      <c r="D120" s="48"/>
      <c r="E120" s="49"/>
      <c r="F120" s="47"/>
      <c r="G120" s="48"/>
      <c r="H120" s="48"/>
      <c r="I120" s="49"/>
      <c r="J120" s="47"/>
      <c r="K120" s="48"/>
      <c r="L120" s="48"/>
      <c r="M120" s="49"/>
      <c r="N120" s="47"/>
      <c r="O120" s="48"/>
      <c r="P120" s="48"/>
      <c r="Q120" s="49"/>
      <c r="R120" s="34"/>
      <c r="S120" s="48"/>
      <c r="T120" s="35"/>
      <c r="U120" s="49"/>
      <c r="V120" s="47"/>
      <c r="W120" s="48"/>
      <c r="X120" s="49"/>
      <c r="Y120" s="47"/>
      <c r="Z120" s="48"/>
      <c r="AA120" s="49"/>
      <c r="AB120" s="47"/>
      <c r="AC120" s="48"/>
      <c r="AD120" s="49"/>
      <c r="AE120" s="47"/>
      <c r="AF120" s="48"/>
      <c r="AG120" s="49"/>
      <c r="AH120" s="47"/>
      <c r="AI120" s="48"/>
      <c r="AJ120" s="49"/>
      <c r="AK120" s="47"/>
      <c r="AL120" s="48"/>
      <c r="AM120" s="49"/>
      <c r="AN120" s="47"/>
      <c r="AO120" s="48"/>
      <c r="AP120" s="49"/>
      <c r="AQ120" s="47"/>
      <c r="AR120" s="48"/>
      <c r="AS120" s="49"/>
      <c r="AT120" s="47"/>
      <c r="AU120" s="49"/>
      <c r="AV120" s="47"/>
      <c r="AW120" s="49"/>
      <c r="AX120" s="47"/>
      <c r="AY120" s="49"/>
      <c r="AZ120" s="47"/>
      <c r="BA120" s="49"/>
      <c r="BB120" s="13"/>
      <c r="BC120" s="56" t="str">
        <f t="shared" si="0"/>
        <v>･</v>
      </c>
      <c r="BD120" s="44" t="str">
        <f t="shared" si="1"/>
        <v>･</v>
      </c>
      <c r="BE120" s="56" t="str">
        <f>IF(ISNUMBER(BC120),BC120/固有値!E17,"･")</f>
        <v>･</v>
      </c>
      <c r="BF120" s="44" t="str">
        <f>IF(ISNUMBER(BD120),BD120/固有値!E17,"･")</f>
        <v>･</v>
      </c>
      <c r="BG120" s="56" t="str">
        <f t="shared" si="2"/>
        <v>･</v>
      </c>
      <c r="BH120" s="44" t="str">
        <f t="shared" si="3"/>
        <v>･</v>
      </c>
    </row>
    <row r="121" spans="1:60" ht="9.75" hidden="1" customHeight="1">
      <c r="A121" s="5" t="str">
        <f t="shared" si="4"/>
        <v>･</v>
      </c>
      <c r="B121" s="47"/>
      <c r="C121" s="48"/>
      <c r="D121" s="48"/>
      <c r="E121" s="49"/>
      <c r="F121" s="47"/>
      <c r="G121" s="48"/>
      <c r="H121" s="48"/>
      <c r="I121" s="49"/>
      <c r="J121" s="47"/>
      <c r="K121" s="48"/>
      <c r="L121" s="48"/>
      <c r="M121" s="49"/>
      <c r="N121" s="47"/>
      <c r="O121" s="48"/>
      <c r="P121" s="48"/>
      <c r="Q121" s="49"/>
      <c r="R121" s="47"/>
      <c r="S121" s="48"/>
      <c r="T121" s="35"/>
      <c r="U121" s="49"/>
      <c r="V121" s="47"/>
      <c r="W121" s="48"/>
      <c r="X121" s="49"/>
      <c r="Y121" s="47"/>
      <c r="Z121" s="48"/>
      <c r="AA121" s="49"/>
      <c r="AB121" s="47"/>
      <c r="AC121" s="48"/>
      <c r="AD121" s="49"/>
      <c r="AE121" s="47"/>
      <c r="AF121" s="48"/>
      <c r="AG121" s="49"/>
      <c r="AH121" s="47"/>
      <c r="AI121" s="48"/>
      <c r="AJ121" s="49"/>
      <c r="AK121" s="47"/>
      <c r="AL121" s="48"/>
      <c r="AM121" s="49"/>
      <c r="AN121" s="47"/>
      <c r="AO121" s="48"/>
      <c r="AP121" s="49"/>
      <c r="AQ121" s="47"/>
      <c r="AR121" s="48"/>
      <c r="AS121" s="49"/>
      <c r="AT121" s="47"/>
      <c r="AU121" s="49"/>
      <c r="AV121" s="47"/>
      <c r="AW121" s="49"/>
      <c r="AX121" s="47"/>
      <c r="AY121" s="49"/>
      <c r="AZ121" s="47"/>
      <c r="BA121" s="49"/>
      <c r="BB121" s="13"/>
      <c r="BC121" s="56" t="str">
        <f t="shared" si="0"/>
        <v>･</v>
      </c>
      <c r="BD121" s="44" t="str">
        <f t="shared" si="1"/>
        <v>･</v>
      </c>
      <c r="BE121" s="56" t="str">
        <f>IF(ISNUMBER(BC121),BC121/固有値!E18,"･")</f>
        <v>･</v>
      </c>
      <c r="BF121" s="44" t="str">
        <f>IF(ISNUMBER(BD121),BD121/固有値!E18,"･")</f>
        <v>･</v>
      </c>
      <c r="BG121" s="56" t="str">
        <f t="shared" si="2"/>
        <v>･</v>
      </c>
      <c r="BH121" s="44" t="str">
        <f t="shared" si="3"/>
        <v>･</v>
      </c>
    </row>
    <row r="122" spans="1:60" ht="9.75" hidden="1" customHeight="1">
      <c r="A122" s="5" t="str">
        <f t="shared" si="4"/>
        <v>･</v>
      </c>
      <c r="B122" s="47"/>
      <c r="C122" s="48"/>
      <c r="D122" s="48"/>
      <c r="E122" s="49"/>
      <c r="F122" s="47"/>
      <c r="G122" s="48"/>
      <c r="H122" s="48"/>
      <c r="I122" s="49"/>
      <c r="J122" s="47"/>
      <c r="K122" s="48"/>
      <c r="L122" s="48"/>
      <c r="M122" s="49"/>
      <c r="N122" s="47"/>
      <c r="O122" s="48"/>
      <c r="P122" s="48"/>
      <c r="Q122" s="49"/>
      <c r="R122" s="47"/>
      <c r="S122" s="48"/>
      <c r="T122" s="48"/>
      <c r="U122" s="49"/>
      <c r="V122" s="47"/>
      <c r="W122" s="48"/>
      <c r="X122" s="49"/>
      <c r="Y122" s="47"/>
      <c r="Z122" s="48"/>
      <c r="AA122" s="49"/>
      <c r="AB122" s="47"/>
      <c r="AC122" s="48"/>
      <c r="AD122" s="49"/>
      <c r="AE122" s="47"/>
      <c r="AF122" s="48"/>
      <c r="AG122" s="49"/>
      <c r="AH122" s="47"/>
      <c r="AI122" s="48"/>
      <c r="AJ122" s="49"/>
      <c r="AK122" s="47"/>
      <c r="AL122" s="48"/>
      <c r="AM122" s="49"/>
      <c r="AN122" s="47"/>
      <c r="AO122" s="48"/>
      <c r="AP122" s="49"/>
      <c r="AQ122" s="47"/>
      <c r="AR122" s="48"/>
      <c r="AS122" s="49"/>
      <c r="AT122" s="47"/>
      <c r="AU122" s="49"/>
      <c r="AV122" s="47"/>
      <c r="AW122" s="49"/>
      <c r="AX122" s="47"/>
      <c r="AY122" s="49"/>
      <c r="AZ122" s="47"/>
      <c r="BA122" s="49"/>
      <c r="BB122" s="13"/>
      <c r="BC122" s="56" t="str">
        <f t="shared" si="0"/>
        <v>･</v>
      </c>
      <c r="BD122" s="44" t="str">
        <f t="shared" si="1"/>
        <v>･</v>
      </c>
      <c r="BE122" s="56" t="str">
        <f>IF(ISNUMBER(BC122),BC122/固有値!E19,"･")</f>
        <v>･</v>
      </c>
      <c r="BF122" s="44" t="str">
        <f>IF(ISNUMBER(BD122),BD122/固有値!E19,"･")</f>
        <v>･</v>
      </c>
      <c r="BG122" s="56" t="str">
        <f t="shared" si="2"/>
        <v>･</v>
      </c>
      <c r="BH122" s="44" t="str">
        <f t="shared" si="3"/>
        <v>･</v>
      </c>
    </row>
    <row r="123" spans="1:60" ht="9.75" hidden="1" customHeight="1">
      <c r="A123" s="5" t="str">
        <f t="shared" si="4"/>
        <v>･</v>
      </c>
      <c r="B123" s="47"/>
      <c r="C123" s="48"/>
      <c r="D123" s="48"/>
      <c r="E123" s="49"/>
      <c r="F123" s="47"/>
      <c r="G123" s="48"/>
      <c r="H123" s="48"/>
      <c r="I123" s="49"/>
      <c r="J123" s="47"/>
      <c r="K123" s="48"/>
      <c r="L123" s="48"/>
      <c r="M123" s="49"/>
      <c r="N123" s="47"/>
      <c r="O123" s="48"/>
      <c r="P123" s="48"/>
      <c r="Q123" s="49"/>
      <c r="R123" s="47"/>
      <c r="S123" s="48"/>
      <c r="T123" s="48"/>
      <c r="U123" s="49"/>
      <c r="V123" s="47"/>
      <c r="W123" s="48"/>
      <c r="X123" s="49"/>
      <c r="Y123" s="47"/>
      <c r="Z123" s="48"/>
      <c r="AA123" s="49"/>
      <c r="AB123" s="47"/>
      <c r="AC123" s="48"/>
      <c r="AD123" s="49"/>
      <c r="AE123" s="47"/>
      <c r="AF123" s="48"/>
      <c r="AG123" s="49"/>
      <c r="AH123" s="47"/>
      <c r="AI123" s="48"/>
      <c r="AJ123" s="49"/>
      <c r="AK123" s="47"/>
      <c r="AL123" s="48"/>
      <c r="AM123" s="49"/>
      <c r="AN123" s="47"/>
      <c r="AO123" s="48"/>
      <c r="AP123" s="49"/>
      <c r="AQ123" s="47"/>
      <c r="AR123" s="48"/>
      <c r="AS123" s="49"/>
      <c r="AT123" s="47"/>
      <c r="AU123" s="49"/>
      <c r="AV123" s="47"/>
      <c r="AW123" s="49"/>
      <c r="AX123" s="47"/>
      <c r="AY123" s="49"/>
      <c r="AZ123" s="47"/>
      <c r="BA123" s="49"/>
      <c r="BB123" s="13"/>
      <c r="BC123" s="56" t="str">
        <f t="shared" si="0"/>
        <v>･</v>
      </c>
      <c r="BD123" s="44" t="str">
        <f t="shared" si="1"/>
        <v>･</v>
      </c>
      <c r="BE123" s="56" t="str">
        <f>IF(ISNUMBER(BC123),BC123/固有値!E20,"･")</f>
        <v>･</v>
      </c>
      <c r="BF123" s="44" t="str">
        <f>IF(ISNUMBER(BD123),BD123/固有値!E20,"･")</f>
        <v>･</v>
      </c>
      <c r="BG123" s="56" t="str">
        <f t="shared" si="2"/>
        <v>･</v>
      </c>
      <c r="BH123" s="44" t="str">
        <f t="shared" si="3"/>
        <v>･</v>
      </c>
    </row>
    <row r="124" spans="1:60" ht="9.75" hidden="1" customHeight="1">
      <c r="A124" s="5" t="str">
        <f t="shared" si="4"/>
        <v>･</v>
      </c>
      <c r="B124" s="47"/>
      <c r="C124" s="48"/>
      <c r="D124" s="48"/>
      <c r="E124" s="49"/>
      <c r="F124" s="47"/>
      <c r="G124" s="48"/>
      <c r="H124" s="48"/>
      <c r="I124" s="49"/>
      <c r="J124" s="47"/>
      <c r="K124" s="48"/>
      <c r="L124" s="48"/>
      <c r="M124" s="49"/>
      <c r="N124" s="47"/>
      <c r="O124" s="48"/>
      <c r="P124" s="48"/>
      <c r="Q124" s="49"/>
      <c r="R124" s="47"/>
      <c r="S124" s="48"/>
      <c r="T124" s="48"/>
      <c r="U124" s="49"/>
      <c r="V124" s="47"/>
      <c r="W124" s="48"/>
      <c r="X124" s="49"/>
      <c r="Y124" s="47"/>
      <c r="Z124" s="48"/>
      <c r="AA124" s="49"/>
      <c r="AB124" s="47"/>
      <c r="AC124" s="48"/>
      <c r="AD124" s="49"/>
      <c r="AE124" s="47"/>
      <c r="AF124" s="48"/>
      <c r="AG124" s="49"/>
      <c r="AH124" s="47"/>
      <c r="AI124" s="48"/>
      <c r="AJ124" s="49"/>
      <c r="AK124" s="47"/>
      <c r="AL124" s="48"/>
      <c r="AM124" s="49"/>
      <c r="AN124" s="47"/>
      <c r="AO124" s="48"/>
      <c r="AP124" s="49"/>
      <c r="AQ124" s="47"/>
      <c r="AR124" s="48"/>
      <c r="AS124" s="49"/>
      <c r="AT124" s="47"/>
      <c r="AU124" s="49"/>
      <c r="AV124" s="47"/>
      <c r="AW124" s="49"/>
      <c r="AX124" s="47"/>
      <c r="AY124" s="49"/>
      <c r="AZ124" s="47"/>
      <c r="BA124" s="49"/>
      <c r="BB124" s="13"/>
      <c r="BC124" s="56" t="str">
        <f t="shared" si="0"/>
        <v>･</v>
      </c>
      <c r="BD124" s="44" t="str">
        <f t="shared" si="1"/>
        <v>･</v>
      </c>
      <c r="BE124" s="56" t="str">
        <f>IF(ISNUMBER(BC124),BC124/固有値!E21,"･")</f>
        <v>･</v>
      </c>
      <c r="BF124" s="44" t="str">
        <f>IF(ISNUMBER(BD124),BD124/固有値!E21,"･")</f>
        <v>･</v>
      </c>
      <c r="BG124" s="56" t="str">
        <f t="shared" si="2"/>
        <v>･</v>
      </c>
      <c r="BH124" s="44" t="str">
        <f t="shared" si="3"/>
        <v>･</v>
      </c>
    </row>
    <row r="125" spans="1:60" ht="9.75" hidden="1" customHeight="1">
      <c r="A125" s="5" t="str">
        <f t="shared" si="4"/>
        <v>･</v>
      </c>
      <c r="B125" s="47"/>
      <c r="C125" s="48"/>
      <c r="D125" s="48"/>
      <c r="E125" s="49"/>
      <c r="F125" s="47"/>
      <c r="G125" s="48"/>
      <c r="H125" s="48"/>
      <c r="I125" s="49"/>
      <c r="J125" s="47"/>
      <c r="K125" s="48"/>
      <c r="L125" s="48"/>
      <c r="M125" s="49"/>
      <c r="N125" s="47"/>
      <c r="O125" s="48"/>
      <c r="P125" s="48"/>
      <c r="Q125" s="49"/>
      <c r="R125" s="47"/>
      <c r="S125" s="48"/>
      <c r="T125" s="48"/>
      <c r="U125" s="49"/>
      <c r="V125" s="47"/>
      <c r="W125" s="48"/>
      <c r="X125" s="49"/>
      <c r="Y125" s="47"/>
      <c r="Z125" s="48"/>
      <c r="AA125" s="49"/>
      <c r="AB125" s="47"/>
      <c r="AC125" s="48"/>
      <c r="AD125" s="49"/>
      <c r="AE125" s="47"/>
      <c r="AF125" s="48"/>
      <c r="AG125" s="49"/>
      <c r="AH125" s="47"/>
      <c r="AI125" s="48"/>
      <c r="AJ125" s="49"/>
      <c r="AK125" s="47"/>
      <c r="AL125" s="48"/>
      <c r="AM125" s="49"/>
      <c r="AN125" s="47"/>
      <c r="AO125" s="48"/>
      <c r="AP125" s="49"/>
      <c r="AQ125" s="47"/>
      <c r="AR125" s="48"/>
      <c r="AS125" s="49"/>
      <c r="AT125" s="47"/>
      <c r="AU125" s="49"/>
      <c r="AV125" s="47"/>
      <c r="AW125" s="49"/>
      <c r="AX125" s="47"/>
      <c r="AY125" s="49"/>
      <c r="AZ125" s="47"/>
      <c r="BA125" s="49"/>
      <c r="BB125" s="13"/>
      <c r="BC125" s="56" t="str">
        <f t="shared" si="0"/>
        <v>･</v>
      </c>
      <c r="BD125" s="44" t="str">
        <f t="shared" si="1"/>
        <v>･</v>
      </c>
      <c r="BE125" s="56" t="str">
        <f>IF(ISNUMBER(BC125),BC125/固有値!E22,"･")</f>
        <v>･</v>
      </c>
      <c r="BF125" s="44" t="str">
        <f>IF(ISNUMBER(BD125),BD125/固有値!E22,"･")</f>
        <v>･</v>
      </c>
      <c r="BG125" s="56" t="str">
        <f t="shared" si="2"/>
        <v>･</v>
      </c>
      <c r="BH125" s="44" t="str">
        <f t="shared" si="3"/>
        <v>･</v>
      </c>
    </row>
    <row r="126" spans="1:60" ht="9.75" hidden="1" customHeight="1">
      <c r="A126" s="5" t="str">
        <f t="shared" si="4"/>
        <v>･</v>
      </c>
      <c r="B126" s="47"/>
      <c r="C126" s="48"/>
      <c r="D126" s="48"/>
      <c r="E126" s="49"/>
      <c r="F126" s="47"/>
      <c r="G126" s="48"/>
      <c r="H126" s="48"/>
      <c r="I126" s="49"/>
      <c r="J126" s="47"/>
      <c r="K126" s="48"/>
      <c r="L126" s="48"/>
      <c r="M126" s="49"/>
      <c r="N126" s="47"/>
      <c r="O126" s="48"/>
      <c r="P126" s="48"/>
      <c r="Q126" s="49"/>
      <c r="R126" s="47"/>
      <c r="S126" s="48"/>
      <c r="T126" s="48"/>
      <c r="U126" s="49"/>
      <c r="V126" s="47"/>
      <c r="W126" s="48"/>
      <c r="X126" s="49"/>
      <c r="Y126" s="47"/>
      <c r="Z126" s="48"/>
      <c r="AA126" s="49"/>
      <c r="AB126" s="47"/>
      <c r="AC126" s="48"/>
      <c r="AD126" s="49"/>
      <c r="AE126" s="47"/>
      <c r="AF126" s="48"/>
      <c r="AG126" s="49"/>
      <c r="AH126" s="47"/>
      <c r="AI126" s="48"/>
      <c r="AJ126" s="49"/>
      <c r="AK126" s="47"/>
      <c r="AL126" s="48"/>
      <c r="AM126" s="49"/>
      <c r="AN126" s="47"/>
      <c r="AO126" s="48"/>
      <c r="AP126" s="49"/>
      <c r="AQ126" s="47"/>
      <c r="AR126" s="48"/>
      <c r="AS126" s="49"/>
      <c r="AT126" s="47"/>
      <c r="AU126" s="49"/>
      <c r="AV126" s="47"/>
      <c r="AW126" s="49"/>
      <c r="AX126" s="47"/>
      <c r="AY126" s="49"/>
      <c r="AZ126" s="47"/>
      <c r="BA126" s="49"/>
      <c r="BB126" s="13"/>
      <c r="BC126" s="56" t="str">
        <f t="shared" si="0"/>
        <v>･</v>
      </c>
      <c r="BD126" s="44" t="str">
        <f t="shared" si="1"/>
        <v>･</v>
      </c>
      <c r="BE126" s="56" t="str">
        <f>IF(ISNUMBER(BC126),BC126/固有値!E23,"･")</f>
        <v>･</v>
      </c>
      <c r="BF126" s="44" t="str">
        <f>IF(ISNUMBER(BD126),BD126/固有値!E23,"･")</f>
        <v>･</v>
      </c>
      <c r="BG126" s="56" t="str">
        <f t="shared" si="2"/>
        <v>･</v>
      </c>
      <c r="BH126" s="44" t="str">
        <f t="shared" si="3"/>
        <v>･</v>
      </c>
    </row>
    <row r="127" spans="1:60" ht="9.75" hidden="1" customHeight="1">
      <c r="A127" s="5" t="str">
        <f t="shared" si="4"/>
        <v>･</v>
      </c>
      <c r="B127" s="47"/>
      <c r="C127" s="48"/>
      <c r="D127" s="48"/>
      <c r="E127" s="49"/>
      <c r="F127" s="47"/>
      <c r="G127" s="48"/>
      <c r="H127" s="48"/>
      <c r="I127" s="49"/>
      <c r="J127" s="47"/>
      <c r="K127" s="48"/>
      <c r="L127" s="48"/>
      <c r="M127" s="49"/>
      <c r="N127" s="47"/>
      <c r="O127" s="48"/>
      <c r="P127" s="48"/>
      <c r="Q127" s="49"/>
      <c r="R127" s="47"/>
      <c r="S127" s="48"/>
      <c r="T127" s="48"/>
      <c r="U127" s="49"/>
      <c r="V127" s="47"/>
      <c r="W127" s="48"/>
      <c r="X127" s="49"/>
      <c r="Y127" s="47"/>
      <c r="Z127" s="48"/>
      <c r="AA127" s="49"/>
      <c r="AB127" s="47"/>
      <c r="AC127" s="48"/>
      <c r="AD127" s="49"/>
      <c r="AE127" s="47"/>
      <c r="AF127" s="48"/>
      <c r="AG127" s="49"/>
      <c r="AH127" s="47"/>
      <c r="AI127" s="48"/>
      <c r="AJ127" s="49"/>
      <c r="AK127" s="47"/>
      <c r="AL127" s="48"/>
      <c r="AM127" s="49"/>
      <c r="AN127" s="47"/>
      <c r="AO127" s="48"/>
      <c r="AP127" s="49"/>
      <c r="AQ127" s="47"/>
      <c r="AR127" s="48"/>
      <c r="AS127" s="49"/>
      <c r="AT127" s="47"/>
      <c r="AU127" s="49"/>
      <c r="AV127" s="47"/>
      <c r="AW127" s="49"/>
      <c r="AX127" s="47"/>
      <c r="AY127" s="49"/>
      <c r="AZ127" s="47"/>
      <c r="BA127" s="49"/>
      <c r="BB127" s="13"/>
      <c r="BC127" s="56" t="str">
        <f t="shared" si="0"/>
        <v>･</v>
      </c>
      <c r="BD127" s="44" t="str">
        <f t="shared" si="1"/>
        <v>･</v>
      </c>
      <c r="BE127" s="56" t="str">
        <f>IF(ISNUMBER(BC127),BC127/固有値!E24,"･")</f>
        <v>･</v>
      </c>
      <c r="BF127" s="44" t="str">
        <f>IF(ISNUMBER(BD127),BD127/固有値!E24,"･")</f>
        <v>･</v>
      </c>
      <c r="BG127" s="56" t="str">
        <f t="shared" si="2"/>
        <v>･</v>
      </c>
      <c r="BH127" s="44" t="str">
        <f t="shared" si="3"/>
        <v>･</v>
      </c>
    </row>
    <row r="128" spans="1:60" ht="9.75" hidden="1" customHeight="1">
      <c r="A128" s="5" t="str">
        <f t="shared" si="4"/>
        <v>･</v>
      </c>
      <c r="B128" s="47"/>
      <c r="C128" s="48"/>
      <c r="D128" s="48"/>
      <c r="E128" s="49"/>
      <c r="F128" s="47"/>
      <c r="G128" s="48"/>
      <c r="H128" s="48"/>
      <c r="I128" s="49"/>
      <c r="J128" s="47"/>
      <c r="K128" s="48"/>
      <c r="L128" s="48"/>
      <c r="M128" s="49"/>
      <c r="N128" s="47"/>
      <c r="O128" s="48"/>
      <c r="P128" s="48"/>
      <c r="Q128" s="49"/>
      <c r="R128" s="47"/>
      <c r="S128" s="48"/>
      <c r="T128" s="48"/>
      <c r="U128" s="49"/>
      <c r="V128" s="47"/>
      <c r="W128" s="48"/>
      <c r="X128" s="49"/>
      <c r="Y128" s="47"/>
      <c r="Z128" s="48"/>
      <c r="AA128" s="49"/>
      <c r="AB128" s="47"/>
      <c r="AC128" s="48"/>
      <c r="AD128" s="49"/>
      <c r="AE128" s="47"/>
      <c r="AF128" s="48"/>
      <c r="AG128" s="49"/>
      <c r="AH128" s="47"/>
      <c r="AI128" s="48"/>
      <c r="AJ128" s="49"/>
      <c r="AK128" s="47"/>
      <c r="AL128" s="48"/>
      <c r="AM128" s="49"/>
      <c r="AN128" s="47"/>
      <c r="AO128" s="48"/>
      <c r="AP128" s="49"/>
      <c r="AQ128" s="47"/>
      <c r="AR128" s="48"/>
      <c r="AS128" s="49"/>
      <c r="AT128" s="47"/>
      <c r="AU128" s="49"/>
      <c r="AV128" s="47"/>
      <c r="AW128" s="49"/>
      <c r="AX128" s="47"/>
      <c r="AY128" s="49"/>
      <c r="AZ128" s="47"/>
      <c r="BA128" s="49"/>
      <c r="BB128" s="13"/>
      <c r="BC128" s="56" t="str">
        <f t="shared" si="0"/>
        <v>･</v>
      </c>
      <c r="BD128" s="44" t="str">
        <f t="shared" si="1"/>
        <v>･</v>
      </c>
      <c r="BE128" s="56" t="str">
        <f>IF(ISNUMBER(BC128),BC128/固有値!E25,"･")</f>
        <v>･</v>
      </c>
      <c r="BF128" s="44" t="str">
        <f>IF(ISNUMBER(BD128),BD128/固有値!E25,"･")</f>
        <v>･</v>
      </c>
      <c r="BG128" s="56" t="str">
        <f t="shared" si="2"/>
        <v>･</v>
      </c>
      <c r="BH128" s="44" t="str">
        <f t="shared" si="3"/>
        <v>･</v>
      </c>
    </row>
    <row r="129" spans="1:60" ht="9.75" hidden="1" customHeight="1">
      <c r="A129" s="5" t="str">
        <f t="shared" si="4"/>
        <v>･</v>
      </c>
      <c r="B129" s="47"/>
      <c r="C129" s="48"/>
      <c r="D129" s="48"/>
      <c r="E129" s="49"/>
      <c r="F129" s="47"/>
      <c r="G129" s="48"/>
      <c r="H129" s="48"/>
      <c r="I129" s="49"/>
      <c r="J129" s="47"/>
      <c r="K129" s="48"/>
      <c r="L129" s="48"/>
      <c r="M129" s="49"/>
      <c r="N129" s="47"/>
      <c r="O129" s="48"/>
      <c r="P129" s="48"/>
      <c r="Q129" s="49"/>
      <c r="R129" s="47"/>
      <c r="S129" s="48"/>
      <c r="T129" s="48"/>
      <c r="U129" s="49"/>
      <c r="V129" s="47"/>
      <c r="W129" s="48"/>
      <c r="X129" s="49"/>
      <c r="Y129" s="47"/>
      <c r="Z129" s="48"/>
      <c r="AA129" s="49"/>
      <c r="AB129" s="47"/>
      <c r="AC129" s="48"/>
      <c r="AD129" s="49"/>
      <c r="AE129" s="47"/>
      <c r="AF129" s="48"/>
      <c r="AG129" s="49"/>
      <c r="AH129" s="47"/>
      <c r="AI129" s="48"/>
      <c r="AJ129" s="49"/>
      <c r="AK129" s="47"/>
      <c r="AL129" s="48"/>
      <c r="AM129" s="49"/>
      <c r="AN129" s="47"/>
      <c r="AO129" s="48"/>
      <c r="AP129" s="49"/>
      <c r="AQ129" s="47"/>
      <c r="AR129" s="48"/>
      <c r="AS129" s="49"/>
      <c r="AT129" s="47"/>
      <c r="AU129" s="49"/>
      <c r="AV129" s="47"/>
      <c r="AW129" s="49"/>
      <c r="AX129" s="47"/>
      <c r="AY129" s="49"/>
      <c r="AZ129" s="47"/>
      <c r="BA129" s="49"/>
      <c r="BB129" s="13"/>
      <c r="BC129" s="56" t="str">
        <f t="shared" si="0"/>
        <v>･</v>
      </c>
      <c r="BD129" s="44" t="str">
        <f t="shared" si="1"/>
        <v>･</v>
      </c>
      <c r="BE129" s="56" t="str">
        <f>IF(ISNUMBER(BC129),BC129/固有値!E26,"･")</f>
        <v>･</v>
      </c>
      <c r="BF129" s="44" t="str">
        <f>IF(ISNUMBER(BD129),BD129/固有値!E26,"･")</f>
        <v>･</v>
      </c>
      <c r="BG129" s="56" t="str">
        <f t="shared" si="2"/>
        <v>･</v>
      </c>
      <c r="BH129" s="44" t="str">
        <f t="shared" si="3"/>
        <v>･</v>
      </c>
    </row>
    <row r="130" spans="1:60" ht="9.75" hidden="1" customHeight="1">
      <c r="A130" s="5" t="str">
        <f t="shared" si="4"/>
        <v>･</v>
      </c>
      <c r="B130" s="47"/>
      <c r="C130" s="48"/>
      <c r="D130" s="48"/>
      <c r="E130" s="49"/>
      <c r="F130" s="47"/>
      <c r="G130" s="48"/>
      <c r="H130" s="48"/>
      <c r="I130" s="49"/>
      <c r="J130" s="47"/>
      <c r="K130" s="48"/>
      <c r="L130" s="48"/>
      <c r="M130" s="49"/>
      <c r="N130" s="47"/>
      <c r="O130" s="48"/>
      <c r="P130" s="48"/>
      <c r="Q130" s="49"/>
      <c r="R130" s="47"/>
      <c r="S130" s="48"/>
      <c r="T130" s="48"/>
      <c r="U130" s="49"/>
      <c r="V130" s="47"/>
      <c r="W130" s="48"/>
      <c r="X130" s="49"/>
      <c r="Y130" s="47"/>
      <c r="Z130" s="48"/>
      <c r="AA130" s="49"/>
      <c r="AB130" s="47"/>
      <c r="AC130" s="48"/>
      <c r="AD130" s="49"/>
      <c r="AE130" s="47"/>
      <c r="AF130" s="48"/>
      <c r="AG130" s="49"/>
      <c r="AH130" s="47"/>
      <c r="AI130" s="48"/>
      <c r="AJ130" s="49"/>
      <c r="AK130" s="47"/>
      <c r="AL130" s="48"/>
      <c r="AM130" s="49"/>
      <c r="AN130" s="47"/>
      <c r="AO130" s="48"/>
      <c r="AP130" s="49"/>
      <c r="AQ130" s="47"/>
      <c r="AR130" s="48"/>
      <c r="AS130" s="49"/>
      <c r="AT130" s="47"/>
      <c r="AU130" s="49"/>
      <c r="AV130" s="47"/>
      <c r="AW130" s="49"/>
      <c r="AX130" s="47"/>
      <c r="AY130" s="49"/>
      <c r="AZ130" s="47"/>
      <c r="BA130" s="49"/>
      <c r="BB130" s="13"/>
      <c r="BC130" s="56" t="str">
        <f t="shared" si="0"/>
        <v>･</v>
      </c>
      <c r="BD130" s="44" t="str">
        <f t="shared" si="1"/>
        <v>･</v>
      </c>
      <c r="BE130" s="56" t="str">
        <f>IF(ISNUMBER(BC130),BC130/固有値!E27,"･")</f>
        <v>･</v>
      </c>
      <c r="BF130" s="44" t="str">
        <f>IF(ISNUMBER(BD130),BD130/固有値!E27,"･")</f>
        <v>･</v>
      </c>
      <c r="BG130" s="56" t="str">
        <f t="shared" si="2"/>
        <v>･</v>
      </c>
      <c r="BH130" s="44" t="str">
        <f t="shared" si="3"/>
        <v>･</v>
      </c>
    </row>
    <row r="131" spans="1:60" ht="9.75" hidden="1" customHeight="1">
      <c r="A131" s="5" t="str">
        <f t="shared" si="4"/>
        <v>･</v>
      </c>
      <c r="B131" s="47"/>
      <c r="C131" s="48"/>
      <c r="D131" s="48"/>
      <c r="E131" s="49"/>
      <c r="F131" s="47"/>
      <c r="G131" s="48"/>
      <c r="H131" s="48"/>
      <c r="I131" s="49"/>
      <c r="J131" s="47"/>
      <c r="K131" s="48"/>
      <c r="L131" s="48"/>
      <c r="M131" s="49"/>
      <c r="N131" s="47"/>
      <c r="O131" s="48"/>
      <c r="P131" s="48"/>
      <c r="Q131" s="49"/>
      <c r="R131" s="47"/>
      <c r="S131" s="48"/>
      <c r="T131" s="48"/>
      <c r="U131" s="49"/>
      <c r="V131" s="47"/>
      <c r="W131" s="48"/>
      <c r="X131" s="49"/>
      <c r="Y131" s="47"/>
      <c r="Z131" s="48"/>
      <c r="AA131" s="49"/>
      <c r="AB131" s="47"/>
      <c r="AC131" s="48"/>
      <c r="AD131" s="49"/>
      <c r="AE131" s="47"/>
      <c r="AF131" s="48"/>
      <c r="AG131" s="49"/>
      <c r="AH131" s="47"/>
      <c r="AI131" s="48"/>
      <c r="AJ131" s="49"/>
      <c r="AK131" s="47"/>
      <c r="AL131" s="48"/>
      <c r="AM131" s="49"/>
      <c r="AN131" s="47"/>
      <c r="AO131" s="48"/>
      <c r="AP131" s="49"/>
      <c r="AQ131" s="47"/>
      <c r="AR131" s="48"/>
      <c r="AS131" s="49"/>
      <c r="AT131" s="47"/>
      <c r="AU131" s="49"/>
      <c r="AV131" s="47"/>
      <c r="AW131" s="49"/>
      <c r="AX131" s="47"/>
      <c r="AY131" s="49"/>
      <c r="AZ131" s="47"/>
      <c r="BA131" s="49"/>
      <c r="BB131" s="13"/>
      <c r="BC131" s="56" t="str">
        <f t="shared" si="0"/>
        <v>･</v>
      </c>
      <c r="BD131" s="44" t="str">
        <f t="shared" si="1"/>
        <v>･</v>
      </c>
      <c r="BE131" s="56" t="str">
        <f>IF(ISNUMBER(BC131),BC131/固有値!E28,"･")</f>
        <v>･</v>
      </c>
      <c r="BF131" s="44" t="str">
        <f>IF(ISNUMBER(BD131),BD131/固有値!E28,"･")</f>
        <v>･</v>
      </c>
      <c r="BG131" s="56" t="str">
        <f t="shared" si="2"/>
        <v>･</v>
      </c>
      <c r="BH131" s="44" t="str">
        <f t="shared" si="3"/>
        <v>･</v>
      </c>
    </row>
    <row r="132" spans="1:60" ht="9.75" hidden="1" customHeight="1">
      <c r="A132" s="5" t="str">
        <f t="shared" si="4"/>
        <v>･</v>
      </c>
      <c r="B132" s="47"/>
      <c r="C132" s="48"/>
      <c r="D132" s="48"/>
      <c r="E132" s="49"/>
      <c r="F132" s="47"/>
      <c r="G132" s="48"/>
      <c r="H132" s="48"/>
      <c r="I132" s="49"/>
      <c r="J132" s="47"/>
      <c r="K132" s="48"/>
      <c r="L132" s="48"/>
      <c r="M132" s="49"/>
      <c r="N132" s="47"/>
      <c r="O132" s="48"/>
      <c r="P132" s="48"/>
      <c r="Q132" s="49"/>
      <c r="R132" s="47"/>
      <c r="S132" s="48"/>
      <c r="T132" s="48"/>
      <c r="U132" s="49"/>
      <c r="V132" s="47"/>
      <c r="W132" s="48"/>
      <c r="X132" s="49"/>
      <c r="Y132" s="47"/>
      <c r="Z132" s="48"/>
      <c r="AA132" s="49"/>
      <c r="AB132" s="47"/>
      <c r="AC132" s="48"/>
      <c r="AD132" s="49"/>
      <c r="AE132" s="47"/>
      <c r="AF132" s="48"/>
      <c r="AG132" s="49"/>
      <c r="AH132" s="47"/>
      <c r="AI132" s="48"/>
      <c r="AJ132" s="49"/>
      <c r="AK132" s="47"/>
      <c r="AL132" s="48"/>
      <c r="AM132" s="49"/>
      <c r="AN132" s="47"/>
      <c r="AO132" s="48"/>
      <c r="AP132" s="49"/>
      <c r="AQ132" s="47"/>
      <c r="AR132" s="48"/>
      <c r="AS132" s="49"/>
      <c r="AT132" s="47"/>
      <c r="AU132" s="49"/>
      <c r="AV132" s="47"/>
      <c r="AW132" s="49"/>
      <c r="AX132" s="47"/>
      <c r="AY132" s="49"/>
      <c r="AZ132" s="47"/>
      <c r="BA132" s="49"/>
      <c r="BB132" s="13"/>
      <c r="BC132" s="56" t="str">
        <f t="shared" si="0"/>
        <v>･</v>
      </c>
      <c r="BD132" s="44" t="str">
        <f t="shared" si="1"/>
        <v>･</v>
      </c>
      <c r="BE132" s="56" t="str">
        <f>IF(ISNUMBER(BC132),BC132/固有値!E29,"･")</f>
        <v>･</v>
      </c>
      <c r="BF132" s="44" t="str">
        <f>IF(ISNUMBER(BD132),BD132/固有値!E29,"･")</f>
        <v>･</v>
      </c>
      <c r="BG132" s="56" t="str">
        <f t="shared" si="2"/>
        <v>･</v>
      </c>
      <c r="BH132" s="44" t="str">
        <f t="shared" si="3"/>
        <v>･</v>
      </c>
    </row>
    <row r="133" spans="1:60" ht="9.75" hidden="1" customHeight="1">
      <c r="A133" s="5" t="str">
        <f t="shared" si="4"/>
        <v>･</v>
      </c>
      <c r="B133" s="47"/>
      <c r="C133" s="48"/>
      <c r="D133" s="48"/>
      <c r="E133" s="49"/>
      <c r="F133" s="47"/>
      <c r="G133" s="48"/>
      <c r="H133" s="48"/>
      <c r="I133" s="49"/>
      <c r="J133" s="47"/>
      <c r="K133" s="48"/>
      <c r="L133" s="48"/>
      <c r="M133" s="49"/>
      <c r="N133" s="47"/>
      <c r="O133" s="48"/>
      <c r="P133" s="48"/>
      <c r="Q133" s="49"/>
      <c r="R133" s="47"/>
      <c r="S133" s="48"/>
      <c r="T133" s="48"/>
      <c r="U133" s="49"/>
      <c r="V133" s="47"/>
      <c r="W133" s="48"/>
      <c r="X133" s="49"/>
      <c r="Y133" s="47"/>
      <c r="Z133" s="48"/>
      <c r="AA133" s="49"/>
      <c r="AB133" s="47"/>
      <c r="AC133" s="48"/>
      <c r="AD133" s="49"/>
      <c r="AE133" s="47"/>
      <c r="AF133" s="48"/>
      <c r="AG133" s="49"/>
      <c r="AH133" s="47"/>
      <c r="AI133" s="48"/>
      <c r="AJ133" s="49"/>
      <c r="AK133" s="47"/>
      <c r="AL133" s="48"/>
      <c r="AM133" s="49"/>
      <c r="AN133" s="47"/>
      <c r="AO133" s="48"/>
      <c r="AP133" s="49"/>
      <c r="AQ133" s="47"/>
      <c r="AR133" s="48"/>
      <c r="AS133" s="49"/>
      <c r="AT133" s="47"/>
      <c r="AU133" s="49"/>
      <c r="AV133" s="47"/>
      <c r="AW133" s="49"/>
      <c r="AX133" s="47"/>
      <c r="AY133" s="49"/>
      <c r="AZ133" s="47"/>
      <c r="BA133" s="49"/>
      <c r="BB133" s="13"/>
      <c r="BC133" s="56" t="str">
        <f t="shared" si="0"/>
        <v>･</v>
      </c>
      <c r="BD133" s="44" t="str">
        <f t="shared" si="1"/>
        <v>･</v>
      </c>
      <c r="BE133" s="56" t="str">
        <f>IF(ISNUMBER(BC133),BC133/固有値!E30,"･")</f>
        <v>･</v>
      </c>
      <c r="BF133" s="44" t="str">
        <f>IF(ISNUMBER(BD133),BD133/固有値!E30,"･")</f>
        <v>･</v>
      </c>
      <c r="BG133" s="56" t="str">
        <f t="shared" si="2"/>
        <v>･</v>
      </c>
      <c r="BH133" s="44" t="str">
        <f t="shared" si="3"/>
        <v>･</v>
      </c>
    </row>
    <row r="134" spans="1:60" ht="9.75" hidden="1" customHeight="1">
      <c r="A134" s="5" t="str">
        <f t="shared" si="4"/>
        <v>･</v>
      </c>
      <c r="B134" s="47"/>
      <c r="C134" s="48"/>
      <c r="D134" s="48"/>
      <c r="E134" s="49"/>
      <c r="F134" s="47"/>
      <c r="G134" s="48"/>
      <c r="H134" s="48"/>
      <c r="I134" s="49"/>
      <c r="J134" s="47"/>
      <c r="K134" s="48"/>
      <c r="L134" s="48"/>
      <c r="M134" s="49"/>
      <c r="N134" s="47"/>
      <c r="O134" s="48"/>
      <c r="P134" s="48"/>
      <c r="Q134" s="49"/>
      <c r="R134" s="47"/>
      <c r="S134" s="48"/>
      <c r="T134" s="48"/>
      <c r="U134" s="49"/>
      <c r="V134" s="47"/>
      <c r="W134" s="48"/>
      <c r="X134" s="49"/>
      <c r="Y134" s="47"/>
      <c r="Z134" s="48"/>
      <c r="AA134" s="49"/>
      <c r="AB134" s="47"/>
      <c r="AC134" s="48"/>
      <c r="AD134" s="49"/>
      <c r="AE134" s="47"/>
      <c r="AF134" s="48"/>
      <c r="AG134" s="49"/>
      <c r="AH134" s="47"/>
      <c r="AI134" s="48"/>
      <c r="AJ134" s="49"/>
      <c r="AK134" s="47"/>
      <c r="AL134" s="48"/>
      <c r="AM134" s="49"/>
      <c r="AN134" s="47"/>
      <c r="AO134" s="48"/>
      <c r="AP134" s="49"/>
      <c r="AQ134" s="47"/>
      <c r="AR134" s="48"/>
      <c r="AS134" s="49"/>
      <c r="AT134" s="47"/>
      <c r="AU134" s="49"/>
      <c r="AV134" s="47"/>
      <c r="AW134" s="49"/>
      <c r="AX134" s="47"/>
      <c r="AY134" s="49"/>
      <c r="AZ134" s="47"/>
      <c r="BA134" s="49"/>
      <c r="BB134" s="13"/>
      <c r="BC134" s="56" t="str">
        <f t="shared" si="0"/>
        <v>･</v>
      </c>
      <c r="BD134" s="44" t="str">
        <f t="shared" si="1"/>
        <v>･</v>
      </c>
      <c r="BE134" s="56" t="str">
        <f>IF(ISNUMBER(BC134),BC134/固有値!E31,"･")</f>
        <v>･</v>
      </c>
      <c r="BF134" s="44" t="str">
        <f>IF(ISNUMBER(BD134),BD134/固有値!E31,"･")</f>
        <v>･</v>
      </c>
      <c r="BG134" s="56" t="str">
        <f t="shared" si="2"/>
        <v>･</v>
      </c>
      <c r="BH134" s="44" t="str">
        <f t="shared" si="3"/>
        <v>･</v>
      </c>
    </row>
    <row r="135" spans="1:60" ht="9.75" hidden="1" customHeight="1">
      <c r="A135" s="5" t="str">
        <f t="shared" si="4"/>
        <v>･</v>
      </c>
      <c r="B135" s="47"/>
      <c r="C135" s="48"/>
      <c r="D135" s="48"/>
      <c r="E135" s="49"/>
      <c r="F135" s="47"/>
      <c r="G135" s="48"/>
      <c r="H135" s="48"/>
      <c r="I135" s="49"/>
      <c r="J135" s="47"/>
      <c r="K135" s="48"/>
      <c r="L135" s="48"/>
      <c r="M135" s="49"/>
      <c r="N135" s="47"/>
      <c r="O135" s="48"/>
      <c r="P135" s="48"/>
      <c r="Q135" s="49"/>
      <c r="R135" s="47"/>
      <c r="S135" s="48"/>
      <c r="T135" s="48"/>
      <c r="U135" s="49"/>
      <c r="V135" s="47"/>
      <c r="W135" s="48"/>
      <c r="X135" s="49"/>
      <c r="Y135" s="47"/>
      <c r="Z135" s="48"/>
      <c r="AA135" s="49"/>
      <c r="AB135" s="47"/>
      <c r="AC135" s="48"/>
      <c r="AD135" s="49"/>
      <c r="AE135" s="47"/>
      <c r="AF135" s="48"/>
      <c r="AG135" s="49"/>
      <c r="AH135" s="47"/>
      <c r="AI135" s="48"/>
      <c r="AJ135" s="49"/>
      <c r="AK135" s="47"/>
      <c r="AL135" s="48"/>
      <c r="AM135" s="49"/>
      <c r="AN135" s="47"/>
      <c r="AO135" s="48"/>
      <c r="AP135" s="49"/>
      <c r="AQ135" s="47"/>
      <c r="AR135" s="48"/>
      <c r="AS135" s="49"/>
      <c r="AT135" s="47"/>
      <c r="AU135" s="49"/>
      <c r="AV135" s="47"/>
      <c r="AW135" s="49"/>
      <c r="AX135" s="47"/>
      <c r="AY135" s="49"/>
      <c r="AZ135" s="47"/>
      <c r="BA135" s="49"/>
      <c r="BB135" s="13"/>
      <c r="BC135" s="56" t="str">
        <f t="shared" si="0"/>
        <v>･</v>
      </c>
      <c r="BD135" s="44" t="str">
        <f t="shared" si="1"/>
        <v>･</v>
      </c>
      <c r="BE135" s="56" t="str">
        <f>IF(ISNUMBER(BC135),BC135/固有値!E32,"･")</f>
        <v>･</v>
      </c>
      <c r="BF135" s="44" t="str">
        <f>IF(ISNUMBER(BD135),BD135/固有値!E32,"･")</f>
        <v>･</v>
      </c>
      <c r="BG135" s="56" t="str">
        <f t="shared" si="2"/>
        <v>･</v>
      </c>
      <c r="BH135" s="44" t="str">
        <f t="shared" si="3"/>
        <v>･</v>
      </c>
    </row>
    <row r="136" spans="1:60" ht="9.75" hidden="1" customHeight="1">
      <c r="A136" s="5" t="str">
        <f t="shared" si="4"/>
        <v>･</v>
      </c>
      <c r="B136" s="47"/>
      <c r="C136" s="48"/>
      <c r="D136" s="48"/>
      <c r="E136" s="49"/>
      <c r="F136" s="47"/>
      <c r="G136" s="48"/>
      <c r="H136" s="48"/>
      <c r="I136" s="49"/>
      <c r="J136" s="47"/>
      <c r="K136" s="48"/>
      <c r="L136" s="48"/>
      <c r="M136" s="49"/>
      <c r="N136" s="47"/>
      <c r="O136" s="48"/>
      <c r="P136" s="48"/>
      <c r="Q136" s="49"/>
      <c r="R136" s="47"/>
      <c r="S136" s="48"/>
      <c r="T136" s="48"/>
      <c r="U136" s="49"/>
      <c r="V136" s="47"/>
      <c r="W136" s="48"/>
      <c r="X136" s="49"/>
      <c r="Y136" s="47"/>
      <c r="Z136" s="48"/>
      <c r="AA136" s="49"/>
      <c r="AB136" s="47"/>
      <c r="AC136" s="48"/>
      <c r="AD136" s="49"/>
      <c r="AE136" s="47"/>
      <c r="AF136" s="48"/>
      <c r="AG136" s="49"/>
      <c r="AH136" s="47"/>
      <c r="AI136" s="48"/>
      <c r="AJ136" s="49"/>
      <c r="AK136" s="47"/>
      <c r="AL136" s="48"/>
      <c r="AM136" s="49"/>
      <c r="AN136" s="47"/>
      <c r="AO136" s="48"/>
      <c r="AP136" s="49"/>
      <c r="AQ136" s="47"/>
      <c r="AR136" s="48"/>
      <c r="AS136" s="49"/>
      <c r="AT136" s="47"/>
      <c r="AU136" s="49"/>
      <c r="AV136" s="47"/>
      <c r="AW136" s="49"/>
      <c r="AX136" s="47"/>
      <c r="AY136" s="49"/>
      <c r="AZ136" s="47"/>
      <c r="BA136" s="49"/>
      <c r="BB136" s="13"/>
      <c r="BC136" s="56" t="str">
        <f t="shared" si="0"/>
        <v>･</v>
      </c>
      <c r="BD136" s="44" t="str">
        <f t="shared" si="1"/>
        <v>･</v>
      </c>
      <c r="BE136" s="56" t="str">
        <f>IF(ISNUMBER(BC136),BC136/固有値!E33,"･")</f>
        <v>･</v>
      </c>
      <c r="BF136" s="44" t="str">
        <f>IF(ISNUMBER(BD136),BD136/固有値!E33,"･")</f>
        <v>･</v>
      </c>
      <c r="BG136" s="56" t="str">
        <f t="shared" si="2"/>
        <v>･</v>
      </c>
      <c r="BH136" s="44" t="str">
        <f t="shared" si="3"/>
        <v>･</v>
      </c>
    </row>
    <row r="137" spans="1:60" ht="9.75" hidden="1" customHeight="1">
      <c r="A137" s="5" t="str">
        <f t="shared" si="4"/>
        <v>･</v>
      </c>
      <c r="B137" s="47"/>
      <c r="C137" s="48"/>
      <c r="D137" s="48"/>
      <c r="E137" s="49"/>
      <c r="F137" s="47"/>
      <c r="G137" s="48"/>
      <c r="H137" s="48"/>
      <c r="I137" s="49"/>
      <c r="J137" s="47"/>
      <c r="K137" s="48"/>
      <c r="L137" s="48"/>
      <c r="M137" s="49"/>
      <c r="N137" s="47"/>
      <c r="O137" s="48"/>
      <c r="P137" s="48"/>
      <c r="Q137" s="49"/>
      <c r="R137" s="47"/>
      <c r="S137" s="48"/>
      <c r="T137" s="48"/>
      <c r="U137" s="49"/>
      <c r="V137" s="47"/>
      <c r="W137" s="48"/>
      <c r="X137" s="49"/>
      <c r="Y137" s="47"/>
      <c r="Z137" s="48"/>
      <c r="AA137" s="49"/>
      <c r="AB137" s="47"/>
      <c r="AC137" s="48"/>
      <c r="AD137" s="49"/>
      <c r="AE137" s="47"/>
      <c r="AF137" s="48"/>
      <c r="AG137" s="49"/>
      <c r="AH137" s="47"/>
      <c r="AI137" s="48"/>
      <c r="AJ137" s="49"/>
      <c r="AK137" s="47"/>
      <c r="AL137" s="48"/>
      <c r="AM137" s="49"/>
      <c r="AN137" s="47"/>
      <c r="AO137" s="48"/>
      <c r="AP137" s="49"/>
      <c r="AQ137" s="47"/>
      <c r="AR137" s="48"/>
      <c r="AS137" s="49"/>
      <c r="AT137" s="47"/>
      <c r="AU137" s="49"/>
      <c r="AV137" s="47"/>
      <c r="AW137" s="49"/>
      <c r="AX137" s="47"/>
      <c r="AY137" s="49"/>
      <c r="AZ137" s="47"/>
      <c r="BA137" s="49"/>
      <c r="BB137" s="13"/>
      <c r="BC137" s="56" t="str">
        <f t="shared" si="0"/>
        <v>･</v>
      </c>
      <c r="BD137" s="44" t="str">
        <f t="shared" si="1"/>
        <v>･</v>
      </c>
      <c r="BE137" s="56" t="str">
        <f>IF(ISNUMBER(BC137),BC137/固有値!E34,"･")</f>
        <v>･</v>
      </c>
      <c r="BF137" s="44" t="str">
        <f>IF(ISNUMBER(BD137),BD137/固有値!E34,"･")</f>
        <v>･</v>
      </c>
      <c r="BG137" s="56" t="str">
        <f t="shared" si="2"/>
        <v>･</v>
      </c>
      <c r="BH137" s="44" t="str">
        <f t="shared" si="3"/>
        <v>･</v>
      </c>
    </row>
    <row r="138" spans="1:60" ht="9.75" hidden="1" customHeight="1">
      <c r="A138" s="5" t="str">
        <f t="shared" si="4"/>
        <v>･</v>
      </c>
      <c r="B138" s="47"/>
      <c r="C138" s="48"/>
      <c r="D138" s="48"/>
      <c r="E138" s="49"/>
      <c r="F138" s="47"/>
      <c r="G138" s="48"/>
      <c r="H138" s="48"/>
      <c r="I138" s="49"/>
      <c r="J138" s="47"/>
      <c r="K138" s="48"/>
      <c r="L138" s="48"/>
      <c r="M138" s="49"/>
      <c r="N138" s="47"/>
      <c r="O138" s="48"/>
      <c r="P138" s="48"/>
      <c r="Q138" s="49"/>
      <c r="R138" s="47"/>
      <c r="S138" s="48"/>
      <c r="T138" s="48"/>
      <c r="U138" s="49"/>
      <c r="V138" s="47"/>
      <c r="W138" s="48"/>
      <c r="X138" s="49"/>
      <c r="Y138" s="47"/>
      <c r="Z138" s="48"/>
      <c r="AA138" s="49"/>
      <c r="AB138" s="47"/>
      <c r="AC138" s="48"/>
      <c r="AD138" s="49"/>
      <c r="AE138" s="47"/>
      <c r="AF138" s="48"/>
      <c r="AG138" s="49"/>
      <c r="AH138" s="47"/>
      <c r="AI138" s="48"/>
      <c r="AJ138" s="49"/>
      <c r="AK138" s="47"/>
      <c r="AL138" s="48"/>
      <c r="AM138" s="49"/>
      <c r="AN138" s="47"/>
      <c r="AO138" s="48"/>
      <c r="AP138" s="49"/>
      <c r="AQ138" s="47"/>
      <c r="AR138" s="48"/>
      <c r="AS138" s="49"/>
      <c r="AT138" s="47"/>
      <c r="AU138" s="49"/>
      <c r="AV138" s="47"/>
      <c r="AW138" s="49"/>
      <c r="AX138" s="47"/>
      <c r="AY138" s="49"/>
      <c r="AZ138" s="47"/>
      <c r="BA138" s="49"/>
      <c r="BB138" s="13"/>
      <c r="BC138" s="56" t="str">
        <f t="shared" ref="BC138:BC155" si="5">IF(ISNUMBER(V138),IF(BC$104="μ=η/2+1",V138,IF(BC$104="manual5.3",W138,X138)),"･")</f>
        <v>･</v>
      </c>
      <c r="BD138" s="44" t="str">
        <f t="shared" ref="BD138:BD155" si="6">IF(ISNUMBER(Y138),IF(BC$104="μ=η/2+1",Y138,IF(BC$104="manual5.3",Z138,AA138)),"･")</f>
        <v>･</v>
      </c>
      <c r="BE138" s="56" t="str">
        <f>IF(ISNUMBER(BC138),BC138/固有値!E35,"･")</f>
        <v>･</v>
      </c>
      <c r="BF138" s="44" t="str">
        <f>IF(ISNUMBER(BD138),BD138/固有値!E35,"･")</f>
        <v>･</v>
      </c>
      <c r="BG138" s="56" t="str">
        <f t="shared" ref="BG138:BG155" si="7">IF(ISNUMBER(AB138),IF(BC$104="μ=η/2+1",AB138,IF(BC$104="manual5.3",AC138,AD138)),"･")</f>
        <v>･</v>
      </c>
      <c r="BH138" s="44" t="str">
        <f t="shared" ref="BH138:BH155" si="8">IF(ISNUMBER(AE138),IF(BC$104="μ=η/2+1",AE138,IF(BC$104="manual5.3",AF138,AG138)),"･")</f>
        <v>･</v>
      </c>
    </row>
    <row r="139" spans="1:60" ht="9.75" hidden="1" customHeight="1">
      <c r="A139" s="5" t="str">
        <f t="shared" si="4"/>
        <v>･</v>
      </c>
      <c r="B139" s="47"/>
      <c r="C139" s="48"/>
      <c r="D139" s="48"/>
      <c r="E139" s="49"/>
      <c r="F139" s="47"/>
      <c r="G139" s="48"/>
      <c r="H139" s="48"/>
      <c r="I139" s="49"/>
      <c r="J139" s="47"/>
      <c r="K139" s="48"/>
      <c r="L139" s="48"/>
      <c r="M139" s="49"/>
      <c r="N139" s="47"/>
      <c r="O139" s="48"/>
      <c r="P139" s="48"/>
      <c r="Q139" s="49"/>
      <c r="R139" s="47"/>
      <c r="S139" s="48"/>
      <c r="T139" s="48"/>
      <c r="U139" s="49"/>
      <c r="V139" s="47"/>
      <c r="W139" s="48"/>
      <c r="X139" s="49"/>
      <c r="Y139" s="47"/>
      <c r="Z139" s="48"/>
      <c r="AA139" s="49"/>
      <c r="AB139" s="47"/>
      <c r="AC139" s="48"/>
      <c r="AD139" s="49"/>
      <c r="AE139" s="47"/>
      <c r="AF139" s="48"/>
      <c r="AG139" s="49"/>
      <c r="AH139" s="47"/>
      <c r="AI139" s="48"/>
      <c r="AJ139" s="49"/>
      <c r="AK139" s="47"/>
      <c r="AL139" s="48"/>
      <c r="AM139" s="49"/>
      <c r="AN139" s="47"/>
      <c r="AO139" s="48"/>
      <c r="AP139" s="49"/>
      <c r="AQ139" s="47"/>
      <c r="AR139" s="48"/>
      <c r="AS139" s="49"/>
      <c r="AT139" s="47"/>
      <c r="AU139" s="49"/>
      <c r="AV139" s="47"/>
      <c r="AW139" s="49"/>
      <c r="AX139" s="47"/>
      <c r="AY139" s="49"/>
      <c r="AZ139" s="47"/>
      <c r="BA139" s="49"/>
      <c r="BB139" s="13"/>
      <c r="BC139" s="56" t="str">
        <f t="shared" si="5"/>
        <v>･</v>
      </c>
      <c r="BD139" s="44" t="str">
        <f t="shared" si="6"/>
        <v>･</v>
      </c>
      <c r="BE139" s="56" t="str">
        <f>IF(ISNUMBER(BC139),BC139/固有値!E36,"･")</f>
        <v>･</v>
      </c>
      <c r="BF139" s="44" t="str">
        <f>IF(ISNUMBER(BD139),BD139/固有値!E36,"･")</f>
        <v>･</v>
      </c>
      <c r="BG139" s="56" t="str">
        <f t="shared" si="7"/>
        <v>･</v>
      </c>
      <c r="BH139" s="44" t="str">
        <f t="shared" si="8"/>
        <v>･</v>
      </c>
    </row>
    <row r="140" spans="1:60" ht="9.75" hidden="1" customHeight="1">
      <c r="A140" s="5" t="str">
        <f t="shared" si="4"/>
        <v>･</v>
      </c>
      <c r="B140" s="47"/>
      <c r="C140" s="48"/>
      <c r="D140" s="48"/>
      <c r="E140" s="49"/>
      <c r="F140" s="47"/>
      <c r="G140" s="48"/>
      <c r="H140" s="48"/>
      <c r="I140" s="49"/>
      <c r="J140" s="47"/>
      <c r="K140" s="48"/>
      <c r="L140" s="48"/>
      <c r="M140" s="49"/>
      <c r="N140" s="47"/>
      <c r="O140" s="48"/>
      <c r="P140" s="48"/>
      <c r="Q140" s="49"/>
      <c r="R140" s="47"/>
      <c r="S140" s="48"/>
      <c r="T140" s="48"/>
      <c r="U140" s="49"/>
      <c r="V140" s="47"/>
      <c r="W140" s="48"/>
      <c r="X140" s="49"/>
      <c r="Y140" s="47"/>
      <c r="Z140" s="48"/>
      <c r="AA140" s="49"/>
      <c r="AB140" s="47"/>
      <c r="AC140" s="48"/>
      <c r="AD140" s="49"/>
      <c r="AE140" s="47"/>
      <c r="AF140" s="48"/>
      <c r="AG140" s="49"/>
      <c r="AH140" s="47"/>
      <c r="AI140" s="48"/>
      <c r="AJ140" s="49"/>
      <c r="AK140" s="47"/>
      <c r="AL140" s="48"/>
      <c r="AM140" s="49"/>
      <c r="AN140" s="47"/>
      <c r="AO140" s="48"/>
      <c r="AP140" s="49"/>
      <c r="AQ140" s="47"/>
      <c r="AR140" s="48"/>
      <c r="AS140" s="49"/>
      <c r="AT140" s="47"/>
      <c r="AU140" s="49"/>
      <c r="AV140" s="47"/>
      <c r="AW140" s="49"/>
      <c r="AX140" s="47"/>
      <c r="AY140" s="49"/>
      <c r="AZ140" s="47"/>
      <c r="BA140" s="49"/>
      <c r="BB140" s="13"/>
      <c r="BC140" s="56" t="str">
        <f t="shared" si="5"/>
        <v>･</v>
      </c>
      <c r="BD140" s="44" t="str">
        <f t="shared" si="6"/>
        <v>･</v>
      </c>
      <c r="BE140" s="56" t="str">
        <f>IF(ISNUMBER(BC140),BC140/固有値!E37,"･")</f>
        <v>･</v>
      </c>
      <c r="BF140" s="44" t="str">
        <f>IF(ISNUMBER(BD140),BD140/固有値!E37,"･")</f>
        <v>･</v>
      </c>
      <c r="BG140" s="56" t="str">
        <f t="shared" si="7"/>
        <v>･</v>
      </c>
      <c r="BH140" s="44" t="str">
        <f t="shared" si="8"/>
        <v>･</v>
      </c>
    </row>
    <row r="141" spans="1:60" ht="9.75" hidden="1" customHeight="1">
      <c r="A141" s="5" t="str">
        <f t="shared" si="4"/>
        <v>･</v>
      </c>
      <c r="B141" s="47"/>
      <c r="C141" s="48"/>
      <c r="D141" s="48"/>
      <c r="E141" s="49"/>
      <c r="F141" s="47"/>
      <c r="G141" s="48"/>
      <c r="H141" s="48"/>
      <c r="I141" s="49"/>
      <c r="J141" s="47"/>
      <c r="K141" s="48"/>
      <c r="L141" s="48"/>
      <c r="M141" s="49"/>
      <c r="N141" s="47"/>
      <c r="O141" s="48"/>
      <c r="P141" s="48"/>
      <c r="Q141" s="49"/>
      <c r="R141" s="47"/>
      <c r="S141" s="48"/>
      <c r="T141" s="48"/>
      <c r="U141" s="49"/>
      <c r="V141" s="47"/>
      <c r="W141" s="48"/>
      <c r="X141" s="49"/>
      <c r="Y141" s="47"/>
      <c r="Z141" s="48"/>
      <c r="AA141" s="49"/>
      <c r="AB141" s="47"/>
      <c r="AC141" s="48"/>
      <c r="AD141" s="49"/>
      <c r="AE141" s="47"/>
      <c r="AF141" s="48"/>
      <c r="AG141" s="49"/>
      <c r="AH141" s="47"/>
      <c r="AI141" s="48"/>
      <c r="AJ141" s="49"/>
      <c r="AK141" s="47"/>
      <c r="AL141" s="48"/>
      <c r="AM141" s="49"/>
      <c r="AN141" s="47"/>
      <c r="AO141" s="48"/>
      <c r="AP141" s="49"/>
      <c r="AQ141" s="47"/>
      <c r="AR141" s="48"/>
      <c r="AS141" s="49"/>
      <c r="AT141" s="47"/>
      <c r="AU141" s="49"/>
      <c r="AV141" s="47"/>
      <c r="AW141" s="49"/>
      <c r="AX141" s="47"/>
      <c r="AY141" s="49"/>
      <c r="AZ141" s="47"/>
      <c r="BA141" s="49"/>
      <c r="BB141" s="13"/>
      <c r="BC141" s="56" t="str">
        <f t="shared" si="5"/>
        <v>･</v>
      </c>
      <c r="BD141" s="44" t="str">
        <f t="shared" si="6"/>
        <v>･</v>
      </c>
      <c r="BE141" s="56" t="str">
        <f>IF(ISNUMBER(BC141),BC141/固有値!E38,"･")</f>
        <v>･</v>
      </c>
      <c r="BF141" s="44" t="str">
        <f>IF(ISNUMBER(BD141),BD141/固有値!E38,"･")</f>
        <v>･</v>
      </c>
      <c r="BG141" s="56" t="str">
        <f t="shared" si="7"/>
        <v>･</v>
      </c>
      <c r="BH141" s="44" t="str">
        <f t="shared" si="8"/>
        <v>･</v>
      </c>
    </row>
    <row r="142" spans="1:60" ht="9.75" hidden="1" customHeight="1">
      <c r="A142" s="5" t="str">
        <f t="shared" si="4"/>
        <v>･</v>
      </c>
      <c r="B142" s="47"/>
      <c r="C142" s="48"/>
      <c r="D142" s="48"/>
      <c r="E142" s="49"/>
      <c r="F142" s="47"/>
      <c r="G142" s="48"/>
      <c r="H142" s="48"/>
      <c r="I142" s="49"/>
      <c r="J142" s="47"/>
      <c r="K142" s="48"/>
      <c r="L142" s="48"/>
      <c r="M142" s="49"/>
      <c r="N142" s="47"/>
      <c r="O142" s="48"/>
      <c r="P142" s="48"/>
      <c r="Q142" s="49"/>
      <c r="R142" s="47"/>
      <c r="S142" s="48"/>
      <c r="T142" s="48"/>
      <c r="U142" s="49"/>
      <c r="V142" s="47"/>
      <c r="W142" s="48"/>
      <c r="X142" s="49"/>
      <c r="Y142" s="47"/>
      <c r="Z142" s="48"/>
      <c r="AA142" s="49"/>
      <c r="AB142" s="47"/>
      <c r="AC142" s="48"/>
      <c r="AD142" s="49"/>
      <c r="AE142" s="47"/>
      <c r="AF142" s="48"/>
      <c r="AG142" s="49"/>
      <c r="AH142" s="47"/>
      <c r="AI142" s="48"/>
      <c r="AJ142" s="49"/>
      <c r="AK142" s="47"/>
      <c r="AL142" s="48"/>
      <c r="AM142" s="49"/>
      <c r="AN142" s="47"/>
      <c r="AO142" s="48"/>
      <c r="AP142" s="49"/>
      <c r="AQ142" s="47"/>
      <c r="AR142" s="48"/>
      <c r="AS142" s="49"/>
      <c r="AT142" s="47"/>
      <c r="AU142" s="49"/>
      <c r="AV142" s="47"/>
      <c r="AW142" s="49"/>
      <c r="AX142" s="47"/>
      <c r="AY142" s="49"/>
      <c r="AZ142" s="47"/>
      <c r="BA142" s="49"/>
      <c r="BB142" s="13"/>
      <c r="BC142" s="56" t="str">
        <f t="shared" si="5"/>
        <v>･</v>
      </c>
      <c r="BD142" s="44" t="str">
        <f t="shared" si="6"/>
        <v>･</v>
      </c>
      <c r="BE142" s="56" t="str">
        <f>IF(ISNUMBER(BC142),BC142/固有値!E39,"･")</f>
        <v>･</v>
      </c>
      <c r="BF142" s="44" t="str">
        <f>IF(ISNUMBER(BD142),BD142/固有値!E39,"･")</f>
        <v>･</v>
      </c>
      <c r="BG142" s="56" t="str">
        <f t="shared" si="7"/>
        <v>･</v>
      </c>
      <c r="BH142" s="44" t="str">
        <f t="shared" si="8"/>
        <v>･</v>
      </c>
    </row>
    <row r="143" spans="1:60" ht="9.75" hidden="1" customHeight="1">
      <c r="A143" s="5" t="str">
        <f t="shared" si="4"/>
        <v>･</v>
      </c>
      <c r="B143" s="47"/>
      <c r="C143" s="48"/>
      <c r="D143" s="48"/>
      <c r="E143" s="49"/>
      <c r="F143" s="47"/>
      <c r="G143" s="48"/>
      <c r="H143" s="48"/>
      <c r="I143" s="49"/>
      <c r="J143" s="47"/>
      <c r="K143" s="48"/>
      <c r="L143" s="48"/>
      <c r="M143" s="49"/>
      <c r="N143" s="47"/>
      <c r="O143" s="48"/>
      <c r="P143" s="48"/>
      <c r="Q143" s="49"/>
      <c r="R143" s="47"/>
      <c r="S143" s="48"/>
      <c r="T143" s="48"/>
      <c r="U143" s="49"/>
      <c r="V143" s="47"/>
      <c r="W143" s="48"/>
      <c r="X143" s="49"/>
      <c r="Y143" s="47"/>
      <c r="Z143" s="48"/>
      <c r="AA143" s="49"/>
      <c r="AB143" s="47"/>
      <c r="AC143" s="48"/>
      <c r="AD143" s="49"/>
      <c r="AE143" s="47"/>
      <c r="AF143" s="48"/>
      <c r="AG143" s="49"/>
      <c r="AH143" s="47"/>
      <c r="AI143" s="48"/>
      <c r="AJ143" s="49"/>
      <c r="AK143" s="47"/>
      <c r="AL143" s="48"/>
      <c r="AM143" s="49"/>
      <c r="AN143" s="47"/>
      <c r="AO143" s="48"/>
      <c r="AP143" s="49"/>
      <c r="AQ143" s="47"/>
      <c r="AR143" s="48"/>
      <c r="AS143" s="49"/>
      <c r="AT143" s="47"/>
      <c r="AU143" s="49"/>
      <c r="AV143" s="47"/>
      <c r="AW143" s="49"/>
      <c r="AX143" s="47"/>
      <c r="AY143" s="49"/>
      <c r="AZ143" s="47"/>
      <c r="BA143" s="49"/>
      <c r="BB143" s="13"/>
      <c r="BC143" s="56" t="str">
        <f t="shared" si="5"/>
        <v>･</v>
      </c>
      <c r="BD143" s="44" t="str">
        <f t="shared" si="6"/>
        <v>･</v>
      </c>
      <c r="BE143" s="56" t="str">
        <f>IF(ISNUMBER(BC143),BC143/固有値!E40,"･")</f>
        <v>･</v>
      </c>
      <c r="BF143" s="44" t="str">
        <f>IF(ISNUMBER(BD143),BD143/固有値!E40,"･")</f>
        <v>･</v>
      </c>
      <c r="BG143" s="56" t="str">
        <f t="shared" si="7"/>
        <v>･</v>
      </c>
      <c r="BH143" s="44" t="str">
        <f t="shared" si="8"/>
        <v>･</v>
      </c>
    </row>
    <row r="144" spans="1:60" ht="9.75" hidden="1" customHeight="1">
      <c r="A144" s="5" t="str">
        <f t="shared" si="4"/>
        <v>･</v>
      </c>
      <c r="B144" s="47"/>
      <c r="C144" s="48"/>
      <c r="D144" s="48"/>
      <c r="E144" s="49"/>
      <c r="F144" s="47"/>
      <c r="G144" s="48"/>
      <c r="H144" s="48"/>
      <c r="I144" s="49"/>
      <c r="J144" s="47"/>
      <c r="K144" s="48"/>
      <c r="L144" s="48"/>
      <c r="M144" s="49"/>
      <c r="N144" s="47"/>
      <c r="O144" s="48"/>
      <c r="P144" s="48"/>
      <c r="Q144" s="49"/>
      <c r="R144" s="47"/>
      <c r="S144" s="48"/>
      <c r="T144" s="48"/>
      <c r="U144" s="49"/>
      <c r="V144" s="47"/>
      <c r="W144" s="48"/>
      <c r="X144" s="49"/>
      <c r="Y144" s="47"/>
      <c r="Z144" s="48"/>
      <c r="AA144" s="49"/>
      <c r="AB144" s="47"/>
      <c r="AC144" s="48"/>
      <c r="AD144" s="49"/>
      <c r="AE144" s="47"/>
      <c r="AF144" s="48"/>
      <c r="AG144" s="49"/>
      <c r="AH144" s="47"/>
      <c r="AI144" s="48"/>
      <c r="AJ144" s="49"/>
      <c r="AK144" s="47"/>
      <c r="AL144" s="48"/>
      <c r="AM144" s="49"/>
      <c r="AN144" s="47"/>
      <c r="AO144" s="48"/>
      <c r="AP144" s="49"/>
      <c r="AQ144" s="47"/>
      <c r="AR144" s="48"/>
      <c r="AS144" s="49"/>
      <c r="AT144" s="47"/>
      <c r="AU144" s="49"/>
      <c r="AV144" s="47"/>
      <c r="AW144" s="49"/>
      <c r="AX144" s="47"/>
      <c r="AY144" s="49"/>
      <c r="AZ144" s="47"/>
      <c r="BA144" s="49"/>
      <c r="BB144" s="13"/>
      <c r="BC144" s="56" t="str">
        <f t="shared" si="5"/>
        <v>･</v>
      </c>
      <c r="BD144" s="44" t="str">
        <f t="shared" si="6"/>
        <v>･</v>
      </c>
      <c r="BE144" s="56" t="str">
        <f>IF(ISNUMBER(BC144),BC144/固有値!E41,"･")</f>
        <v>･</v>
      </c>
      <c r="BF144" s="44" t="str">
        <f>IF(ISNUMBER(BD144),BD144/固有値!E41,"･")</f>
        <v>･</v>
      </c>
      <c r="BG144" s="56" t="str">
        <f t="shared" si="7"/>
        <v>･</v>
      </c>
      <c r="BH144" s="44" t="str">
        <f t="shared" si="8"/>
        <v>･</v>
      </c>
    </row>
    <row r="145" spans="1:60" ht="9.75" hidden="1" customHeight="1">
      <c r="A145" s="5" t="str">
        <f t="shared" si="4"/>
        <v>･</v>
      </c>
      <c r="B145" s="47"/>
      <c r="C145" s="48"/>
      <c r="D145" s="48"/>
      <c r="E145" s="49"/>
      <c r="F145" s="47"/>
      <c r="G145" s="48"/>
      <c r="H145" s="48"/>
      <c r="I145" s="49"/>
      <c r="J145" s="47"/>
      <c r="K145" s="48"/>
      <c r="L145" s="48"/>
      <c r="M145" s="49"/>
      <c r="N145" s="47"/>
      <c r="O145" s="48"/>
      <c r="P145" s="48"/>
      <c r="Q145" s="49"/>
      <c r="R145" s="47"/>
      <c r="S145" s="48"/>
      <c r="T145" s="48"/>
      <c r="U145" s="49"/>
      <c r="V145" s="47"/>
      <c r="W145" s="48"/>
      <c r="X145" s="49"/>
      <c r="Y145" s="47"/>
      <c r="Z145" s="48"/>
      <c r="AA145" s="49"/>
      <c r="AB145" s="47"/>
      <c r="AC145" s="48"/>
      <c r="AD145" s="49"/>
      <c r="AE145" s="47"/>
      <c r="AF145" s="48"/>
      <c r="AG145" s="49"/>
      <c r="AH145" s="47"/>
      <c r="AI145" s="48"/>
      <c r="AJ145" s="49"/>
      <c r="AK145" s="47"/>
      <c r="AL145" s="48"/>
      <c r="AM145" s="49"/>
      <c r="AN145" s="47"/>
      <c r="AO145" s="48"/>
      <c r="AP145" s="49"/>
      <c r="AQ145" s="47"/>
      <c r="AR145" s="48"/>
      <c r="AS145" s="49"/>
      <c r="AT145" s="47"/>
      <c r="AU145" s="49"/>
      <c r="AV145" s="47"/>
      <c r="AW145" s="49"/>
      <c r="AX145" s="47"/>
      <c r="AY145" s="49"/>
      <c r="AZ145" s="47"/>
      <c r="BA145" s="49"/>
      <c r="BB145" s="13"/>
      <c r="BC145" s="56" t="str">
        <f t="shared" si="5"/>
        <v>･</v>
      </c>
      <c r="BD145" s="44" t="str">
        <f t="shared" si="6"/>
        <v>･</v>
      </c>
      <c r="BE145" s="56" t="str">
        <f>IF(ISNUMBER(BC145),BC145/固有値!E42,"･")</f>
        <v>･</v>
      </c>
      <c r="BF145" s="44" t="str">
        <f>IF(ISNUMBER(BD145),BD145/固有値!E42,"･")</f>
        <v>･</v>
      </c>
      <c r="BG145" s="56" t="str">
        <f t="shared" si="7"/>
        <v>･</v>
      </c>
      <c r="BH145" s="44" t="str">
        <f t="shared" si="8"/>
        <v>･</v>
      </c>
    </row>
    <row r="146" spans="1:60" ht="9.75" hidden="1" customHeight="1">
      <c r="A146" s="5" t="str">
        <f t="shared" si="4"/>
        <v>･</v>
      </c>
      <c r="B146" s="47"/>
      <c r="C146" s="48"/>
      <c r="D146" s="48"/>
      <c r="E146" s="49"/>
      <c r="F146" s="47"/>
      <c r="G146" s="48"/>
      <c r="H146" s="48"/>
      <c r="I146" s="49"/>
      <c r="J146" s="47"/>
      <c r="K146" s="48"/>
      <c r="L146" s="48"/>
      <c r="M146" s="49"/>
      <c r="N146" s="47"/>
      <c r="O146" s="48"/>
      <c r="P146" s="48"/>
      <c r="Q146" s="49"/>
      <c r="R146" s="47"/>
      <c r="S146" s="48"/>
      <c r="T146" s="48"/>
      <c r="U146" s="49"/>
      <c r="V146" s="47"/>
      <c r="W146" s="48"/>
      <c r="X146" s="49"/>
      <c r="Y146" s="47"/>
      <c r="Z146" s="48"/>
      <c r="AA146" s="49"/>
      <c r="AB146" s="47"/>
      <c r="AC146" s="48"/>
      <c r="AD146" s="49"/>
      <c r="AE146" s="47"/>
      <c r="AF146" s="48"/>
      <c r="AG146" s="49"/>
      <c r="AH146" s="47"/>
      <c r="AI146" s="48"/>
      <c r="AJ146" s="49"/>
      <c r="AK146" s="47"/>
      <c r="AL146" s="48"/>
      <c r="AM146" s="49"/>
      <c r="AN146" s="47"/>
      <c r="AO146" s="48"/>
      <c r="AP146" s="49"/>
      <c r="AQ146" s="47"/>
      <c r="AR146" s="48"/>
      <c r="AS146" s="49"/>
      <c r="AT146" s="47"/>
      <c r="AU146" s="49"/>
      <c r="AV146" s="47"/>
      <c r="AW146" s="49"/>
      <c r="AX146" s="47"/>
      <c r="AY146" s="49"/>
      <c r="AZ146" s="47"/>
      <c r="BA146" s="49"/>
      <c r="BB146" s="13"/>
      <c r="BC146" s="56" t="str">
        <f t="shared" si="5"/>
        <v>･</v>
      </c>
      <c r="BD146" s="44" t="str">
        <f t="shared" si="6"/>
        <v>･</v>
      </c>
      <c r="BE146" s="56" t="str">
        <f>IF(ISNUMBER(BC146),BC146/固有値!E43,"･")</f>
        <v>･</v>
      </c>
      <c r="BF146" s="44" t="str">
        <f>IF(ISNUMBER(BD146),BD146/固有値!E43,"･")</f>
        <v>･</v>
      </c>
      <c r="BG146" s="56" t="str">
        <f t="shared" si="7"/>
        <v>･</v>
      </c>
      <c r="BH146" s="44" t="str">
        <f t="shared" si="8"/>
        <v>･</v>
      </c>
    </row>
    <row r="147" spans="1:60" ht="9.75" hidden="1" customHeight="1">
      <c r="A147" s="5" t="str">
        <f t="shared" si="4"/>
        <v>･</v>
      </c>
      <c r="B147" s="47"/>
      <c r="C147" s="48"/>
      <c r="D147" s="48"/>
      <c r="E147" s="49"/>
      <c r="F147" s="47"/>
      <c r="G147" s="48"/>
      <c r="H147" s="48"/>
      <c r="I147" s="49"/>
      <c r="J147" s="47"/>
      <c r="K147" s="48"/>
      <c r="L147" s="48"/>
      <c r="M147" s="49"/>
      <c r="N147" s="47"/>
      <c r="O147" s="48"/>
      <c r="P147" s="48"/>
      <c r="Q147" s="49"/>
      <c r="R147" s="47"/>
      <c r="S147" s="48"/>
      <c r="T147" s="48"/>
      <c r="U147" s="49"/>
      <c r="V147" s="47"/>
      <c r="W147" s="48"/>
      <c r="X147" s="49"/>
      <c r="Y147" s="47"/>
      <c r="Z147" s="48"/>
      <c r="AA147" s="49"/>
      <c r="AB147" s="47"/>
      <c r="AC147" s="48"/>
      <c r="AD147" s="49"/>
      <c r="AE147" s="47"/>
      <c r="AF147" s="48"/>
      <c r="AG147" s="49"/>
      <c r="AH147" s="47"/>
      <c r="AI147" s="48"/>
      <c r="AJ147" s="49"/>
      <c r="AK147" s="47"/>
      <c r="AL147" s="48"/>
      <c r="AM147" s="49"/>
      <c r="AN147" s="47"/>
      <c r="AO147" s="48"/>
      <c r="AP147" s="49"/>
      <c r="AQ147" s="47"/>
      <c r="AR147" s="48"/>
      <c r="AS147" s="49"/>
      <c r="AT147" s="47"/>
      <c r="AU147" s="49"/>
      <c r="AV147" s="47"/>
      <c r="AW147" s="49"/>
      <c r="AX147" s="47"/>
      <c r="AY147" s="49"/>
      <c r="AZ147" s="47"/>
      <c r="BA147" s="49"/>
      <c r="BB147" s="13"/>
      <c r="BC147" s="56" t="str">
        <f t="shared" si="5"/>
        <v>･</v>
      </c>
      <c r="BD147" s="44" t="str">
        <f t="shared" si="6"/>
        <v>･</v>
      </c>
      <c r="BE147" s="56" t="str">
        <f>IF(ISNUMBER(BC147),BC147/固有値!E44,"･")</f>
        <v>･</v>
      </c>
      <c r="BF147" s="44" t="str">
        <f>IF(ISNUMBER(BD147),BD147/固有値!E44,"･")</f>
        <v>･</v>
      </c>
      <c r="BG147" s="56" t="str">
        <f t="shared" si="7"/>
        <v>･</v>
      </c>
      <c r="BH147" s="44" t="str">
        <f t="shared" si="8"/>
        <v>･</v>
      </c>
    </row>
    <row r="148" spans="1:60" ht="9.75" hidden="1" customHeight="1">
      <c r="A148" s="5" t="str">
        <f t="shared" si="4"/>
        <v>･</v>
      </c>
      <c r="B148" s="47"/>
      <c r="C148" s="48"/>
      <c r="D148" s="48"/>
      <c r="E148" s="49"/>
      <c r="F148" s="47"/>
      <c r="G148" s="48"/>
      <c r="H148" s="48"/>
      <c r="I148" s="49"/>
      <c r="J148" s="47"/>
      <c r="K148" s="48"/>
      <c r="L148" s="48"/>
      <c r="M148" s="49"/>
      <c r="N148" s="47"/>
      <c r="O148" s="48"/>
      <c r="P148" s="48"/>
      <c r="Q148" s="49"/>
      <c r="R148" s="47"/>
      <c r="S148" s="48"/>
      <c r="T148" s="48"/>
      <c r="U148" s="49"/>
      <c r="V148" s="47"/>
      <c r="W148" s="48"/>
      <c r="X148" s="49"/>
      <c r="Y148" s="47"/>
      <c r="Z148" s="48"/>
      <c r="AA148" s="49"/>
      <c r="AB148" s="47"/>
      <c r="AC148" s="48"/>
      <c r="AD148" s="49"/>
      <c r="AE148" s="47"/>
      <c r="AF148" s="48"/>
      <c r="AG148" s="49"/>
      <c r="AH148" s="47"/>
      <c r="AI148" s="48"/>
      <c r="AJ148" s="49"/>
      <c r="AK148" s="47"/>
      <c r="AL148" s="48"/>
      <c r="AM148" s="49"/>
      <c r="AN148" s="47"/>
      <c r="AO148" s="48"/>
      <c r="AP148" s="49"/>
      <c r="AQ148" s="47"/>
      <c r="AR148" s="48"/>
      <c r="AS148" s="49"/>
      <c r="AT148" s="47"/>
      <c r="AU148" s="49"/>
      <c r="AV148" s="47"/>
      <c r="AW148" s="49"/>
      <c r="AX148" s="47"/>
      <c r="AY148" s="49"/>
      <c r="AZ148" s="47"/>
      <c r="BA148" s="49"/>
      <c r="BB148" s="13"/>
      <c r="BC148" s="56" t="str">
        <f t="shared" si="5"/>
        <v>･</v>
      </c>
      <c r="BD148" s="44" t="str">
        <f t="shared" si="6"/>
        <v>･</v>
      </c>
      <c r="BE148" s="56" t="str">
        <f>IF(ISNUMBER(BC148),BC148/固有値!E45,"･")</f>
        <v>･</v>
      </c>
      <c r="BF148" s="44" t="str">
        <f>IF(ISNUMBER(BD148),BD148/固有値!E45,"･")</f>
        <v>･</v>
      </c>
      <c r="BG148" s="56" t="str">
        <f t="shared" si="7"/>
        <v>･</v>
      </c>
      <c r="BH148" s="44" t="str">
        <f t="shared" si="8"/>
        <v>･</v>
      </c>
    </row>
    <row r="149" spans="1:60" ht="9.75" hidden="1" customHeight="1">
      <c r="A149" s="5" t="str">
        <f t="shared" si="4"/>
        <v>･</v>
      </c>
      <c r="B149" s="47"/>
      <c r="C149" s="48"/>
      <c r="D149" s="48"/>
      <c r="E149" s="49"/>
      <c r="F149" s="47"/>
      <c r="G149" s="48"/>
      <c r="H149" s="48"/>
      <c r="I149" s="49"/>
      <c r="J149" s="47"/>
      <c r="K149" s="48"/>
      <c r="L149" s="48"/>
      <c r="M149" s="49"/>
      <c r="N149" s="47"/>
      <c r="O149" s="48"/>
      <c r="P149" s="48"/>
      <c r="Q149" s="49"/>
      <c r="R149" s="47"/>
      <c r="S149" s="48"/>
      <c r="T149" s="48"/>
      <c r="U149" s="49"/>
      <c r="V149" s="47"/>
      <c r="W149" s="48"/>
      <c r="X149" s="49"/>
      <c r="Y149" s="47"/>
      <c r="Z149" s="48"/>
      <c r="AA149" s="49"/>
      <c r="AB149" s="47"/>
      <c r="AC149" s="48"/>
      <c r="AD149" s="49"/>
      <c r="AE149" s="47"/>
      <c r="AF149" s="48"/>
      <c r="AG149" s="49"/>
      <c r="AH149" s="47"/>
      <c r="AI149" s="48"/>
      <c r="AJ149" s="49"/>
      <c r="AK149" s="47"/>
      <c r="AL149" s="48"/>
      <c r="AM149" s="49"/>
      <c r="AN149" s="47"/>
      <c r="AO149" s="48"/>
      <c r="AP149" s="49"/>
      <c r="AQ149" s="47"/>
      <c r="AR149" s="48"/>
      <c r="AS149" s="49"/>
      <c r="AT149" s="47"/>
      <c r="AU149" s="49"/>
      <c r="AV149" s="47"/>
      <c r="AW149" s="49"/>
      <c r="AX149" s="47"/>
      <c r="AY149" s="49"/>
      <c r="AZ149" s="47"/>
      <c r="BA149" s="49"/>
      <c r="BB149" s="13"/>
      <c r="BC149" s="56" t="str">
        <f t="shared" si="5"/>
        <v>･</v>
      </c>
      <c r="BD149" s="44" t="str">
        <f t="shared" si="6"/>
        <v>･</v>
      </c>
      <c r="BE149" s="56" t="str">
        <f>IF(ISNUMBER(BC149),BC149/固有値!E46,"･")</f>
        <v>･</v>
      </c>
      <c r="BF149" s="44" t="str">
        <f>IF(ISNUMBER(BD149),BD149/固有値!E46,"･")</f>
        <v>･</v>
      </c>
      <c r="BG149" s="56" t="str">
        <f t="shared" si="7"/>
        <v>･</v>
      </c>
      <c r="BH149" s="44" t="str">
        <f t="shared" si="8"/>
        <v>･</v>
      </c>
    </row>
    <row r="150" spans="1:60" ht="9.75" hidden="1" customHeight="1">
      <c r="A150" s="5" t="str">
        <f t="shared" si="4"/>
        <v>･</v>
      </c>
      <c r="B150" s="47"/>
      <c r="C150" s="48"/>
      <c r="D150" s="48"/>
      <c r="E150" s="49"/>
      <c r="F150" s="47"/>
      <c r="G150" s="48"/>
      <c r="H150" s="48"/>
      <c r="I150" s="49"/>
      <c r="J150" s="47"/>
      <c r="K150" s="48"/>
      <c r="L150" s="48"/>
      <c r="M150" s="49"/>
      <c r="N150" s="47"/>
      <c r="O150" s="48"/>
      <c r="P150" s="48"/>
      <c r="Q150" s="49"/>
      <c r="R150" s="47"/>
      <c r="S150" s="48"/>
      <c r="T150" s="48"/>
      <c r="U150" s="49"/>
      <c r="V150" s="47"/>
      <c r="W150" s="48"/>
      <c r="X150" s="49"/>
      <c r="Y150" s="47"/>
      <c r="Z150" s="48"/>
      <c r="AA150" s="49"/>
      <c r="AB150" s="47"/>
      <c r="AC150" s="48"/>
      <c r="AD150" s="49"/>
      <c r="AE150" s="47"/>
      <c r="AF150" s="48"/>
      <c r="AG150" s="49"/>
      <c r="AH150" s="47"/>
      <c r="AI150" s="48"/>
      <c r="AJ150" s="49"/>
      <c r="AK150" s="47"/>
      <c r="AL150" s="48"/>
      <c r="AM150" s="49"/>
      <c r="AN150" s="47"/>
      <c r="AO150" s="48"/>
      <c r="AP150" s="49"/>
      <c r="AQ150" s="47"/>
      <c r="AR150" s="48"/>
      <c r="AS150" s="49"/>
      <c r="AT150" s="47"/>
      <c r="AU150" s="49"/>
      <c r="AV150" s="47"/>
      <c r="AW150" s="49"/>
      <c r="AX150" s="47"/>
      <c r="AY150" s="49"/>
      <c r="AZ150" s="47"/>
      <c r="BA150" s="49"/>
      <c r="BB150" s="13"/>
      <c r="BC150" s="56" t="str">
        <f t="shared" si="5"/>
        <v>･</v>
      </c>
      <c r="BD150" s="44" t="str">
        <f t="shared" si="6"/>
        <v>･</v>
      </c>
      <c r="BE150" s="56" t="str">
        <f>IF(ISNUMBER(BC150),BC150/固有値!E47,"･")</f>
        <v>･</v>
      </c>
      <c r="BF150" s="44" t="str">
        <f>IF(ISNUMBER(BD150),BD150/固有値!E47,"･")</f>
        <v>･</v>
      </c>
      <c r="BG150" s="56" t="str">
        <f t="shared" si="7"/>
        <v>･</v>
      </c>
      <c r="BH150" s="44" t="str">
        <f t="shared" si="8"/>
        <v>･</v>
      </c>
    </row>
    <row r="151" spans="1:60" ht="9.75" hidden="1" customHeight="1">
      <c r="A151" s="5" t="str">
        <f t="shared" si="4"/>
        <v>･</v>
      </c>
      <c r="B151" s="47"/>
      <c r="C151" s="48"/>
      <c r="D151" s="48"/>
      <c r="E151" s="49"/>
      <c r="F151" s="47"/>
      <c r="G151" s="48"/>
      <c r="H151" s="48"/>
      <c r="I151" s="49"/>
      <c r="J151" s="47"/>
      <c r="K151" s="48"/>
      <c r="L151" s="48"/>
      <c r="M151" s="49"/>
      <c r="N151" s="47"/>
      <c r="O151" s="48"/>
      <c r="P151" s="48"/>
      <c r="Q151" s="49"/>
      <c r="R151" s="47"/>
      <c r="S151" s="48"/>
      <c r="T151" s="48"/>
      <c r="U151" s="49"/>
      <c r="V151" s="47"/>
      <c r="W151" s="48"/>
      <c r="X151" s="49"/>
      <c r="Y151" s="47"/>
      <c r="Z151" s="48"/>
      <c r="AA151" s="49"/>
      <c r="AB151" s="47"/>
      <c r="AC151" s="48"/>
      <c r="AD151" s="49"/>
      <c r="AE151" s="47"/>
      <c r="AF151" s="48"/>
      <c r="AG151" s="49"/>
      <c r="AH151" s="47"/>
      <c r="AI151" s="48"/>
      <c r="AJ151" s="49"/>
      <c r="AK151" s="47"/>
      <c r="AL151" s="48"/>
      <c r="AM151" s="49"/>
      <c r="AN151" s="47"/>
      <c r="AO151" s="48"/>
      <c r="AP151" s="49"/>
      <c r="AQ151" s="47"/>
      <c r="AR151" s="48"/>
      <c r="AS151" s="49"/>
      <c r="AT151" s="47"/>
      <c r="AU151" s="49"/>
      <c r="AV151" s="47"/>
      <c r="AW151" s="49"/>
      <c r="AX151" s="47"/>
      <c r="AY151" s="49"/>
      <c r="AZ151" s="47"/>
      <c r="BA151" s="49"/>
      <c r="BB151" s="13"/>
      <c r="BC151" s="56" t="str">
        <f t="shared" si="5"/>
        <v>･</v>
      </c>
      <c r="BD151" s="44" t="str">
        <f t="shared" si="6"/>
        <v>･</v>
      </c>
      <c r="BE151" s="56" t="str">
        <f>IF(ISNUMBER(BC151),BC151/固有値!E48,"･")</f>
        <v>･</v>
      </c>
      <c r="BF151" s="44" t="str">
        <f>IF(ISNUMBER(BD151),BD151/固有値!E48,"･")</f>
        <v>･</v>
      </c>
      <c r="BG151" s="56" t="str">
        <f t="shared" si="7"/>
        <v>･</v>
      </c>
      <c r="BH151" s="44" t="str">
        <f t="shared" si="8"/>
        <v>･</v>
      </c>
    </row>
    <row r="152" spans="1:60" ht="9.75" hidden="1" customHeight="1">
      <c r="A152" s="5" t="str">
        <f t="shared" si="4"/>
        <v>･</v>
      </c>
      <c r="B152" s="47"/>
      <c r="C152" s="48"/>
      <c r="D152" s="48"/>
      <c r="E152" s="49"/>
      <c r="F152" s="47"/>
      <c r="G152" s="48"/>
      <c r="H152" s="48"/>
      <c r="I152" s="49"/>
      <c r="J152" s="47"/>
      <c r="K152" s="48"/>
      <c r="L152" s="48"/>
      <c r="M152" s="49"/>
      <c r="N152" s="47"/>
      <c r="O152" s="48"/>
      <c r="P152" s="48"/>
      <c r="Q152" s="49"/>
      <c r="R152" s="47"/>
      <c r="S152" s="48"/>
      <c r="T152" s="48"/>
      <c r="U152" s="49"/>
      <c r="V152" s="47"/>
      <c r="W152" s="48"/>
      <c r="X152" s="49"/>
      <c r="Y152" s="47"/>
      <c r="Z152" s="48"/>
      <c r="AA152" s="49"/>
      <c r="AB152" s="47"/>
      <c r="AC152" s="48"/>
      <c r="AD152" s="49"/>
      <c r="AE152" s="47"/>
      <c r="AF152" s="48"/>
      <c r="AG152" s="49"/>
      <c r="AH152" s="47"/>
      <c r="AI152" s="48"/>
      <c r="AJ152" s="49"/>
      <c r="AK152" s="47"/>
      <c r="AL152" s="48"/>
      <c r="AM152" s="49"/>
      <c r="AN152" s="47"/>
      <c r="AO152" s="48"/>
      <c r="AP152" s="49"/>
      <c r="AQ152" s="47"/>
      <c r="AR152" s="48"/>
      <c r="AS152" s="49"/>
      <c r="AT152" s="47"/>
      <c r="AU152" s="49"/>
      <c r="AV152" s="47"/>
      <c r="AW152" s="49"/>
      <c r="AX152" s="47"/>
      <c r="AY152" s="49"/>
      <c r="AZ152" s="47"/>
      <c r="BA152" s="49"/>
      <c r="BB152" s="13"/>
      <c r="BC152" s="56" t="str">
        <f t="shared" si="5"/>
        <v>･</v>
      </c>
      <c r="BD152" s="44" t="str">
        <f t="shared" si="6"/>
        <v>･</v>
      </c>
      <c r="BE152" s="56" t="str">
        <f>IF(ISNUMBER(BC152),BC152/固有値!E49,"･")</f>
        <v>･</v>
      </c>
      <c r="BF152" s="44" t="str">
        <f>IF(ISNUMBER(BD152),BD152/固有値!E49,"･")</f>
        <v>･</v>
      </c>
      <c r="BG152" s="56" t="str">
        <f t="shared" si="7"/>
        <v>･</v>
      </c>
      <c r="BH152" s="44" t="str">
        <f t="shared" si="8"/>
        <v>･</v>
      </c>
    </row>
    <row r="153" spans="1:60" ht="9.75" hidden="1" customHeight="1">
      <c r="A153" s="5" t="str">
        <f t="shared" si="4"/>
        <v>･</v>
      </c>
      <c r="B153" s="47"/>
      <c r="C153" s="48"/>
      <c r="D153" s="48"/>
      <c r="E153" s="49"/>
      <c r="F153" s="47"/>
      <c r="G153" s="48"/>
      <c r="H153" s="48"/>
      <c r="I153" s="49"/>
      <c r="J153" s="47"/>
      <c r="K153" s="48"/>
      <c r="L153" s="48"/>
      <c r="M153" s="49"/>
      <c r="N153" s="47"/>
      <c r="O153" s="48"/>
      <c r="P153" s="48"/>
      <c r="Q153" s="49"/>
      <c r="R153" s="47"/>
      <c r="S153" s="48"/>
      <c r="T153" s="48"/>
      <c r="U153" s="49"/>
      <c r="V153" s="47"/>
      <c r="W153" s="48"/>
      <c r="X153" s="49"/>
      <c r="Y153" s="47"/>
      <c r="Z153" s="48"/>
      <c r="AA153" s="49"/>
      <c r="AB153" s="47"/>
      <c r="AC153" s="48"/>
      <c r="AD153" s="49"/>
      <c r="AE153" s="47"/>
      <c r="AF153" s="48"/>
      <c r="AG153" s="49"/>
      <c r="AH153" s="47"/>
      <c r="AI153" s="48"/>
      <c r="AJ153" s="49"/>
      <c r="AK153" s="47"/>
      <c r="AL153" s="48"/>
      <c r="AM153" s="49"/>
      <c r="AN153" s="47"/>
      <c r="AO153" s="48"/>
      <c r="AP153" s="49"/>
      <c r="AQ153" s="47"/>
      <c r="AR153" s="48"/>
      <c r="AS153" s="49"/>
      <c r="AT153" s="47"/>
      <c r="AU153" s="49"/>
      <c r="AV153" s="47"/>
      <c r="AW153" s="49"/>
      <c r="AX153" s="47"/>
      <c r="AY153" s="49"/>
      <c r="AZ153" s="47"/>
      <c r="BA153" s="49"/>
      <c r="BB153" s="13"/>
      <c r="BC153" s="56" t="str">
        <f t="shared" si="5"/>
        <v>･</v>
      </c>
      <c r="BD153" s="44" t="str">
        <f t="shared" si="6"/>
        <v>･</v>
      </c>
      <c r="BE153" s="56" t="str">
        <f>IF(ISNUMBER(BC153),BC153/固有値!E50,"･")</f>
        <v>･</v>
      </c>
      <c r="BF153" s="44" t="str">
        <f>IF(ISNUMBER(BD153),BD153/固有値!E50,"･")</f>
        <v>･</v>
      </c>
      <c r="BG153" s="56" t="str">
        <f t="shared" si="7"/>
        <v>･</v>
      </c>
      <c r="BH153" s="44" t="str">
        <f t="shared" si="8"/>
        <v>･</v>
      </c>
    </row>
    <row r="154" spans="1:60" ht="9.75" hidden="1" customHeight="1">
      <c r="A154" s="5" t="str">
        <f t="shared" si="4"/>
        <v>･</v>
      </c>
      <c r="B154" s="47"/>
      <c r="C154" s="48"/>
      <c r="D154" s="48"/>
      <c r="E154" s="49"/>
      <c r="F154" s="47"/>
      <c r="G154" s="48"/>
      <c r="H154" s="48"/>
      <c r="I154" s="49"/>
      <c r="J154" s="47"/>
      <c r="K154" s="48"/>
      <c r="L154" s="48"/>
      <c r="M154" s="49"/>
      <c r="N154" s="47"/>
      <c r="O154" s="48"/>
      <c r="P154" s="48"/>
      <c r="Q154" s="49"/>
      <c r="R154" s="47"/>
      <c r="S154" s="48"/>
      <c r="T154" s="48"/>
      <c r="U154" s="49"/>
      <c r="V154" s="47"/>
      <c r="W154" s="48"/>
      <c r="X154" s="49"/>
      <c r="Y154" s="47"/>
      <c r="Z154" s="48"/>
      <c r="AA154" s="49"/>
      <c r="AB154" s="47"/>
      <c r="AC154" s="48"/>
      <c r="AD154" s="49"/>
      <c r="AE154" s="47"/>
      <c r="AF154" s="48"/>
      <c r="AG154" s="49"/>
      <c r="AH154" s="47"/>
      <c r="AI154" s="48"/>
      <c r="AJ154" s="49"/>
      <c r="AK154" s="47"/>
      <c r="AL154" s="48"/>
      <c r="AM154" s="49"/>
      <c r="AN154" s="47"/>
      <c r="AO154" s="48"/>
      <c r="AP154" s="49"/>
      <c r="AQ154" s="47"/>
      <c r="AR154" s="48"/>
      <c r="AS154" s="49"/>
      <c r="AT154" s="47"/>
      <c r="AU154" s="49"/>
      <c r="AV154" s="47"/>
      <c r="AW154" s="49"/>
      <c r="AX154" s="47"/>
      <c r="AY154" s="49"/>
      <c r="AZ154" s="47"/>
      <c r="BA154" s="49"/>
      <c r="BB154" s="13"/>
      <c r="BC154" s="56" t="str">
        <f t="shared" si="5"/>
        <v>･</v>
      </c>
      <c r="BD154" s="44" t="str">
        <f t="shared" si="6"/>
        <v>･</v>
      </c>
      <c r="BE154" s="56" t="str">
        <f>IF(ISNUMBER(BC154),BC154/固有値!E51,"･")</f>
        <v>･</v>
      </c>
      <c r="BF154" s="44" t="str">
        <f>IF(ISNUMBER(BD154),BD154/固有値!E51,"･")</f>
        <v>･</v>
      </c>
      <c r="BG154" s="56" t="str">
        <f t="shared" si="7"/>
        <v>･</v>
      </c>
      <c r="BH154" s="44" t="str">
        <f t="shared" si="8"/>
        <v>･</v>
      </c>
    </row>
    <row r="155" spans="1:60" ht="9.75" hidden="1" customHeight="1">
      <c r="A155" s="5" t="str">
        <f t="shared" si="4"/>
        <v>･</v>
      </c>
      <c r="B155" s="66"/>
      <c r="C155" s="67"/>
      <c r="D155" s="67"/>
      <c r="E155" s="68"/>
      <c r="F155" s="66"/>
      <c r="G155" s="67"/>
      <c r="H155" s="67"/>
      <c r="I155" s="68"/>
      <c r="J155" s="66"/>
      <c r="K155" s="67"/>
      <c r="L155" s="67"/>
      <c r="M155" s="68"/>
      <c r="N155" s="66"/>
      <c r="O155" s="67"/>
      <c r="P155" s="67"/>
      <c r="Q155" s="68"/>
      <c r="R155" s="66"/>
      <c r="S155" s="67"/>
      <c r="T155" s="67"/>
      <c r="U155" s="68"/>
      <c r="V155" s="66"/>
      <c r="W155" s="67"/>
      <c r="X155" s="68"/>
      <c r="Y155" s="66"/>
      <c r="Z155" s="67"/>
      <c r="AA155" s="68"/>
      <c r="AB155" s="66"/>
      <c r="AC155" s="67"/>
      <c r="AD155" s="68"/>
      <c r="AE155" s="66"/>
      <c r="AF155" s="67"/>
      <c r="AG155" s="68"/>
      <c r="AH155" s="66"/>
      <c r="AI155" s="67"/>
      <c r="AJ155" s="68"/>
      <c r="AK155" s="66"/>
      <c r="AL155" s="67"/>
      <c r="AM155" s="68"/>
      <c r="AN155" s="66"/>
      <c r="AO155" s="67"/>
      <c r="AP155" s="68"/>
      <c r="AQ155" s="66"/>
      <c r="AR155" s="67"/>
      <c r="AS155" s="68"/>
      <c r="AT155" s="66"/>
      <c r="AU155" s="68"/>
      <c r="AV155" s="66"/>
      <c r="AW155" s="68"/>
      <c r="AX155" s="66"/>
      <c r="AY155" s="68"/>
      <c r="AZ155" s="66"/>
      <c r="BA155" s="68"/>
      <c r="BB155" s="13"/>
      <c r="BC155" s="69" t="str">
        <f t="shared" si="5"/>
        <v>･</v>
      </c>
      <c r="BD155" s="70" t="str">
        <f t="shared" si="6"/>
        <v>･</v>
      </c>
      <c r="BE155" s="69" t="str">
        <f>IF(ISNUMBER(BC155),BC155/固有値!E52,"･")</f>
        <v>･</v>
      </c>
      <c r="BF155" s="70" t="str">
        <f>IF(ISNUMBER(BD155),BD155/固有値!E52,"･")</f>
        <v>･</v>
      </c>
      <c r="BG155" s="69" t="str">
        <f t="shared" si="7"/>
        <v>･</v>
      </c>
      <c r="BH155" s="70" t="str">
        <f t="shared" si="8"/>
        <v>･</v>
      </c>
    </row>
    <row r="156" spans="1:60" ht="9.75" hidden="1" customHeight="1">
      <c r="B156" s="104"/>
      <c r="C156" s="104"/>
      <c r="D156" s="104"/>
      <c r="E156" s="104"/>
      <c r="F156" s="104"/>
      <c r="G156" s="104"/>
      <c r="H156" s="104"/>
      <c r="I156" s="104"/>
      <c r="J156" s="104"/>
      <c r="K156" s="104"/>
      <c r="L156" s="104"/>
      <c r="M156" s="104"/>
      <c r="N156" s="104"/>
      <c r="O156" s="104"/>
      <c r="P156" s="104"/>
      <c r="Q156" s="104"/>
      <c r="R156" s="104"/>
      <c r="S156" s="104"/>
      <c r="T156" s="104"/>
      <c r="U156" s="104"/>
      <c r="V156" s="104"/>
      <c r="W156" s="104"/>
      <c r="X156" s="104"/>
      <c r="Y156" s="104"/>
      <c r="Z156" s="104"/>
      <c r="AA156" s="104"/>
      <c r="AB156" s="104"/>
      <c r="AC156" s="104"/>
      <c r="AD156" s="104"/>
      <c r="AE156" s="104"/>
      <c r="AF156" s="104"/>
      <c r="AG156" s="104"/>
      <c r="AH156" s="104"/>
      <c r="AI156" s="104"/>
      <c r="AJ156" s="104"/>
      <c r="AK156" s="104"/>
      <c r="AL156" s="104"/>
      <c r="AM156" s="104"/>
      <c r="AN156" s="104"/>
      <c r="AO156" s="104"/>
      <c r="AP156" s="104"/>
      <c r="AQ156" s="104"/>
      <c r="AR156" s="104"/>
      <c r="AS156" s="104"/>
      <c r="AT156" s="104"/>
      <c r="AU156" s="104"/>
      <c r="AV156" s="104"/>
      <c r="AW156" s="104"/>
      <c r="AX156" s="104"/>
      <c r="AY156" s="104"/>
      <c r="AZ156" s="104"/>
      <c r="BA156" s="104"/>
      <c r="BB156" s="104"/>
      <c r="BC156" s="104"/>
      <c r="BD156" s="104"/>
      <c r="BE156" s="104"/>
      <c r="BF156" s="104"/>
      <c r="BG156" s="104"/>
      <c r="BH156" s="104"/>
    </row>
    <row r="157" spans="1:60" ht="9.75" hidden="1" customHeight="1"/>
    <row r="158" spans="1:60" ht="9.75" hidden="1" customHeight="1"/>
    <row r="159" spans="1:60" ht="9.75" hidden="1" customHeight="1"/>
    <row r="160" spans="1:60" ht="9.75" hidden="1" customHeight="1"/>
    <row r="161" s="101" customFormat="1" ht="9.75" hidden="1" customHeight="1"/>
    <row r="162" s="101" customFormat="1" ht="9.75" hidden="1" customHeight="1"/>
    <row r="163" s="101" customFormat="1" ht="9.75" hidden="1" customHeight="1"/>
    <row r="164" s="101" customFormat="1" ht="9.75" hidden="1" customHeight="1"/>
    <row r="165" s="101" customFormat="1" ht="9.75" hidden="1" customHeight="1"/>
    <row r="166" s="101" customFormat="1" ht="9.75" hidden="1" customHeight="1"/>
    <row r="167" s="101" customFormat="1" ht="9.75" hidden="1" customHeight="1"/>
    <row r="168" s="101" customFormat="1" ht="9.75" hidden="1" customHeight="1"/>
    <row r="169" s="101" customFormat="1" ht="9.75" hidden="1" customHeight="1"/>
    <row r="170" s="101" customFormat="1" ht="9.75" hidden="1" customHeight="1"/>
    <row r="171" s="101" customFormat="1" ht="9.75" hidden="1" customHeight="1"/>
    <row r="172" s="101" customFormat="1" ht="9.75" hidden="1" customHeight="1"/>
    <row r="173" s="101" customFormat="1" ht="9.75" hidden="1" customHeight="1"/>
    <row r="174" s="101" customFormat="1" ht="9.75" hidden="1" customHeight="1"/>
    <row r="175" s="101" customFormat="1" ht="9.75" hidden="1" customHeight="1"/>
    <row r="176" s="101" customFormat="1" ht="9.75" hidden="1" customHeight="1"/>
    <row r="177" s="101" customFormat="1" ht="9.75" hidden="1" customHeight="1"/>
    <row r="178" s="101" customFormat="1" ht="9.75" hidden="1" customHeight="1"/>
    <row r="179" s="101" customFormat="1" ht="9.75" hidden="1" customHeight="1"/>
    <row r="180" s="101" customFormat="1" ht="9.75" hidden="1" customHeight="1"/>
    <row r="181" s="101" customFormat="1" ht="9.75" hidden="1" customHeight="1"/>
    <row r="182" s="101" customFormat="1" ht="9.75" hidden="1" customHeight="1"/>
    <row r="183" s="101" customFormat="1" ht="9.75" hidden="1" customHeight="1"/>
    <row r="184" s="101" customFormat="1" ht="9.75" hidden="1" customHeight="1"/>
    <row r="185" s="101" customFormat="1" ht="9.75" hidden="1" customHeight="1"/>
    <row r="186" s="101" customFormat="1" ht="9.75" hidden="1" customHeight="1"/>
    <row r="187" s="101" customFormat="1" ht="9.75" hidden="1" customHeight="1"/>
    <row r="188" s="101" customFormat="1" ht="9.75" hidden="1" customHeight="1"/>
    <row r="189" s="101" customFormat="1" ht="9.75" hidden="1" customHeight="1"/>
    <row r="190" s="101" customFormat="1" ht="9.75" hidden="1" customHeight="1"/>
    <row r="191" s="101" customFormat="1" ht="9.75" hidden="1" customHeight="1"/>
    <row r="192" s="101" customFormat="1" ht="9.75" hidden="1" customHeight="1"/>
    <row r="193" spans="1:17" ht="9.75" hidden="1" customHeight="1"/>
    <row r="194" spans="1:17" ht="9.75" hidden="1" customHeight="1"/>
    <row r="195" spans="1:17" ht="9.75" hidden="1" customHeight="1"/>
    <row r="196" spans="1:17" ht="9.75" hidden="1" customHeight="1"/>
    <row r="197" spans="1:17" ht="9.75" hidden="1" customHeight="1"/>
    <row r="198" spans="1:17" ht="9.75" hidden="1" customHeight="1"/>
    <row r="199" spans="1:17" ht="9.75" hidden="1" customHeight="1"/>
    <row r="200" spans="1:17" ht="9.75" hidden="1" customHeight="1"/>
    <row r="201" spans="1:17" ht="9.75" hidden="1" customHeight="1"/>
    <row r="202" spans="1:17" ht="9.75" hidden="1" customHeight="1"/>
    <row r="203" spans="1:17" ht="9.75" hidden="1" customHeight="1"/>
    <row r="204" spans="1:17" ht="9.75" hidden="1" customHeight="1"/>
    <row r="205" spans="1:17" ht="9.75" hidden="1" customHeight="1"/>
    <row r="206" spans="1:17" ht="9.75" hidden="1" customHeight="1"/>
    <row r="207" spans="1:17" ht="9.75" hidden="1" customHeight="1">
      <c r="A207" s="13"/>
      <c r="B207" s="154" t="s">
        <v>100</v>
      </c>
      <c r="C207" s="155"/>
      <c r="D207" s="155"/>
      <c r="E207" s="156"/>
      <c r="F207" s="154" t="s">
        <v>6</v>
      </c>
      <c r="G207" s="155"/>
      <c r="H207" s="155"/>
      <c r="I207" s="156"/>
      <c r="J207" s="154" t="s">
        <v>7</v>
      </c>
      <c r="K207" s="155"/>
      <c r="L207" s="155"/>
      <c r="M207" s="156"/>
      <c r="N207" s="154" t="s">
        <v>8</v>
      </c>
      <c r="O207" s="155"/>
      <c r="P207" s="155"/>
      <c r="Q207" s="156"/>
    </row>
    <row r="208" spans="1:17" ht="9.75" hidden="1" customHeight="1">
      <c r="A208" s="13"/>
      <c r="B208" s="27" t="s">
        <v>63</v>
      </c>
      <c r="C208" s="27" t="s">
        <v>64</v>
      </c>
      <c r="D208" s="27" t="s">
        <v>65</v>
      </c>
      <c r="E208" s="27" t="s">
        <v>66</v>
      </c>
      <c r="F208" s="27" t="s">
        <v>63</v>
      </c>
      <c r="G208" s="27" t="s">
        <v>64</v>
      </c>
      <c r="H208" s="27" t="s">
        <v>65</v>
      </c>
      <c r="I208" s="27" t="s">
        <v>66</v>
      </c>
      <c r="J208" s="27" t="s">
        <v>63</v>
      </c>
      <c r="K208" s="27" t="s">
        <v>64</v>
      </c>
      <c r="L208" s="27" t="s">
        <v>65</v>
      </c>
      <c r="M208" s="27" t="s">
        <v>66</v>
      </c>
      <c r="N208" s="27" t="s">
        <v>63</v>
      </c>
      <c r="O208" s="27" t="s">
        <v>64</v>
      </c>
      <c r="P208" s="27" t="s">
        <v>65</v>
      </c>
      <c r="Q208" s="27" t="s">
        <v>66</v>
      </c>
    </row>
    <row r="209" spans="1:17" ht="9.75" hidden="1" customHeight="1">
      <c r="A209" s="5" t="str">
        <f>A3</f>
        <v>･</v>
      </c>
      <c r="B209" s="57"/>
      <c r="C209" s="58"/>
      <c r="D209" s="58"/>
      <c r="E209" s="59"/>
      <c r="F209" s="57"/>
      <c r="G209" s="58"/>
      <c r="H209" s="58"/>
      <c r="I209" s="59"/>
      <c r="J209" s="57"/>
      <c r="K209" s="58"/>
      <c r="L209" s="58"/>
      <c r="M209" s="59"/>
      <c r="N209" s="57"/>
      <c r="O209" s="58"/>
      <c r="P209" s="58"/>
      <c r="Q209" s="59"/>
    </row>
    <row r="210" spans="1:17" ht="9.75" hidden="1" customHeight="1">
      <c r="A210" s="5" t="str">
        <f t="shared" ref="A210:A258" si="9">A4</f>
        <v>･</v>
      </c>
      <c r="B210" s="47"/>
      <c r="C210" s="48"/>
      <c r="D210" s="48"/>
      <c r="E210" s="49"/>
      <c r="F210" s="47"/>
      <c r="G210" s="48"/>
      <c r="H210" s="48"/>
      <c r="I210" s="49"/>
      <c r="J210" s="47"/>
      <c r="K210" s="48"/>
      <c r="L210" s="48"/>
      <c r="M210" s="49"/>
      <c r="N210" s="47"/>
      <c r="O210" s="48"/>
      <c r="P210" s="48"/>
      <c r="Q210" s="49"/>
    </row>
    <row r="211" spans="1:17" ht="9.75" hidden="1" customHeight="1">
      <c r="A211" s="5" t="str">
        <f t="shared" si="9"/>
        <v>･</v>
      </c>
      <c r="B211" s="47"/>
      <c r="C211" s="48"/>
      <c r="D211" s="48"/>
      <c r="E211" s="49"/>
      <c r="F211" s="47"/>
      <c r="G211" s="48"/>
      <c r="H211" s="48"/>
      <c r="I211" s="49"/>
      <c r="J211" s="47"/>
      <c r="K211" s="48"/>
      <c r="L211" s="48"/>
      <c r="M211" s="49"/>
      <c r="N211" s="47"/>
      <c r="O211" s="48"/>
      <c r="P211" s="48"/>
      <c r="Q211" s="49"/>
    </row>
    <row r="212" spans="1:17" ht="9.75" hidden="1" customHeight="1">
      <c r="A212" s="5" t="str">
        <f t="shared" si="9"/>
        <v>･</v>
      </c>
      <c r="B212" s="47"/>
      <c r="C212" s="48"/>
      <c r="D212" s="48"/>
      <c r="E212" s="49"/>
      <c r="F212" s="47"/>
      <c r="G212" s="48"/>
      <c r="H212" s="48"/>
      <c r="I212" s="49"/>
      <c r="J212" s="47"/>
      <c r="K212" s="48"/>
      <c r="L212" s="48"/>
      <c r="M212" s="49"/>
      <c r="N212" s="47"/>
      <c r="O212" s="48"/>
      <c r="P212" s="48"/>
      <c r="Q212" s="49"/>
    </row>
    <row r="213" spans="1:17" ht="9.75" hidden="1" customHeight="1">
      <c r="A213" s="5" t="str">
        <f t="shared" si="9"/>
        <v>･</v>
      </c>
      <c r="B213" s="47"/>
      <c r="C213" s="48"/>
      <c r="D213" s="48"/>
      <c r="E213" s="49"/>
      <c r="F213" s="47"/>
      <c r="G213" s="48"/>
      <c r="H213" s="48"/>
      <c r="I213" s="49"/>
      <c r="J213" s="47"/>
      <c r="K213" s="48"/>
      <c r="L213" s="48"/>
      <c r="M213" s="49"/>
      <c r="N213" s="47"/>
      <c r="O213" s="48"/>
      <c r="P213" s="48"/>
      <c r="Q213" s="49"/>
    </row>
    <row r="214" spans="1:17" ht="9.75" hidden="1" customHeight="1">
      <c r="A214" s="5" t="str">
        <f t="shared" si="9"/>
        <v>･</v>
      </c>
      <c r="B214" s="47"/>
      <c r="C214" s="48"/>
      <c r="D214" s="48"/>
      <c r="E214" s="49"/>
      <c r="F214" s="47"/>
      <c r="G214" s="48"/>
      <c r="H214" s="48"/>
      <c r="I214" s="49"/>
      <c r="J214" s="47"/>
      <c r="K214" s="48"/>
      <c r="L214" s="48"/>
      <c r="M214" s="49"/>
      <c r="N214" s="47"/>
      <c r="O214" s="48"/>
      <c r="P214" s="48"/>
      <c r="Q214" s="49"/>
    </row>
    <row r="215" spans="1:17" ht="9.75" hidden="1" customHeight="1">
      <c r="A215" s="5" t="str">
        <f t="shared" si="9"/>
        <v>･</v>
      </c>
      <c r="B215" s="47"/>
      <c r="C215" s="48"/>
      <c r="D215" s="48"/>
      <c r="E215" s="49"/>
      <c r="F215" s="47"/>
      <c r="G215" s="48"/>
      <c r="H215" s="48"/>
      <c r="I215" s="49"/>
      <c r="J215" s="47"/>
      <c r="K215" s="48"/>
      <c r="L215" s="48"/>
      <c r="M215" s="49"/>
      <c r="N215" s="47"/>
      <c r="O215" s="48"/>
      <c r="P215" s="48"/>
      <c r="Q215" s="49"/>
    </row>
    <row r="216" spans="1:17" ht="9.75" hidden="1" customHeight="1">
      <c r="A216" s="5" t="str">
        <f t="shared" si="9"/>
        <v>･</v>
      </c>
      <c r="B216" s="47"/>
      <c r="C216" s="48"/>
      <c r="D216" s="48"/>
      <c r="E216" s="49"/>
      <c r="F216" s="47"/>
      <c r="G216" s="48"/>
      <c r="H216" s="48"/>
      <c r="I216" s="49"/>
      <c r="J216" s="47"/>
      <c r="K216" s="48"/>
      <c r="L216" s="48"/>
      <c r="M216" s="49"/>
      <c r="N216" s="47"/>
      <c r="O216" s="48"/>
      <c r="P216" s="48"/>
      <c r="Q216" s="49"/>
    </row>
    <row r="217" spans="1:17" ht="9.75" hidden="1" customHeight="1">
      <c r="A217" s="5" t="str">
        <f t="shared" si="9"/>
        <v>･</v>
      </c>
      <c r="B217" s="47"/>
      <c r="C217" s="48"/>
      <c r="D217" s="48"/>
      <c r="E217" s="49"/>
      <c r="F217" s="47"/>
      <c r="G217" s="48"/>
      <c r="H217" s="48"/>
      <c r="I217" s="49"/>
      <c r="J217" s="47"/>
      <c r="K217" s="48"/>
      <c r="L217" s="48"/>
      <c r="M217" s="49"/>
      <c r="N217" s="47"/>
      <c r="O217" s="48"/>
      <c r="P217" s="48"/>
      <c r="Q217" s="49"/>
    </row>
    <row r="218" spans="1:17" ht="9.75" hidden="1" customHeight="1">
      <c r="A218" s="5" t="str">
        <f t="shared" si="9"/>
        <v>･</v>
      </c>
      <c r="B218" s="47"/>
      <c r="C218" s="48"/>
      <c r="D218" s="48"/>
      <c r="E218" s="49"/>
      <c r="F218" s="47"/>
      <c r="G218" s="48"/>
      <c r="H218" s="48"/>
      <c r="I218" s="49"/>
      <c r="J218" s="47"/>
      <c r="K218" s="48"/>
      <c r="L218" s="48"/>
      <c r="M218" s="49"/>
      <c r="N218" s="47"/>
      <c r="O218" s="48"/>
      <c r="P218" s="48"/>
      <c r="Q218" s="49"/>
    </row>
    <row r="219" spans="1:17" ht="9.75" hidden="1" customHeight="1">
      <c r="A219" s="5" t="str">
        <f t="shared" si="9"/>
        <v>･</v>
      </c>
      <c r="B219" s="47"/>
      <c r="C219" s="48"/>
      <c r="D219" s="48"/>
      <c r="E219" s="49"/>
      <c r="F219" s="47"/>
      <c r="G219" s="48"/>
      <c r="H219" s="48"/>
      <c r="I219" s="49"/>
      <c r="J219" s="47"/>
      <c r="K219" s="48"/>
      <c r="L219" s="48"/>
      <c r="M219" s="49"/>
      <c r="N219" s="47"/>
      <c r="O219" s="48"/>
      <c r="P219" s="48"/>
      <c r="Q219" s="49"/>
    </row>
    <row r="220" spans="1:17" ht="9.75" hidden="1" customHeight="1">
      <c r="A220" s="5" t="str">
        <f t="shared" si="9"/>
        <v>･</v>
      </c>
      <c r="B220" s="47"/>
      <c r="C220" s="48"/>
      <c r="D220" s="48"/>
      <c r="E220" s="49"/>
      <c r="F220" s="47"/>
      <c r="G220" s="48"/>
      <c r="H220" s="48"/>
      <c r="I220" s="49"/>
      <c r="J220" s="47"/>
      <c r="K220" s="48"/>
      <c r="L220" s="48"/>
      <c r="M220" s="49"/>
      <c r="N220" s="47"/>
      <c r="O220" s="48"/>
      <c r="P220" s="48"/>
      <c r="Q220" s="49"/>
    </row>
    <row r="221" spans="1:17" ht="9.75" hidden="1" customHeight="1">
      <c r="A221" s="5" t="str">
        <f t="shared" si="9"/>
        <v>･</v>
      </c>
      <c r="B221" s="47"/>
      <c r="C221" s="48"/>
      <c r="D221" s="48"/>
      <c r="E221" s="49"/>
      <c r="F221" s="47"/>
      <c r="G221" s="48"/>
      <c r="H221" s="48"/>
      <c r="I221" s="49"/>
      <c r="J221" s="47"/>
      <c r="K221" s="48"/>
      <c r="L221" s="48"/>
      <c r="M221" s="49"/>
      <c r="N221" s="47"/>
      <c r="O221" s="48"/>
      <c r="P221" s="48"/>
      <c r="Q221" s="49"/>
    </row>
    <row r="222" spans="1:17" ht="9.75" hidden="1" customHeight="1">
      <c r="A222" s="5" t="str">
        <f t="shared" si="9"/>
        <v>･</v>
      </c>
      <c r="B222" s="47"/>
      <c r="C222" s="48"/>
      <c r="D222" s="48"/>
      <c r="E222" s="49"/>
      <c r="F222" s="47"/>
      <c r="G222" s="48"/>
      <c r="H222" s="48"/>
      <c r="I222" s="49"/>
      <c r="J222" s="47"/>
      <c r="K222" s="48"/>
      <c r="L222" s="48"/>
      <c r="M222" s="49"/>
      <c r="N222" s="47"/>
      <c r="O222" s="48"/>
      <c r="P222" s="48"/>
      <c r="Q222" s="49"/>
    </row>
    <row r="223" spans="1:17" ht="9.75" hidden="1" customHeight="1">
      <c r="A223" s="5" t="str">
        <f t="shared" si="9"/>
        <v>･</v>
      </c>
      <c r="B223" s="47"/>
      <c r="C223" s="48"/>
      <c r="D223" s="48"/>
      <c r="E223" s="49"/>
      <c r="F223" s="47"/>
      <c r="G223" s="48"/>
      <c r="H223" s="48"/>
      <c r="I223" s="49"/>
      <c r="J223" s="47"/>
      <c r="K223" s="48"/>
      <c r="L223" s="48"/>
      <c r="M223" s="49"/>
      <c r="N223" s="47"/>
      <c r="O223" s="48"/>
      <c r="P223" s="48"/>
      <c r="Q223" s="49"/>
    </row>
    <row r="224" spans="1:17" ht="9.75" hidden="1" customHeight="1">
      <c r="A224" s="5" t="str">
        <f t="shared" si="9"/>
        <v>･</v>
      </c>
      <c r="B224" s="47"/>
      <c r="C224" s="48"/>
      <c r="D224" s="48"/>
      <c r="E224" s="49"/>
      <c r="F224" s="47"/>
      <c r="G224" s="48"/>
      <c r="H224" s="48"/>
      <c r="I224" s="49"/>
      <c r="J224" s="47"/>
      <c r="K224" s="48"/>
      <c r="L224" s="48"/>
      <c r="M224" s="49"/>
      <c r="N224" s="47"/>
      <c r="O224" s="48"/>
      <c r="P224" s="48"/>
      <c r="Q224" s="49"/>
    </row>
    <row r="225" spans="1:17" ht="9.75" hidden="1" customHeight="1">
      <c r="A225" s="5" t="str">
        <f t="shared" si="9"/>
        <v>･</v>
      </c>
      <c r="B225" s="47"/>
      <c r="C225" s="48"/>
      <c r="D225" s="48"/>
      <c r="E225" s="49"/>
      <c r="F225" s="47"/>
      <c r="G225" s="48"/>
      <c r="H225" s="48"/>
      <c r="I225" s="49"/>
      <c r="J225" s="47"/>
      <c r="K225" s="48"/>
      <c r="L225" s="48"/>
      <c r="M225" s="49"/>
      <c r="N225" s="47"/>
      <c r="O225" s="48"/>
      <c r="P225" s="48"/>
      <c r="Q225" s="49"/>
    </row>
    <row r="226" spans="1:17" ht="9.75" hidden="1" customHeight="1">
      <c r="A226" s="5" t="str">
        <f t="shared" si="9"/>
        <v>･</v>
      </c>
      <c r="B226" s="47"/>
      <c r="C226" s="48"/>
      <c r="D226" s="48"/>
      <c r="E226" s="49"/>
      <c r="F226" s="47"/>
      <c r="G226" s="48"/>
      <c r="H226" s="48"/>
      <c r="I226" s="49"/>
      <c r="J226" s="47"/>
      <c r="K226" s="48"/>
      <c r="L226" s="48"/>
      <c r="M226" s="49"/>
      <c r="N226" s="47"/>
      <c r="O226" s="48"/>
      <c r="P226" s="48"/>
      <c r="Q226" s="49"/>
    </row>
    <row r="227" spans="1:17" ht="9.75" hidden="1" customHeight="1">
      <c r="A227" s="5" t="str">
        <f t="shared" si="9"/>
        <v>･</v>
      </c>
      <c r="B227" s="47"/>
      <c r="C227" s="48"/>
      <c r="D227" s="48"/>
      <c r="E227" s="49"/>
      <c r="F227" s="47"/>
      <c r="G227" s="48"/>
      <c r="H227" s="48"/>
      <c r="I227" s="49"/>
      <c r="J227" s="47"/>
      <c r="K227" s="48"/>
      <c r="L227" s="48"/>
      <c r="M227" s="49"/>
      <c r="N227" s="47"/>
      <c r="O227" s="48"/>
      <c r="P227" s="48"/>
      <c r="Q227" s="49"/>
    </row>
    <row r="228" spans="1:17" ht="9.75" hidden="1" customHeight="1">
      <c r="A228" s="5" t="str">
        <f t="shared" si="9"/>
        <v>･</v>
      </c>
      <c r="B228" s="47"/>
      <c r="C228" s="48"/>
      <c r="D228" s="48"/>
      <c r="E228" s="49"/>
      <c r="F228" s="47"/>
      <c r="G228" s="48"/>
      <c r="H228" s="48"/>
      <c r="I228" s="49"/>
      <c r="J228" s="47"/>
      <c r="K228" s="48"/>
      <c r="L228" s="48"/>
      <c r="M228" s="49"/>
      <c r="N228" s="47"/>
      <c r="O228" s="48"/>
      <c r="P228" s="48"/>
      <c r="Q228" s="49"/>
    </row>
    <row r="229" spans="1:17" ht="9.75" hidden="1" customHeight="1">
      <c r="A229" s="5" t="str">
        <f t="shared" si="9"/>
        <v>･</v>
      </c>
      <c r="B229" s="47"/>
      <c r="C229" s="48"/>
      <c r="D229" s="48"/>
      <c r="E229" s="49"/>
      <c r="F229" s="47"/>
      <c r="G229" s="48"/>
      <c r="H229" s="48"/>
      <c r="I229" s="49"/>
      <c r="J229" s="47"/>
      <c r="K229" s="48"/>
      <c r="L229" s="48"/>
      <c r="M229" s="49"/>
      <c r="N229" s="47"/>
      <c r="O229" s="48"/>
      <c r="P229" s="48"/>
      <c r="Q229" s="49"/>
    </row>
    <row r="230" spans="1:17" ht="9.75" hidden="1" customHeight="1">
      <c r="A230" s="5" t="str">
        <f t="shared" si="9"/>
        <v>･</v>
      </c>
      <c r="B230" s="47"/>
      <c r="C230" s="48"/>
      <c r="D230" s="48"/>
      <c r="E230" s="49"/>
      <c r="F230" s="47"/>
      <c r="G230" s="48"/>
      <c r="H230" s="48"/>
      <c r="I230" s="49"/>
      <c r="J230" s="47"/>
      <c r="K230" s="48"/>
      <c r="L230" s="48"/>
      <c r="M230" s="49"/>
      <c r="N230" s="47"/>
      <c r="O230" s="48"/>
      <c r="P230" s="48"/>
      <c r="Q230" s="49"/>
    </row>
    <row r="231" spans="1:17" ht="9.75" hidden="1" customHeight="1">
      <c r="A231" s="5" t="str">
        <f t="shared" si="9"/>
        <v>･</v>
      </c>
      <c r="B231" s="47"/>
      <c r="C231" s="48"/>
      <c r="D231" s="48"/>
      <c r="E231" s="49"/>
      <c r="F231" s="47"/>
      <c r="G231" s="48"/>
      <c r="H231" s="48"/>
      <c r="I231" s="49"/>
      <c r="J231" s="47"/>
      <c r="K231" s="48"/>
      <c r="L231" s="48"/>
      <c r="M231" s="49"/>
      <c r="N231" s="47"/>
      <c r="O231" s="48"/>
      <c r="P231" s="48"/>
      <c r="Q231" s="49"/>
    </row>
    <row r="232" spans="1:17" ht="9.75" hidden="1" customHeight="1">
      <c r="A232" s="5" t="str">
        <f t="shared" si="9"/>
        <v>･</v>
      </c>
      <c r="B232" s="47"/>
      <c r="C232" s="48"/>
      <c r="D232" s="48"/>
      <c r="E232" s="49"/>
      <c r="F232" s="47"/>
      <c r="G232" s="48"/>
      <c r="H232" s="48"/>
      <c r="I232" s="49"/>
      <c r="J232" s="47"/>
      <c r="K232" s="48"/>
      <c r="L232" s="48"/>
      <c r="M232" s="49"/>
      <c r="N232" s="47"/>
      <c r="O232" s="48"/>
      <c r="P232" s="48"/>
      <c r="Q232" s="49"/>
    </row>
    <row r="233" spans="1:17" ht="9.75" hidden="1" customHeight="1">
      <c r="A233" s="5" t="str">
        <f t="shared" si="9"/>
        <v>･</v>
      </c>
      <c r="B233" s="47"/>
      <c r="C233" s="48"/>
      <c r="D233" s="48"/>
      <c r="E233" s="49"/>
      <c r="F233" s="47"/>
      <c r="G233" s="48"/>
      <c r="H233" s="48"/>
      <c r="I233" s="49"/>
      <c r="J233" s="47"/>
      <c r="K233" s="48"/>
      <c r="L233" s="48"/>
      <c r="M233" s="49"/>
      <c r="N233" s="47"/>
      <c r="O233" s="48"/>
      <c r="P233" s="48"/>
      <c r="Q233" s="49"/>
    </row>
    <row r="234" spans="1:17" ht="9.75" hidden="1" customHeight="1">
      <c r="A234" s="5" t="str">
        <f t="shared" si="9"/>
        <v>･</v>
      </c>
      <c r="B234" s="47"/>
      <c r="C234" s="48"/>
      <c r="D234" s="48"/>
      <c r="E234" s="49"/>
      <c r="F234" s="47"/>
      <c r="G234" s="48"/>
      <c r="H234" s="48"/>
      <c r="I234" s="49"/>
      <c r="J234" s="47"/>
      <c r="K234" s="48"/>
      <c r="L234" s="48"/>
      <c r="M234" s="49"/>
      <c r="N234" s="47"/>
      <c r="O234" s="48"/>
      <c r="P234" s="48"/>
      <c r="Q234" s="49"/>
    </row>
    <row r="235" spans="1:17" ht="9.75" hidden="1" customHeight="1">
      <c r="A235" s="5" t="str">
        <f t="shared" si="9"/>
        <v>･</v>
      </c>
      <c r="B235" s="47"/>
      <c r="C235" s="48"/>
      <c r="D235" s="48"/>
      <c r="E235" s="49"/>
      <c r="F235" s="47"/>
      <c r="G235" s="48"/>
      <c r="H235" s="48"/>
      <c r="I235" s="49"/>
      <c r="J235" s="47"/>
      <c r="K235" s="48"/>
      <c r="L235" s="48"/>
      <c r="M235" s="49"/>
      <c r="N235" s="47"/>
      <c r="O235" s="48"/>
      <c r="P235" s="48"/>
      <c r="Q235" s="49"/>
    </row>
    <row r="236" spans="1:17" ht="9.75" hidden="1" customHeight="1">
      <c r="A236" s="5" t="str">
        <f t="shared" si="9"/>
        <v>･</v>
      </c>
      <c r="B236" s="47"/>
      <c r="C236" s="48"/>
      <c r="D236" s="48"/>
      <c r="E236" s="49"/>
      <c r="F236" s="47"/>
      <c r="G236" s="48"/>
      <c r="H236" s="48"/>
      <c r="I236" s="49"/>
      <c r="J236" s="47"/>
      <c r="K236" s="48"/>
      <c r="L236" s="48"/>
      <c r="M236" s="49"/>
      <c r="N236" s="47"/>
      <c r="O236" s="48"/>
      <c r="P236" s="48"/>
      <c r="Q236" s="49"/>
    </row>
    <row r="237" spans="1:17" ht="9.75" hidden="1" customHeight="1">
      <c r="A237" s="5" t="str">
        <f t="shared" si="9"/>
        <v>･</v>
      </c>
      <c r="B237" s="47"/>
      <c r="C237" s="48"/>
      <c r="D237" s="48"/>
      <c r="E237" s="49"/>
      <c r="F237" s="47"/>
      <c r="G237" s="48"/>
      <c r="H237" s="48"/>
      <c r="I237" s="49"/>
      <c r="J237" s="47"/>
      <c r="K237" s="48"/>
      <c r="L237" s="48"/>
      <c r="M237" s="49"/>
      <c r="N237" s="47"/>
      <c r="O237" s="48"/>
      <c r="P237" s="48"/>
      <c r="Q237" s="49"/>
    </row>
    <row r="238" spans="1:17" ht="9.75" hidden="1" customHeight="1">
      <c r="A238" s="5" t="str">
        <f t="shared" si="9"/>
        <v>･</v>
      </c>
      <c r="B238" s="47"/>
      <c r="C238" s="48"/>
      <c r="D238" s="48"/>
      <c r="E238" s="49"/>
      <c r="F238" s="47"/>
      <c r="G238" s="48"/>
      <c r="H238" s="48"/>
      <c r="I238" s="49"/>
      <c r="J238" s="47"/>
      <c r="K238" s="48"/>
      <c r="L238" s="48"/>
      <c r="M238" s="49"/>
      <c r="N238" s="47"/>
      <c r="O238" s="48"/>
      <c r="P238" s="48"/>
      <c r="Q238" s="49"/>
    </row>
    <row r="239" spans="1:17" ht="9.75" hidden="1" customHeight="1">
      <c r="A239" s="5" t="str">
        <f t="shared" si="9"/>
        <v>･</v>
      </c>
      <c r="B239" s="47"/>
      <c r="C239" s="48"/>
      <c r="D239" s="48"/>
      <c r="E239" s="49"/>
      <c r="F239" s="47"/>
      <c r="G239" s="48"/>
      <c r="H239" s="48"/>
      <c r="I239" s="49"/>
      <c r="J239" s="47"/>
      <c r="K239" s="48"/>
      <c r="L239" s="48"/>
      <c r="M239" s="49"/>
      <c r="N239" s="47"/>
      <c r="O239" s="48"/>
      <c r="P239" s="48"/>
      <c r="Q239" s="49"/>
    </row>
    <row r="240" spans="1:17" ht="9.75" hidden="1" customHeight="1">
      <c r="A240" s="5" t="str">
        <f t="shared" si="9"/>
        <v>･</v>
      </c>
      <c r="B240" s="47"/>
      <c r="C240" s="48"/>
      <c r="D240" s="48"/>
      <c r="E240" s="49"/>
      <c r="F240" s="47"/>
      <c r="G240" s="48"/>
      <c r="H240" s="48"/>
      <c r="I240" s="49"/>
      <c r="J240" s="47"/>
      <c r="K240" s="48"/>
      <c r="L240" s="48"/>
      <c r="M240" s="49"/>
      <c r="N240" s="47"/>
      <c r="O240" s="48"/>
      <c r="P240" s="48"/>
      <c r="Q240" s="49"/>
    </row>
    <row r="241" spans="1:17" ht="9.75" hidden="1" customHeight="1">
      <c r="A241" s="5" t="str">
        <f t="shared" si="9"/>
        <v>･</v>
      </c>
      <c r="B241" s="47"/>
      <c r="C241" s="48"/>
      <c r="D241" s="48"/>
      <c r="E241" s="49"/>
      <c r="F241" s="47"/>
      <c r="G241" s="48"/>
      <c r="H241" s="48"/>
      <c r="I241" s="49"/>
      <c r="J241" s="47"/>
      <c r="K241" s="48"/>
      <c r="L241" s="48"/>
      <c r="M241" s="49"/>
      <c r="N241" s="47"/>
      <c r="O241" s="48"/>
      <c r="P241" s="48"/>
      <c r="Q241" s="49"/>
    </row>
    <row r="242" spans="1:17" ht="9.75" hidden="1" customHeight="1">
      <c r="A242" s="5" t="str">
        <f t="shared" si="9"/>
        <v>･</v>
      </c>
      <c r="B242" s="47"/>
      <c r="C242" s="48"/>
      <c r="D242" s="48"/>
      <c r="E242" s="49"/>
      <c r="F242" s="47"/>
      <c r="G242" s="48"/>
      <c r="H242" s="48"/>
      <c r="I242" s="49"/>
      <c r="J242" s="47"/>
      <c r="K242" s="48"/>
      <c r="L242" s="48"/>
      <c r="M242" s="49"/>
      <c r="N242" s="47"/>
      <c r="O242" s="48"/>
      <c r="P242" s="48"/>
      <c r="Q242" s="49"/>
    </row>
    <row r="243" spans="1:17" ht="9.75" hidden="1" customHeight="1">
      <c r="A243" s="5" t="str">
        <f t="shared" si="9"/>
        <v>･</v>
      </c>
      <c r="B243" s="47"/>
      <c r="C243" s="48"/>
      <c r="D243" s="48"/>
      <c r="E243" s="49"/>
      <c r="F243" s="47"/>
      <c r="G243" s="48"/>
      <c r="H243" s="48"/>
      <c r="I243" s="49"/>
      <c r="J243" s="47"/>
      <c r="K243" s="48"/>
      <c r="L243" s="48"/>
      <c r="M243" s="49"/>
      <c r="N243" s="47"/>
      <c r="O243" s="48"/>
      <c r="P243" s="48"/>
      <c r="Q243" s="49"/>
    </row>
    <row r="244" spans="1:17" ht="9.75" hidden="1" customHeight="1">
      <c r="A244" s="5" t="str">
        <f t="shared" si="9"/>
        <v>･</v>
      </c>
      <c r="B244" s="47"/>
      <c r="C244" s="48"/>
      <c r="D244" s="48"/>
      <c r="E244" s="49"/>
      <c r="F244" s="47"/>
      <c r="G244" s="48"/>
      <c r="H244" s="48"/>
      <c r="I244" s="49"/>
      <c r="J244" s="47"/>
      <c r="K244" s="48"/>
      <c r="L244" s="48"/>
      <c r="M244" s="49"/>
      <c r="N244" s="47"/>
      <c r="O244" s="48"/>
      <c r="P244" s="48"/>
      <c r="Q244" s="49"/>
    </row>
    <row r="245" spans="1:17" ht="9.75" hidden="1" customHeight="1">
      <c r="A245" s="5" t="str">
        <f t="shared" si="9"/>
        <v>･</v>
      </c>
      <c r="B245" s="47"/>
      <c r="C245" s="48"/>
      <c r="D245" s="48"/>
      <c r="E245" s="49"/>
      <c r="F245" s="47"/>
      <c r="G245" s="48"/>
      <c r="H245" s="48"/>
      <c r="I245" s="49"/>
      <c r="J245" s="47"/>
      <c r="K245" s="48"/>
      <c r="L245" s="48"/>
      <c r="M245" s="49"/>
      <c r="N245" s="47"/>
      <c r="O245" s="48"/>
      <c r="P245" s="48"/>
      <c r="Q245" s="49"/>
    </row>
    <row r="246" spans="1:17" ht="9.75" hidden="1" customHeight="1">
      <c r="A246" s="5" t="str">
        <f t="shared" si="9"/>
        <v>･</v>
      </c>
      <c r="B246" s="47"/>
      <c r="C246" s="48"/>
      <c r="D246" s="48"/>
      <c r="E246" s="49"/>
      <c r="F246" s="47"/>
      <c r="G246" s="48"/>
      <c r="H246" s="48"/>
      <c r="I246" s="49"/>
      <c r="J246" s="47"/>
      <c r="K246" s="48"/>
      <c r="L246" s="48"/>
      <c r="M246" s="49"/>
      <c r="N246" s="47"/>
      <c r="O246" s="48"/>
      <c r="P246" s="48"/>
      <c r="Q246" s="49"/>
    </row>
    <row r="247" spans="1:17" ht="9.75" hidden="1" customHeight="1">
      <c r="A247" s="5" t="str">
        <f t="shared" si="9"/>
        <v>･</v>
      </c>
      <c r="B247" s="47"/>
      <c r="C247" s="48"/>
      <c r="D247" s="48"/>
      <c r="E247" s="49"/>
      <c r="F247" s="47"/>
      <c r="G247" s="48"/>
      <c r="H247" s="48"/>
      <c r="I247" s="49"/>
      <c r="J247" s="47"/>
      <c r="K247" s="48"/>
      <c r="L247" s="48"/>
      <c r="M247" s="49"/>
      <c r="N247" s="47"/>
      <c r="O247" s="48"/>
      <c r="P247" s="48"/>
      <c r="Q247" s="49"/>
    </row>
    <row r="248" spans="1:17" ht="9.75" hidden="1" customHeight="1">
      <c r="A248" s="5" t="str">
        <f t="shared" si="9"/>
        <v>･</v>
      </c>
      <c r="B248" s="47"/>
      <c r="C248" s="48"/>
      <c r="D248" s="48"/>
      <c r="E248" s="49"/>
      <c r="F248" s="47"/>
      <c r="G248" s="48"/>
      <c r="H248" s="48"/>
      <c r="I248" s="49"/>
      <c r="J248" s="47"/>
      <c r="K248" s="48"/>
      <c r="L248" s="48"/>
      <c r="M248" s="49"/>
      <c r="N248" s="47"/>
      <c r="O248" s="48"/>
      <c r="P248" s="48"/>
      <c r="Q248" s="49"/>
    </row>
    <row r="249" spans="1:17" ht="9.75" hidden="1" customHeight="1">
      <c r="A249" s="5" t="str">
        <f t="shared" si="9"/>
        <v>･</v>
      </c>
      <c r="B249" s="47"/>
      <c r="C249" s="48"/>
      <c r="D249" s="48"/>
      <c r="E249" s="49"/>
      <c r="F249" s="47"/>
      <c r="G249" s="48"/>
      <c r="H249" s="48"/>
      <c r="I249" s="49"/>
      <c r="J249" s="47"/>
      <c r="K249" s="48"/>
      <c r="L249" s="48"/>
      <c r="M249" s="49"/>
      <c r="N249" s="47"/>
      <c r="O249" s="48"/>
      <c r="P249" s="48"/>
      <c r="Q249" s="49"/>
    </row>
    <row r="250" spans="1:17" ht="9.75" hidden="1" customHeight="1">
      <c r="A250" s="5" t="str">
        <f t="shared" si="9"/>
        <v>･</v>
      </c>
      <c r="B250" s="47"/>
      <c r="C250" s="48"/>
      <c r="D250" s="48"/>
      <c r="E250" s="49"/>
      <c r="F250" s="47"/>
      <c r="G250" s="48"/>
      <c r="H250" s="48"/>
      <c r="I250" s="49"/>
      <c r="J250" s="47"/>
      <c r="K250" s="48"/>
      <c r="L250" s="48"/>
      <c r="M250" s="49"/>
      <c r="N250" s="47"/>
      <c r="O250" s="48"/>
      <c r="P250" s="48"/>
      <c r="Q250" s="49"/>
    </row>
    <row r="251" spans="1:17" ht="9.75" hidden="1" customHeight="1">
      <c r="A251" s="5" t="str">
        <f t="shared" si="9"/>
        <v>･</v>
      </c>
      <c r="B251" s="47"/>
      <c r="C251" s="48"/>
      <c r="D251" s="48"/>
      <c r="E251" s="49"/>
      <c r="F251" s="47"/>
      <c r="G251" s="48"/>
      <c r="H251" s="48"/>
      <c r="I251" s="49"/>
      <c r="J251" s="47"/>
      <c r="K251" s="48"/>
      <c r="L251" s="48"/>
      <c r="M251" s="49"/>
      <c r="N251" s="47"/>
      <c r="O251" s="48"/>
      <c r="P251" s="48"/>
      <c r="Q251" s="49"/>
    </row>
    <row r="252" spans="1:17" ht="9.75" hidden="1" customHeight="1">
      <c r="A252" s="5" t="str">
        <f t="shared" si="9"/>
        <v>･</v>
      </c>
      <c r="B252" s="47"/>
      <c r="C252" s="48"/>
      <c r="D252" s="48"/>
      <c r="E252" s="49"/>
      <c r="F252" s="47"/>
      <c r="G252" s="48"/>
      <c r="H252" s="48"/>
      <c r="I252" s="49"/>
      <c r="J252" s="47"/>
      <c r="K252" s="48"/>
      <c r="L252" s="48"/>
      <c r="M252" s="49"/>
      <c r="N252" s="47"/>
      <c r="O252" s="48"/>
      <c r="P252" s="48"/>
      <c r="Q252" s="49"/>
    </row>
    <row r="253" spans="1:17" ht="9.75" hidden="1" customHeight="1">
      <c r="A253" s="5" t="str">
        <f t="shared" si="9"/>
        <v>･</v>
      </c>
      <c r="B253" s="47"/>
      <c r="C253" s="48"/>
      <c r="D253" s="48"/>
      <c r="E253" s="49"/>
      <c r="F253" s="47"/>
      <c r="G253" s="48"/>
      <c r="H253" s="48"/>
      <c r="I253" s="49"/>
      <c r="J253" s="47"/>
      <c r="K253" s="48"/>
      <c r="L253" s="48"/>
      <c r="M253" s="49"/>
      <c r="N253" s="47"/>
      <c r="O253" s="48"/>
      <c r="P253" s="48"/>
      <c r="Q253" s="49"/>
    </row>
    <row r="254" spans="1:17" ht="9.75" hidden="1" customHeight="1">
      <c r="A254" s="5" t="str">
        <f t="shared" si="9"/>
        <v>･</v>
      </c>
      <c r="B254" s="47"/>
      <c r="C254" s="48"/>
      <c r="D254" s="48"/>
      <c r="E254" s="49"/>
      <c r="F254" s="47"/>
      <c r="G254" s="48"/>
      <c r="H254" s="48"/>
      <c r="I254" s="49"/>
      <c r="J254" s="47"/>
      <c r="K254" s="48"/>
      <c r="L254" s="48"/>
      <c r="M254" s="49"/>
      <c r="N254" s="47"/>
      <c r="O254" s="48"/>
      <c r="P254" s="48"/>
      <c r="Q254" s="49"/>
    </row>
    <row r="255" spans="1:17" ht="9.75" hidden="1" customHeight="1">
      <c r="A255" s="5" t="str">
        <f t="shared" si="9"/>
        <v>･</v>
      </c>
      <c r="B255" s="47"/>
      <c r="C255" s="48"/>
      <c r="D255" s="48"/>
      <c r="E255" s="49"/>
      <c r="F255" s="47"/>
      <c r="G255" s="48"/>
      <c r="H255" s="48"/>
      <c r="I255" s="49"/>
      <c r="J255" s="47"/>
      <c r="K255" s="48"/>
      <c r="L255" s="48"/>
      <c r="M255" s="49"/>
      <c r="N255" s="47"/>
      <c r="O255" s="48"/>
      <c r="P255" s="48"/>
      <c r="Q255" s="49"/>
    </row>
    <row r="256" spans="1:17" ht="9.75" hidden="1" customHeight="1">
      <c r="A256" s="5" t="str">
        <f t="shared" si="9"/>
        <v>･</v>
      </c>
      <c r="B256" s="47"/>
      <c r="C256" s="48"/>
      <c r="D256" s="48"/>
      <c r="E256" s="49"/>
      <c r="F256" s="47"/>
      <c r="G256" s="48"/>
      <c r="H256" s="48"/>
      <c r="I256" s="49"/>
      <c r="J256" s="47"/>
      <c r="K256" s="48"/>
      <c r="L256" s="48"/>
      <c r="M256" s="49"/>
      <c r="N256" s="47"/>
      <c r="O256" s="48"/>
      <c r="P256" s="48"/>
      <c r="Q256" s="49"/>
    </row>
    <row r="257" spans="1:17" ht="9.75" hidden="1" customHeight="1">
      <c r="A257" s="5" t="str">
        <f t="shared" si="9"/>
        <v>･</v>
      </c>
      <c r="B257" s="47"/>
      <c r="C257" s="48"/>
      <c r="D257" s="48"/>
      <c r="E257" s="49"/>
      <c r="F257" s="47"/>
      <c r="G257" s="48"/>
      <c r="H257" s="48"/>
      <c r="I257" s="49"/>
      <c r="J257" s="47"/>
      <c r="K257" s="48"/>
      <c r="L257" s="48"/>
      <c r="M257" s="49"/>
      <c r="N257" s="47"/>
      <c r="O257" s="48"/>
      <c r="P257" s="48"/>
      <c r="Q257" s="49"/>
    </row>
    <row r="258" spans="1:17" ht="9.75" hidden="1" customHeight="1">
      <c r="A258" s="5" t="str">
        <f t="shared" si="9"/>
        <v>･</v>
      </c>
      <c r="B258" s="66"/>
      <c r="C258" s="67"/>
      <c r="D258" s="67"/>
      <c r="E258" s="68"/>
      <c r="F258" s="66"/>
      <c r="G258" s="67"/>
      <c r="H258" s="67"/>
      <c r="I258" s="68"/>
      <c r="J258" s="66"/>
      <c r="K258" s="67"/>
      <c r="L258" s="67"/>
      <c r="M258" s="68"/>
      <c r="N258" s="66"/>
      <c r="O258" s="67"/>
      <c r="P258" s="67"/>
      <c r="Q258" s="68"/>
    </row>
    <row r="259" spans="1:17" ht="9.75" hidden="1" customHeight="1">
      <c r="B259" s="104"/>
      <c r="C259" s="104"/>
      <c r="D259" s="104"/>
      <c r="E259" s="104"/>
      <c r="F259" s="104"/>
      <c r="G259" s="104"/>
      <c r="H259" s="104"/>
      <c r="I259" s="104"/>
      <c r="J259" s="104"/>
      <c r="K259" s="104"/>
      <c r="L259" s="104"/>
      <c r="M259" s="104"/>
      <c r="N259" s="104"/>
      <c r="O259" s="104"/>
      <c r="P259" s="104"/>
      <c r="Q259" s="104"/>
    </row>
    <row r="260" spans="1:17" ht="9.75" customHeight="1">
      <c r="B260" s="101" t="s">
        <v>206</v>
      </c>
    </row>
    <row r="261" spans="1:17" ht="9.75" customHeight="1">
      <c r="B261" s="101" t="s">
        <v>207</v>
      </c>
    </row>
  </sheetData>
  <mergeCells count="27">
    <mergeCell ref="B207:E207"/>
    <mergeCell ref="F207:I207"/>
    <mergeCell ref="J207:M207"/>
    <mergeCell ref="N207:Q207"/>
    <mergeCell ref="AQ104:AS104"/>
    <mergeCell ref="Y104:AA104"/>
    <mergeCell ref="AB104:AD104"/>
    <mergeCell ref="AE104:AG104"/>
    <mergeCell ref="AH104:AJ104"/>
    <mergeCell ref="AK104:AM104"/>
    <mergeCell ref="AN104:AP104"/>
    <mergeCell ref="B104:E104"/>
    <mergeCell ref="F104:I104"/>
    <mergeCell ref="J104:M104"/>
    <mergeCell ref="N104:Q104"/>
    <mergeCell ref="R104:U104"/>
    <mergeCell ref="AT104:AU104"/>
    <mergeCell ref="AV104:AW104"/>
    <mergeCell ref="AX104:AY104"/>
    <mergeCell ref="AZ104:BA104"/>
    <mergeCell ref="BC104:BD104"/>
    <mergeCell ref="V104:X104"/>
    <mergeCell ref="B1:E1"/>
    <mergeCell ref="F1:I1"/>
    <mergeCell ref="J1:M1"/>
    <mergeCell ref="N1:Q1"/>
    <mergeCell ref="R1:U1"/>
  </mergeCells>
  <phoneticPr fontId="1"/>
  <dataValidations count="3">
    <dataValidation type="list" allowBlank="1" showInputMessage="1" showErrorMessage="1" sqref="R3:U52 W5" xr:uid="{A44E08AB-830F-4C31-A203-09AE5F7FE036}">
      <formula1>"Linear,Bi-Linear,Takeda"</formula1>
    </dataValidation>
    <dataValidation type="list" allowBlank="1" showInputMessage="1" showErrorMessage="1" sqref="W7" xr:uid="{C1B261A4-66C4-4D27-BA34-5F064BC52A45}">
      <formula1>"β=1/4,β=1/6"</formula1>
    </dataValidation>
    <dataValidation type="list" allowBlank="1" showInputMessage="1" showErrorMessage="1" sqref="W9" xr:uid="{B9CA7183-3D3C-48FB-944B-C40CC4C1B75C}">
      <formula1>"LU,LLT,LDLT"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9594C-F072-4CE8-8F0B-C78B074B98EE}">
  <sheetPr codeName="Sheet15"/>
  <dimension ref="A1:AG69"/>
  <sheetViews>
    <sheetView workbookViewId="0">
      <selection sqref="A1:A2"/>
    </sheetView>
  </sheetViews>
  <sheetFormatPr defaultColWidth="8.7109375" defaultRowHeight="9.75" customHeight="1"/>
  <cols>
    <col min="1" max="16384" width="8.7109375" style="13"/>
  </cols>
  <sheetData>
    <row r="1" spans="1:33" ht="9.75" customHeight="1">
      <c r="A1" s="160" t="s">
        <v>56</v>
      </c>
      <c r="B1" s="26" t="s">
        <v>121</v>
      </c>
      <c r="C1" s="160" t="s">
        <v>122</v>
      </c>
      <c r="D1" s="160" t="s">
        <v>123</v>
      </c>
      <c r="E1" s="160" t="s">
        <v>124</v>
      </c>
      <c r="F1" s="160" t="s">
        <v>125</v>
      </c>
      <c r="G1" s="160" t="s">
        <v>126</v>
      </c>
      <c r="H1" s="160" t="s">
        <v>127</v>
      </c>
      <c r="I1" s="160" t="s">
        <v>41</v>
      </c>
      <c r="J1" s="160" t="s">
        <v>39</v>
      </c>
      <c r="K1" s="26" t="s">
        <v>40</v>
      </c>
      <c r="L1" s="26" t="s">
        <v>41</v>
      </c>
      <c r="M1" s="26" t="s">
        <v>42</v>
      </c>
      <c r="N1" s="26" t="s">
        <v>43</v>
      </c>
      <c r="O1" s="26" t="s">
        <v>44</v>
      </c>
      <c r="P1" s="160" t="s">
        <v>219</v>
      </c>
      <c r="Q1" s="160" t="s">
        <v>45</v>
      </c>
      <c r="R1" s="26" t="s">
        <v>46</v>
      </c>
      <c r="S1" s="26" t="s">
        <v>47</v>
      </c>
      <c r="T1" s="156" t="s">
        <v>48</v>
      </c>
      <c r="U1" s="159"/>
      <c r="V1" s="159" t="s">
        <v>49</v>
      </c>
      <c r="W1" s="159"/>
      <c r="X1" s="159" t="s">
        <v>50</v>
      </c>
      <c r="Y1" s="159"/>
      <c r="Z1" s="159" t="s">
        <v>51</v>
      </c>
      <c r="AA1" s="159"/>
      <c r="AB1" s="159" t="s">
        <v>52</v>
      </c>
      <c r="AC1" s="159"/>
      <c r="AD1" s="159" t="s">
        <v>53</v>
      </c>
      <c r="AE1" s="159"/>
      <c r="AF1" s="159" t="s">
        <v>54</v>
      </c>
      <c r="AG1" s="159"/>
    </row>
    <row r="2" spans="1:33" ht="9.75" customHeight="1">
      <c r="A2" s="161"/>
      <c r="B2" s="29" t="s">
        <v>97</v>
      </c>
      <c r="C2" s="161"/>
      <c r="D2" s="161"/>
      <c r="E2" s="161"/>
      <c r="F2" s="161"/>
      <c r="G2" s="161"/>
      <c r="H2" s="161"/>
      <c r="I2" s="161"/>
      <c r="J2" s="161"/>
      <c r="K2" s="29" t="s">
        <v>67</v>
      </c>
      <c r="L2" s="29" t="s">
        <v>68</v>
      </c>
      <c r="M2" s="29" t="s">
        <v>69</v>
      </c>
      <c r="N2" s="29" t="s">
        <v>70</v>
      </c>
      <c r="O2" s="29" t="s">
        <v>71</v>
      </c>
      <c r="P2" s="161"/>
      <c r="Q2" s="161"/>
      <c r="R2" s="29" t="s">
        <v>72</v>
      </c>
      <c r="S2" s="29" t="s">
        <v>73</v>
      </c>
      <c r="T2" s="25" t="s">
        <v>74</v>
      </c>
      <c r="U2" s="27" t="s">
        <v>75</v>
      </c>
      <c r="V2" s="27" t="s">
        <v>74</v>
      </c>
      <c r="W2" s="27" t="s">
        <v>75</v>
      </c>
      <c r="X2" s="27" t="s">
        <v>46</v>
      </c>
      <c r="Y2" s="27" t="s">
        <v>47</v>
      </c>
      <c r="Z2" s="27" t="s">
        <v>46</v>
      </c>
      <c r="AA2" s="27" t="s">
        <v>47</v>
      </c>
      <c r="AB2" s="27" t="s">
        <v>76</v>
      </c>
      <c r="AC2" s="27" t="s">
        <v>77</v>
      </c>
      <c r="AD2" s="27" t="s">
        <v>78</v>
      </c>
      <c r="AE2" s="27" t="s">
        <v>79</v>
      </c>
      <c r="AF2" s="27" t="s">
        <v>78</v>
      </c>
      <c r="AG2" s="27" t="s">
        <v>79</v>
      </c>
    </row>
    <row r="3" spans="1:33" ht="9.75" customHeight="1">
      <c r="A3" s="71"/>
      <c r="B3" s="72"/>
      <c r="C3" s="72"/>
      <c r="D3" s="72"/>
      <c r="E3" s="72"/>
      <c r="F3" s="72"/>
      <c r="G3" s="72"/>
      <c r="H3" s="72"/>
      <c r="I3" s="73"/>
      <c r="J3" s="74"/>
      <c r="K3" s="75"/>
      <c r="L3" s="75"/>
      <c r="M3" s="75"/>
      <c r="N3" s="75"/>
      <c r="O3" s="75"/>
      <c r="P3" s="75"/>
      <c r="Q3" s="75"/>
      <c r="R3" s="75"/>
      <c r="S3" s="76"/>
      <c r="T3" s="34"/>
      <c r="U3" s="36"/>
      <c r="V3" s="34"/>
      <c r="W3" s="36"/>
      <c r="X3" s="34"/>
      <c r="Y3" s="36"/>
      <c r="Z3" s="34"/>
      <c r="AA3" s="36"/>
      <c r="AB3" s="34"/>
      <c r="AC3" s="36"/>
      <c r="AD3" s="34"/>
      <c r="AE3" s="36"/>
      <c r="AF3" s="34"/>
      <c r="AG3" s="36"/>
    </row>
    <row r="4" spans="1:33" ht="9.75" customHeight="1">
      <c r="A4" s="77"/>
      <c r="B4" s="78"/>
      <c r="C4" s="78"/>
      <c r="D4" s="78"/>
      <c r="E4" s="78"/>
      <c r="F4" s="78"/>
      <c r="G4" s="78"/>
      <c r="H4" s="78"/>
      <c r="I4" s="79"/>
      <c r="J4" s="42"/>
      <c r="K4" s="43"/>
      <c r="L4" s="43"/>
      <c r="M4" s="43"/>
      <c r="N4" s="43"/>
      <c r="O4" s="43"/>
      <c r="P4" s="43"/>
      <c r="Q4" s="43"/>
      <c r="R4" s="43"/>
      <c r="S4" s="44"/>
      <c r="T4" s="47"/>
      <c r="U4" s="49"/>
      <c r="V4" s="47"/>
      <c r="W4" s="49"/>
      <c r="X4" s="47"/>
      <c r="Y4" s="49"/>
      <c r="Z4" s="47"/>
      <c r="AA4" s="49"/>
      <c r="AB4" s="47"/>
      <c r="AC4" s="49"/>
      <c r="AD4" s="47"/>
      <c r="AE4" s="49"/>
      <c r="AF4" s="47"/>
      <c r="AG4" s="49"/>
    </row>
    <row r="5" spans="1:33" ht="9.75" customHeight="1">
      <c r="A5" s="77"/>
      <c r="B5" s="78"/>
      <c r="C5" s="78"/>
      <c r="D5" s="78"/>
      <c r="E5" s="78"/>
      <c r="F5" s="78"/>
      <c r="G5" s="78"/>
      <c r="H5" s="78"/>
      <c r="I5" s="79"/>
      <c r="J5" s="42"/>
      <c r="K5" s="43"/>
      <c r="L5" s="43"/>
      <c r="M5" s="43"/>
      <c r="N5" s="43"/>
      <c r="O5" s="43"/>
      <c r="P5" s="43"/>
      <c r="Q5" s="43"/>
      <c r="R5" s="43"/>
      <c r="S5" s="44"/>
      <c r="T5" s="47"/>
      <c r="U5" s="49"/>
      <c r="V5" s="47"/>
      <c r="W5" s="49"/>
      <c r="X5" s="47"/>
      <c r="Y5" s="49"/>
      <c r="Z5" s="47"/>
      <c r="AA5" s="49"/>
      <c r="AB5" s="47"/>
      <c r="AC5" s="49"/>
      <c r="AD5" s="47"/>
      <c r="AE5" s="49"/>
      <c r="AF5" s="47"/>
      <c r="AG5" s="49"/>
    </row>
    <row r="6" spans="1:33" ht="9.75" customHeight="1">
      <c r="A6" s="77"/>
      <c r="B6" s="78"/>
      <c r="C6" s="78"/>
      <c r="D6" s="78"/>
      <c r="E6" s="78"/>
      <c r="F6" s="78"/>
      <c r="G6" s="78"/>
      <c r="H6" s="78"/>
      <c r="I6" s="79"/>
      <c r="J6" s="42"/>
      <c r="K6" s="43"/>
      <c r="L6" s="43"/>
      <c r="M6" s="43"/>
      <c r="N6" s="43"/>
      <c r="O6" s="43"/>
      <c r="P6" s="43"/>
      <c r="Q6" s="43"/>
      <c r="R6" s="43"/>
      <c r="S6" s="44"/>
      <c r="T6" s="47"/>
      <c r="U6" s="49"/>
      <c r="V6" s="47"/>
      <c r="W6" s="49"/>
      <c r="X6" s="47"/>
      <c r="Y6" s="49"/>
      <c r="Z6" s="47"/>
      <c r="AA6" s="49"/>
      <c r="AB6" s="47"/>
      <c r="AC6" s="49"/>
      <c r="AD6" s="47"/>
      <c r="AE6" s="49"/>
      <c r="AF6" s="47"/>
      <c r="AG6" s="49"/>
    </row>
    <row r="7" spans="1:33" ht="9.75" customHeight="1">
      <c r="A7" s="77"/>
      <c r="B7" s="78"/>
      <c r="C7" s="78"/>
      <c r="D7" s="78"/>
      <c r="E7" s="78"/>
      <c r="F7" s="78"/>
      <c r="G7" s="78"/>
      <c r="H7" s="78"/>
      <c r="I7" s="79"/>
      <c r="J7" s="42"/>
      <c r="K7" s="43"/>
      <c r="L7" s="43"/>
      <c r="M7" s="43"/>
      <c r="N7" s="43"/>
      <c r="O7" s="43"/>
      <c r="P7" s="43"/>
      <c r="Q7" s="43"/>
      <c r="R7" s="43"/>
      <c r="S7" s="44"/>
      <c r="T7" s="47"/>
      <c r="U7" s="49"/>
      <c r="V7" s="47"/>
      <c r="W7" s="49"/>
      <c r="X7" s="47"/>
      <c r="Y7" s="49"/>
      <c r="Z7" s="47"/>
      <c r="AA7" s="49"/>
      <c r="AB7" s="47"/>
      <c r="AC7" s="49"/>
      <c r="AD7" s="47"/>
      <c r="AE7" s="49"/>
      <c r="AF7" s="47"/>
      <c r="AG7" s="49"/>
    </row>
    <row r="8" spans="1:33" ht="9.75" customHeight="1">
      <c r="A8" s="77"/>
      <c r="B8" s="78"/>
      <c r="C8" s="78"/>
      <c r="D8" s="78"/>
      <c r="E8" s="78"/>
      <c r="F8" s="78"/>
      <c r="G8" s="78"/>
      <c r="H8" s="78"/>
      <c r="I8" s="79"/>
      <c r="J8" s="42"/>
      <c r="K8" s="43"/>
      <c r="L8" s="43"/>
      <c r="M8" s="43"/>
      <c r="N8" s="43"/>
      <c r="O8" s="43"/>
      <c r="P8" s="43"/>
      <c r="Q8" s="43"/>
      <c r="R8" s="43"/>
      <c r="S8" s="44"/>
      <c r="T8" s="47"/>
      <c r="U8" s="49"/>
      <c r="V8" s="47"/>
      <c r="W8" s="49"/>
      <c r="X8" s="47"/>
      <c r="Y8" s="49"/>
      <c r="Z8" s="47"/>
      <c r="AA8" s="49"/>
      <c r="AB8" s="47"/>
      <c r="AC8" s="49"/>
      <c r="AD8" s="47"/>
      <c r="AE8" s="49"/>
      <c r="AF8" s="47"/>
      <c r="AG8" s="49"/>
    </row>
    <row r="9" spans="1:33" ht="9.75" customHeight="1">
      <c r="A9" s="77"/>
      <c r="B9" s="78"/>
      <c r="C9" s="78"/>
      <c r="D9" s="78"/>
      <c r="E9" s="78"/>
      <c r="F9" s="78"/>
      <c r="G9" s="78"/>
      <c r="H9" s="78"/>
      <c r="I9" s="79"/>
      <c r="J9" s="42"/>
      <c r="K9" s="43"/>
      <c r="L9" s="43"/>
      <c r="M9" s="43"/>
      <c r="N9" s="43"/>
      <c r="O9" s="43"/>
      <c r="P9" s="43"/>
      <c r="Q9" s="43"/>
      <c r="R9" s="43"/>
      <c r="S9" s="44"/>
      <c r="T9" s="47"/>
      <c r="U9" s="49"/>
      <c r="V9" s="47"/>
      <c r="W9" s="49"/>
      <c r="X9" s="47"/>
      <c r="Y9" s="49"/>
      <c r="Z9" s="47"/>
      <c r="AA9" s="49"/>
      <c r="AB9" s="47"/>
      <c r="AC9" s="49"/>
      <c r="AD9" s="47"/>
      <c r="AE9" s="49"/>
      <c r="AF9" s="47"/>
      <c r="AG9" s="49"/>
    </row>
    <row r="10" spans="1:33" ht="9.75" customHeight="1">
      <c r="A10" s="77"/>
      <c r="B10" s="78"/>
      <c r="C10" s="78"/>
      <c r="D10" s="78"/>
      <c r="E10" s="78"/>
      <c r="F10" s="78"/>
      <c r="G10" s="78"/>
      <c r="H10" s="78"/>
      <c r="I10" s="79"/>
      <c r="J10" s="42"/>
      <c r="K10" s="43"/>
      <c r="L10" s="43"/>
      <c r="M10" s="43"/>
      <c r="N10" s="43"/>
      <c r="O10" s="43"/>
      <c r="P10" s="43"/>
      <c r="Q10" s="43"/>
      <c r="R10" s="43"/>
      <c r="S10" s="44"/>
      <c r="T10" s="47"/>
      <c r="U10" s="49"/>
      <c r="V10" s="47"/>
      <c r="W10" s="49"/>
      <c r="X10" s="47"/>
      <c r="Y10" s="49"/>
      <c r="Z10" s="47"/>
      <c r="AA10" s="49"/>
      <c r="AB10" s="47"/>
      <c r="AC10" s="49"/>
      <c r="AD10" s="47"/>
      <c r="AE10" s="49"/>
      <c r="AF10" s="47"/>
      <c r="AG10" s="49"/>
    </row>
    <row r="11" spans="1:33" ht="9.75" customHeight="1">
      <c r="A11" s="77"/>
      <c r="B11" s="78"/>
      <c r="C11" s="78"/>
      <c r="D11" s="78"/>
      <c r="E11" s="78"/>
      <c r="F11" s="78"/>
      <c r="G11" s="78"/>
      <c r="H11" s="78"/>
      <c r="I11" s="79"/>
      <c r="J11" s="42"/>
      <c r="K11" s="43"/>
      <c r="L11" s="43"/>
      <c r="M11" s="43"/>
      <c r="N11" s="43"/>
      <c r="O11" s="43"/>
      <c r="P11" s="43"/>
      <c r="Q11" s="43"/>
      <c r="R11" s="43"/>
      <c r="S11" s="44"/>
      <c r="T11" s="47"/>
      <c r="U11" s="49"/>
      <c r="V11" s="47"/>
      <c r="W11" s="49"/>
      <c r="X11" s="47"/>
      <c r="Y11" s="49"/>
      <c r="Z11" s="47"/>
      <c r="AA11" s="49"/>
      <c r="AB11" s="47"/>
      <c r="AC11" s="49"/>
      <c r="AD11" s="47"/>
      <c r="AE11" s="49"/>
      <c r="AF11" s="47"/>
      <c r="AG11" s="49"/>
    </row>
    <row r="12" spans="1:33" ht="9.75" customHeight="1">
      <c r="A12" s="77"/>
      <c r="B12" s="78"/>
      <c r="C12" s="78"/>
      <c r="D12" s="78"/>
      <c r="E12" s="78"/>
      <c r="F12" s="78"/>
      <c r="G12" s="78"/>
      <c r="H12" s="78"/>
      <c r="I12" s="79"/>
      <c r="J12" s="42"/>
      <c r="K12" s="43"/>
      <c r="L12" s="43"/>
      <c r="M12" s="43"/>
      <c r="N12" s="43"/>
      <c r="O12" s="43"/>
      <c r="P12" s="43"/>
      <c r="Q12" s="43"/>
      <c r="R12" s="43"/>
      <c r="S12" s="44"/>
      <c r="T12" s="47"/>
      <c r="U12" s="49"/>
      <c r="V12" s="47"/>
      <c r="W12" s="49"/>
      <c r="X12" s="47"/>
      <c r="Y12" s="49"/>
      <c r="Z12" s="47"/>
      <c r="AA12" s="49"/>
      <c r="AB12" s="47"/>
      <c r="AC12" s="49"/>
      <c r="AD12" s="47"/>
      <c r="AE12" s="49"/>
      <c r="AF12" s="47"/>
      <c r="AG12" s="49"/>
    </row>
    <row r="13" spans="1:33" ht="9.75" customHeight="1">
      <c r="A13" s="77"/>
      <c r="B13" s="78"/>
      <c r="C13" s="78"/>
      <c r="D13" s="78"/>
      <c r="E13" s="78"/>
      <c r="F13" s="78"/>
      <c r="G13" s="78"/>
      <c r="H13" s="78"/>
      <c r="I13" s="79"/>
      <c r="J13" s="42"/>
      <c r="K13" s="43"/>
      <c r="L13" s="43"/>
      <c r="M13" s="43"/>
      <c r="N13" s="43"/>
      <c r="O13" s="43"/>
      <c r="P13" s="43"/>
      <c r="Q13" s="43"/>
      <c r="R13" s="43"/>
      <c r="S13" s="44"/>
      <c r="T13" s="47"/>
      <c r="U13" s="49"/>
      <c r="V13" s="47"/>
      <c r="W13" s="49"/>
      <c r="X13" s="47"/>
      <c r="Y13" s="49"/>
      <c r="Z13" s="47"/>
      <c r="AA13" s="49"/>
      <c r="AB13" s="47"/>
      <c r="AC13" s="49"/>
      <c r="AD13" s="47"/>
      <c r="AE13" s="49"/>
      <c r="AF13" s="47"/>
      <c r="AG13" s="49"/>
    </row>
    <row r="14" spans="1:33" ht="9.75" customHeight="1">
      <c r="A14" s="77"/>
      <c r="B14" s="78"/>
      <c r="C14" s="78"/>
      <c r="D14" s="78"/>
      <c r="E14" s="78"/>
      <c r="F14" s="78"/>
      <c r="G14" s="78"/>
      <c r="H14" s="78"/>
      <c r="I14" s="79"/>
      <c r="J14" s="42"/>
      <c r="K14" s="43"/>
      <c r="L14" s="43"/>
      <c r="M14" s="43"/>
      <c r="N14" s="43"/>
      <c r="O14" s="43"/>
      <c r="P14" s="43"/>
      <c r="Q14" s="43"/>
      <c r="R14" s="43"/>
      <c r="S14" s="44"/>
      <c r="T14" s="47"/>
      <c r="U14" s="49"/>
      <c r="V14" s="47"/>
      <c r="W14" s="49"/>
      <c r="X14" s="47"/>
      <c r="Y14" s="49"/>
      <c r="Z14" s="47"/>
      <c r="AA14" s="49"/>
      <c r="AB14" s="47"/>
      <c r="AC14" s="49"/>
      <c r="AD14" s="47"/>
      <c r="AE14" s="49"/>
      <c r="AF14" s="47"/>
      <c r="AG14" s="49"/>
    </row>
    <row r="15" spans="1:33" ht="9.75" customHeight="1">
      <c r="A15" s="77"/>
      <c r="B15" s="78"/>
      <c r="C15" s="78"/>
      <c r="D15" s="78"/>
      <c r="E15" s="78"/>
      <c r="F15" s="78"/>
      <c r="G15" s="78"/>
      <c r="H15" s="78"/>
      <c r="I15" s="79"/>
      <c r="J15" s="42"/>
      <c r="K15" s="43"/>
      <c r="L15" s="43"/>
      <c r="M15" s="43"/>
      <c r="N15" s="43"/>
      <c r="O15" s="43"/>
      <c r="P15" s="43"/>
      <c r="Q15" s="43"/>
      <c r="R15" s="43"/>
      <c r="S15" s="44"/>
      <c r="T15" s="47"/>
      <c r="U15" s="49"/>
      <c r="V15" s="47"/>
      <c r="W15" s="49"/>
      <c r="X15" s="47"/>
      <c r="Y15" s="49"/>
      <c r="Z15" s="47"/>
      <c r="AA15" s="49"/>
      <c r="AB15" s="47"/>
      <c r="AC15" s="49"/>
      <c r="AD15" s="47"/>
      <c r="AE15" s="49"/>
      <c r="AF15" s="47"/>
      <c r="AG15" s="49"/>
    </row>
    <row r="16" spans="1:33" ht="9.75" customHeight="1">
      <c r="A16" s="77"/>
      <c r="B16" s="78"/>
      <c r="C16" s="78"/>
      <c r="D16" s="78"/>
      <c r="E16" s="78"/>
      <c r="F16" s="78"/>
      <c r="G16" s="78"/>
      <c r="H16" s="78"/>
      <c r="I16" s="79"/>
      <c r="J16" s="42"/>
      <c r="K16" s="43"/>
      <c r="L16" s="43"/>
      <c r="M16" s="43"/>
      <c r="N16" s="43"/>
      <c r="O16" s="43"/>
      <c r="P16" s="43"/>
      <c r="Q16" s="43"/>
      <c r="R16" s="43"/>
      <c r="S16" s="44"/>
      <c r="T16" s="47"/>
      <c r="U16" s="49"/>
      <c r="V16" s="47"/>
      <c r="W16" s="49"/>
      <c r="X16" s="47"/>
      <c r="Y16" s="49"/>
      <c r="Z16" s="47"/>
      <c r="AA16" s="49"/>
      <c r="AB16" s="47"/>
      <c r="AC16" s="49"/>
      <c r="AD16" s="47"/>
      <c r="AE16" s="49"/>
      <c r="AF16" s="47"/>
      <c r="AG16" s="49"/>
    </row>
    <row r="17" spans="1:33" ht="9.75" customHeight="1">
      <c r="A17" s="77"/>
      <c r="B17" s="78"/>
      <c r="C17" s="78"/>
      <c r="D17" s="78"/>
      <c r="E17" s="78"/>
      <c r="F17" s="78"/>
      <c r="G17" s="78"/>
      <c r="H17" s="78"/>
      <c r="I17" s="79"/>
      <c r="J17" s="42"/>
      <c r="K17" s="43"/>
      <c r="L17" s="43"/>
      <c r="M17" s="43"/>
      <c r="N17" s="43"/>
      <c r="O17" s="43"/>
      <c r="P17" s="43"/>
      <c r="Q17" s="43"/>
      <c r="R17" s="43"/>
      <c r="S17" s="44"/>
      <c r="T17" s="47"/>
      <c r="U17" s="49"/>
      <c r="V17" s="47"/>
      <c r="W17" s="49"/>
      <c r="X17" s="47"/>
      <c r="Y17" s="49"/>
      <c r="Z17" s="47"/>
      <c r="AA17" s="49"/>
      <c r="AB17" s="47"/>
      <c r="AC17" s="49"/>
      <c r="AD17" s="47"/>
      <c r="AE17" s="49"/>
      <c r="AF17" s="47"/>
      <c r="AG17" s="49"/>
    </row>
    <row r="18" spans="1:33" ht="9.75" customHeight="1">
      <c r="A18" s="77"/>
      <c r="B18" s="78"/>
      <c r="C18" s="78"/>
      <c r="D18" s="78"/>
      <c r="E18" s="78"/>
      <c r="F18" s="78"/>
      <c r="G18" s="78"/>
      <c r="H18" s="78"/>
      <c r="I18" s="79"/>
      <c r="J18" s="42"/>
      <c r="K18" s="43"/>
      <c r="L18" s="43"/>
      <c r="M18" s="43"/>
      <c r="N18" s="43"/>
      <c r="O18" s="43"/>
      <c r="P18" s="43"/>
      <c r="Q18" s="43"/>
      <c r="R18" s="43"/>
      <c r="S18" s="44"/>
      <c r="T18" s="47"/>
      <c r="U18" s="49"/>
      <c r="V18" s="47"/>
      <c r="W18" s="49"/>
      <c r="X18" s="47"/>
      <c r="Y18" s="49"/>
      <c r="Z18" s="47"/>
      <c r="AA18" s="49"/>
      <c r="AB18" s="47"/>
      <c r="AC18" s="49"/>
      <c r="AD18" s="47"/>
      <c r="AE18" s="49"/>
      <c r="AF18" s="47"/>
      <c r="AG18" s="49"/>
    </row>
    <row r="19" spans="1:33" ht="9.75" customHeight="1">
      <c r="A19" s="77"/>
      <c r="B19" s="78"/>
      <c r="C19" s="78"/>
      <c r="D19" s="78"/>
      <c r="E19" s="78"/>
      <c r="F19" s="78"/>
      <c r="G19" s="78"/>
      <c r="H19" s="78"/>
      <c r="I19" s="79"/>
      <c r="J19" s="42"/>
      <c r="K19" s="43"/>
      <c r="L19" s="43"/>
      <c r="M19" s="43"/>
      <c r="N19" s="43"/>
      <c r="O19" s="43"/>
      <c r="P19" s="43"/>
      <c r="Q19" s="43"/>
      <c r="R19" s="43"/>
      <c r="S19" s="44"/>
      <c r="T19" s="47"/>
      <c r="U19" s="49"/>
      <c r="V19" s="47"/>
      <c r="W19" s="49"/>
      <c r="X19" s="47"/>
      <c r="Y19" s="49"/>
      <c r="Z19" s="47"/>
      <c r="AA19" s="49"/>
      <c r="AB19" s="47"/>
      <c r="AC19" s="49"/>
      <c r="AD19" s="47"/>
      <c r="AE19" s="49"/>
      <c r="AF19" s="47"/>
      <c r="AG19" s="49"/>
    </row>
    <row r="20" spans="1:33" ht="9.75" customHeight="1">
      <c r="A20" s="77"/>
      <c r="B20" s="78"/>
      <c r="C20" s="78"/>
      <c r="D20" s="78"/>
      <c r="E20" s="78"/>
      <c r="F20" s="78"/>
      <c r="G20" s="78"/>
      <c r="H20" s="78"/>
      <c r="I20" s="79"/>
      <c r="J20" s="42"/>
      <c r="K20" s="43"/>
      <c r="L20" s="43"/>
      <c r="M20" s="43"/>
      <c r="N20" s="43"/>
      <c r="O20" s="43"/>
      <c r="P20" s="43"/>
      <c r="Q20" s="43"/>
      <c r="R20" s="43"/>
      <c r="S20" s="44"/>
      <c r="T20" s="34"/>
      <c r="U20" s="36"/>
      <c r="V20" s="34"/>
      <c r="W20" s="36"/>
      <c r="X20" s="34"/>
      <c r="Y20" s="36"/>
      <c r="Z20" s="34"/>
      <c r="AA20" s="36"/>
      <c r="AB20" s="34"/>
      <c r="AC20" s="36"/>
      <c r="AD20" s="34"/>
      <c r="AE20" s="36"/>
      <c r="AF20" s="34"/>
      <c r="AG20" s="36"/>
    </row>
    <row r="21" spans="1:33" ht="9.75" customHeight="1">
      <c r="A21" s="77"/>
      <c r="B21" s="78"/>
      <c r="C21" s="78"/>
      <c r="D21" s="78"/>
      <c r="E21" s="78"/>
      <c r="F21" s="78"/>
      <c r="G21" s="78"/>
      <c r="H21" s="78"/>
      <c r="I21" s="79"/>
      <c r="J21" s="42"/>
      <c r="K21" s="43"/>
      <c r="L21" s="43"/>
      <c r="M21" s="43"/>
      <c r="N21" s="43"/>
      <c r="O21" s="43"/>
      <c r="P21" s="43"/>
      <c r="Q21" s="43"/>
      <c r="R21" s="43"/>
      <c r="S21" s="44"/>
      <c r="T21" s="47"/>
      <c r="U21" s="49"/>
      <c r="V21" s="47"/>
      <c r="W21" s="49"/>
      <c r="X21" s="47"/>
      <c r="Y21" s="49"/>
      <c r="Z21" s="47"/>
      <c r="AA21" s="49"/>
      <c r="AB21" s="47"/>
      <c r="AC21" s="49"/>
      <c r="AD21" s="47"/>
      <c r="AE21" s="49"/>
      <c r="AF21" s="47"/>
      <c r="AG21" s="49"/>
    </row>
    <row r="22" spans="1:33" ht="9.75" customHeight="1">
      <c r="A22" s="77"/>
      <c r="B22" s="78"/>
      <c r="C22" s="78"/>
      <c r="D22" s="78"/>
      <c r="E22" s="78"/>
      <c r="F22" s="78"/>
      <c r="G22" s="78"/>
      <c r="H22" s="78"/>
      <c r="I22" s="79"/>
      <c r="J22" s="42"/>
      <c r="K22" s="43"/>
      <c r="L22" s="43"/>
      <c r="M22" s="43"/>
      <c r="N22" s="43"/>
      <c r="O22" s="43"/>
      <c r="P22" s="43"/>
      <c r="Q22" s="43"/>
      <c r="R22" s="43"/>
      <c r="S22" s="44"/>
      <c r="T22" s="47"/>
      <c r="U22" s="49"/>
      <c r="V22" s="47"/>
      <c r="W22" s="49"/>
      <c r="X22" s="47"/>
      <c r="Y22" s="49"/>
      <c r="Z22" s="47"/>
      <c r="AA22" s="49"/>
      <c r="AB22" s="47"/>
      <c r="AC22" s="49"/>
      <c r="AD22" s="47"/>
      <c r="AE22" s="49"/>
      <c r="AF22" s="47"/>
      <c r="AG22" s="49"/>
    </row>
    <row r="23" spans="1:33" ht="9.75" customHeight="1">
      <c r="A23" s="77"/>
      <c r="B23" s="78"/>
      <c r="C23" s="78"/>
      <c r="D23" s="78"/>
      <c r="E23" s="78"/>
      <c r="F23" s="78"/>
      <c r="G23" s="78"/>
      <c r="H23" s="78"/>
      <c r="I23" s="79"/>
      <c r="J23" s="42"/>
      <c r="K23" s="43"/>
      <c r="L23" s="43"/>
      <c r="M23" s="43"/>
      <c r="N23" s="43"/>
      <c r="O23" s="43"/>
      <c r="P23" s="43"/>
      <c r="Q23" s="43"/>
      <c r="R23" s="43"/>
      <c r="S23" s="44"/>
      <c r="T23" s="47"/>
      <c r="U23" s="49"/>
      <c r="V23" s="47"/>
      <c r="W23" s="49"/>
      <c r="X23" s="47"/>
      <c r="Y23" s="49"/>
      <c r="Z23" s="47"/>
      <c r="AA23" s="49"/>
      <c r="AB23" s="47"/>
      <c r="AC23" s="49"/>
      <c r="AD23" s="47"/>
      <c r="AE23" s="49"/>
      <c r="AF23" s="47"/>
      <c r="AG23" s="49"/>
    </row>
    <row r="24" spans="1:33" ht="9.75" customHeight="1">
      <c r="A24" s="77"/>
      <c r="B24" s="78"/>
      <c r="C24" s="78"/>
      <c r="D24" s="78"/>
      <c r="E24" s="78"/>
      <c r="F24" s="78"/>
      <c r="G24" s="78"/>
      <c r="H24" s="78"/>
      <c r="I24" s="79"/>
      <c r="J24" s="42"/>
      <c r="K24" s="43"/>
      <c r="L24" s="43"/>
      <c r="M24" s="43"/>
      <c r="N24" s="43"/>
      <c r="O24" s="43"/>
      <c r="P24" s="43"/>
      <c r="Q24" s="43"/>
      <c r="R24" s="43"/>
      <c r="S24" s="44"/>
      <c r="T24" s="47"/>
      <c r="U24" s="49"/>
      <c r="V24" s="47"/>
      <c r="W24" s="49"/>
      <c r="X24" s="47"/>
      <c r="Y24" s="49"/>
      <c r="Z24" s="47"/>
      <c r="AA24" s="49"/>
      <c r="AB24" s="47"/>
      <c r="AC24" s="49"/>
      <c r="AD24" s="47"/>
      <c r="AE24" s="49"/>
      <c r="AF24" s="47"/>
      <c r="AG24" s="49"/>
    </row>
    <row r="25" spans="1:33" ht="9.75" customHeight="1">
      <c r="A25" s="77"/>
      <c r="B25" s="78"/>
      <c r="C25" s="78"/>
      <c r="D25" s="78"/>
      <c r="E25" s="78"/>
      <c r="F25" s="78"/>
      <c r="G25" s="78"/>
      <c r="H25" s="78"/>
      <c r="I25" s="79"/>
      <c r="J25" s="42"/>
      <c r="K25" s="43"/>
      <c r="L25" s="43"/>
      <c r="M25" s="43"/>
      <c r="N25" s="43"/>
      <c r="O25" s="43"/>
      <c r="P25" s="43"/>
      <c r="Q25" s="43"/>
      <c r="R25" s="43"/>
      <c r="S25" s="44"/>
      <c r="T25" s="47"/>
      <c r="U25" s="49"/>
      <c r="V25" s="47"/>
      <c r="W25" s="49"/>
      <c r="X25" s="47"/>
      <c r="Y25" s="49"/>
      <c r="Z25" s="47"/>
      <c r="AA25" s="49"/>
      <c r="AB25" s="47"/>
      <c r="AC25" s="49"/>
      <c r="AD25" s="47"/>
      <c r="AE25" s="49"/>
      <c r="AF25" s="47"/>
      <c r="AG25" s="49"/>
    </row>
    <row r="26" spans="1:33" ht="9.75" customHeight="1">
      <c r="A26" s="77"/>
      <c r="B26" s="78"/>
      <c r="C26" s="78"/>
      <c r="D26" s="78"/>
      <c r="E26" s="78"/>
      <c r="F26" s="78"/>
      <c r="G26" s="78"/>
      <c r="H26" s="78"/>
      <c r="I26" s="79"/>
      <c r="J26" s="42"/>
      <c r="K26" s="43"/>
      <c r="L26" s="43"/>
      <c r="M26" s="43"/>
      <c r="N26" s="43"/>
      <c r="O26" s="43"/>
      <c r="P26" s="43"/>
      <c r="Q26" s="43"/>
      <c r="R26" s="43"/>
      <c r="S26" s="44"/>
      <c r="T26" s="47"/>
      <c r="U26" s="49"/>
      <c r="V26" s="47"/>
      <c r="W26" s="49"/>
      <c r="X26" s="47"/>
      <c r="Y26" s="49"/>
      <c r="Z26" s="47"/>
      <c r="AA26" s="49"/>
      <c r="AB26" s="47"/>
      <c r="AC26" s="49"/>
      <c r="AD26" s="47"/>
      <c r="AE26" s="49"/>
      <c r="AF26" s="47"/>
      <c r="AG26" s="49"/>
    </row>
    <row r="27" spans="1:33" ht="9.75" customHeight="1">
      <c r="A27" s="77"/>
      <c r="B27" s="78"/>
      <c r="C27" s="78"/>
      <c r="D27" s="78"/>
      <c r="E27" s="78"/>
      <c r="F27" s="78"/>
      <c r="G27" s="78"/>
      <c r="H27" s="78"/>
      <c r="I27" s="79"/>
      <c r="J27" s="42"/>
      <c r="K27" s="43"/>
      <c r="L27" s="43"/>
      <c r="M27" s="43"/>
      <c r="N27" s="43"/>
      <c r="O27" s="43"/>
      <c r="P27" s="43"/>
      <c r="Q27" s="43"/>
      <c r="R27" s="43"/>
      <c r="S27" s="44"/>
      <c r="T27" s="47"/>
      <c r="U27" s="49"/>
      <c r="V27" s="47"/>
      <c r="W27" s="49"/>
      <c r="X27" s="47"/>
      <c r="Y27" s="49"/>
      <c r="Z27" s="47"/>
      <c r="AA27" s="49"/>
      <c r="AB27" s="47"/>
      <c r="AC27" s="49"/>
      <c r="AD27" s="47"/>
      <c r="AE27" s="49"/>
      <c r="AF27" s="47"/>
      <c r="AG27" s="49"/>
    </row>
    <row r="28" spans="1:33" ht="9.75" customHeight="1">
      <c r="A28" s="77"/>
      <c r="B28" s="78"/>
      <c r="C28" s="78"/>
      <c r="D28" s="78"/>
      <c r="E28" s="78"/>
      <c r="F28" s="78"/>
      <c r="G28" s="78"/>
      <c r="H28" s="78"/>
      <c r="I28" s="79"/>
      <c r="J28" s="42"/>
      <c r="K28" s="43"/>
      <c r="L28" s="43"/>
      <c r="M28" s="43"/>
      <c r="N28" s="43"/>
      <c r="O28" s="43"/>
      <c r="P28" s="43"/>
      <c r="Q28" s="43"/>
      <c r="R28" s="43"/>
      <c r="S28" s="44"/>
      <c r="T28" s="47"/>
      <c r="U28" s="49"/>
      <c r="V28" s="47"/>
      <c r="W28" s="49"/>
      <c r="X28" s="47"/>
      <c r="Y28" s="49"/>
      <c r="Z28" s="47"/>
      <c r="AA28" s="49"/>
      <c r="AB28" s="47"/>
      <c r="AC28" s="49"/>
      <c r="AD28" s="47"/>
      <c r="AE28" s="49"/>
      <c r="AF28" s="47"/>
      <c r="AG28" s="49"/>
    </row>
    <row r="29" spans="1:33" ht="9.75" customHeight="1">
      <c r="A29" s="77"/>
      <c r="B29" s="78"/>
      <c r="C29" s="78"/>
      <c r="D29" s="78"/>
      <c r="E29" s="78"/>
      <c r="F29" s="78"/>
      <c r="G29" s="78"/>
      <c r="H29" s="78"/>
      <c r="I29" s="79"/>
      <c r="J29" s="42"/>
      <c r="K29" s="43"/>
      <c r="L29" s="43"/>
      <c r="M29" s="43"/>
      <c r="N29" s="43"/>
      <c r="O29" s="43"/>
      <c r="P29" s="43"/>
      <c r="Q29" s="43"/>
      <c r="R29" s="43"/>
      <c r="S29" s="44"/>
      <c r="T29" s="47"/>
      <c r="U29" s="49"/>
      <c r="V29" s="47"/>
      <c r="W29" s="49"/>
      <c r="X29" s="47"/>
      <c r="Y29" s="49"/>
      <c r="Z29" s="47"/>
      <c r="AA29" s="49"/>
      <c r="AB29" s="47"/>
      <c r="AC29" s="49"/>
      <c r="AD29" s="47"/>
      <c r="AE29" s="49"/>
      <c r="AF29" s="47"/>
      <c r="AG29" s="49"/>
    </row>
    <row r="30" spans="1:33" ht="9.75" customHeight="1">
      <c r="A30" s="77"/>
      <c r="B30" s="78"/>
      <c r="C30" s="78"/>
      <c r="D30" s="78"/>
      <c r="E30" s="78"/>
      <c r="F30" s="78"/>
      <c r="G30" s="78"/>
      <c r="H30" s="78"/>
      <c r="I30" s="79"/>
      <c r="J30" s="42"/>
      <c r="K30" s="43"/>
      <c r="L30" s="43"/>
      <c r="M30" s="43"/>
      <c r="N30" s="43"/>
      <c r="O30" s="43"/>
      <c r="P30" s="43"/>
      <c r="Q30" s="43"/>
      <c r="R30" s="43"/>
      <c r="S30" s="44"/>
      <c r="T30" s="47"/>
      <c r="U30" s="49"/>
      <c r="V30" s="47"/>
      <c r="W30" s="49"/>
      <c r="X30" s="47"/>
      <c r="Y30" s="49"/>
      <c r="Z30" s="47"/>
      <c r="AA30" s="49"/>
      <c r="AB30" s="47"/>
      <c r="AC30" s="49"/>
      <c r="AD30" s="47"/>
      <c r="AE30" s="49"/>
      <c r="AF30" s="47"/>
      <c r="AG30" s="49"/>
    </row>
    <row r="31" spans="1:33" ht="9.75" customHeight="1">
      <c r="A31" s="77"/>
      <c r="B31" s="78"/>
      <c r="C31" s="78"/>
      <c r="D31" s="78"/>
      <c r="E31" s="78"/>
      <c r="F31" s="78"/>
      <c r="G31" s="78"/>
      <c r="H31" s="78"/>
      <c r="I31" s="79"/>
      <c r="J31" s="42"/>
      <c r="K31" s="43"/>
      <c r="L31" s="43"/>
      <c r="M31" s="43"/>
      <c r="N31" s="43"/>
      <c r="O31" s="43"/>
      <c r="P31" s="43"/>
      <c r="Q31" s="43"/>
      <c r="R31" s="43"/>
      <c r="S31" s="44"/>
      <c r="T31" s="47"/>
      <c r="U31" s="49"/>
      <c r="V31" s="47"/>
      <c r="W31" s="49"/>
      <c r="X31" s="47"/>
      <c r="Y31" s="49"/>
      <c r="Z31" s="47"/>
      <c r="AA31" s="49"/>
      <c r="AB31" s="47"/>
      <c r="AC31" s="49"/>
      <c r="AD31" s="47"/>
      <c r="AE31" s="49"/>
      <c r="AF31" s="47"/>
      <c r="AG31" s="49"/>
    </row>
    <row r="32" spans="1:33" ht="9.75" customHeight="1">
      <c r="A32" s="77"/>
      <c r="B32" s="78"/>
      <c r="C32" s="78"/>
      <c r="D32" s="78"/>
      <c r="E32" s="78"/>
      <c r="F32" s="78"/>
      <c r="G32" s="78"/>
      <c r="H32" s="78"/>
      <c r="I32" s="79"/>
      <c r="J32" s="42"/>
      <c r="K32" s="43"/>
      <c r="L32" s="43"/>
      <c r="M32" s="43"/>
      <c r="N32" s="43"/>
      <c r="O32" s="43"/>
      <c r="P32" s="43"/>
      <c r="Q32" s="43"/>
      <c r="R32" s="43"/>
      <c r="S32" s="44"/>
      <c r="T32" s="47"/>
      <c r="U32" s="49"/>
      <c r="V32" s="47"/>
      <c r="W32" s="49"/>
      <c r="X32" s="47"/>
      <c r="Y32" s="49"/>
      <c r="Z32" s="47"/>
      <c r="AA32" s="49"/>
      <c r="AB32" s="47"/>
      <c r="AC32" s="49"/>
      <c r="AD32" s="47"/>
      <c r="AE32" s="49"/>
      <c r="AF32" s="47"/>
      <c r="AG32" s="49"/>
    </row>
    <row r="33" spans="1:33" ht="9.75" customHeight="1">
      <c r="A33" s="77"/>
      <c r="B33" s="78"/>
      <c r="C33" s="78"/>
      <c r="D33" s="78"/>
      <c r="E33" s="78"/>
      <c r="F33" s="78"/>
      <c r="G33" s="78"/>
      <c r="H33" s="78"/>
      <c r="I33" s="79"/>
      <c r="J33" s="42"/>
      <c r="K33" s="43"/>
      <c r="L33" s="43"/>
      <c r="M33" s="43"/>
      <c r="N33" s="43"/>
      <c r="O33" s="43"/>
      <c r="P33" s="43"/>
      <c r="Q33" s="43"/>
      <c r="R33" s="43"/>
      <c r="S33" s="44"/>
      <c r="T33" s="47"/>
      <c r="U33" s="49"/>
      <c r="V33" s="47"/>
      <c r="W33" s="49"/>
      <c r="X33" s="47"/>
      <c r="Y33" s="49"/>
      <c r="Z33" s="47"/>
      <c r="AA33" s="49"/>
      <c r="AB33" s="47"/>
      <c r="AC33" s="49"/>
      <c r="AD33" s="47"/>
      <c r="AE33" s="49"/>
      <c r="AF33" s="47"/>
      <c r="AG33" s="49"/>
    </row>
    <row r="34" spans="1:33" ht="9.75" customHeight="1">
      <c r="A34" s="77"/>
      <c r="B34" s="78"/>
      <c r="C34" s="78"/>
      <c r="D34" s="78"/>
      <c r="E34" s="78"/>
      <c r="F34" s="78"/>
      <c r="G34" s="78"/>
      <c r="H34" s="78"/>
      <c r="I34" s="79"/>
      <c r="J34" s="42"/>
      <c r="K34" s="43"/>
      <c r="L34" s="43"/>
      <c r="M34" s="52"/>
      <c r="N34" s="52"/>
      <c r="O34" s="52"/>
      <c r="P34" s="52"/>
      <c r="Q34" s="52"/>
      <c r="R34" s="43"/>
      <c r="S34" s="44"/>
      <c r="T34" s="47"/>
      <c r="U34" s="49"/>
      <c r="V34" s="47"/>
      <c r="W34" s="49"/>
      <c r="X34" s="47"/>
      <c r="Y34" s="49"/>
      <c r="Z34" s="47"/>
      <c r="AA34" s="49"/>
      <c r="AB34" s="47"/>
      <c r="AC34" s="49"/>
      <c r="AD34" s="47"/>
      <c r="AE34" s="49"/>
      <c r="AF34" s="47"/>
      <c r="AG34" s="49"/>
    </row>
    <row r="35" spans="1:33" ht="9.75" customHeight="1">
      <c r="A35" s="77"/>
      <c r="B35" s="78"/>
      <c r="C35" s="78"/>
      <c r="D35" s="78"/>
      <c r="E35" s="78"/>
      <c r="F35" s="78"/>
      <c r="G35" s="78"/>
      <c r="H35" s="78"/>
      <c r="I35" s="79"/>
      <c r="J35" s="42"/>
      <c r="K35" s="43"/>
      <c r="L35" s="43"/>
      <c r="M35" s="52"/>
      <c r="N35" s="52"/>
      <c r="O35" s="52"/>
      <c r="P35" s="52"/>
      <c r="Q35" s="52"/>
      <c r="R35" s="43"/>
      <c r="S35" s="44"/>
      <c r="T35" s="47"/>
      <c r="U35" s="49"/>
      <c r="V35" s="47"/>
      <c r="W35" s="49"/>
      <c r="X35" s="47"/>
      <c r="Y35" s="49"/>
      <c r="Z35" s="47"/>
      <c r="AA35" s="49"/>
      <c r="AB35" s="47"/>
      <c r="AC35" s="49"/>
      <c r="AD35" s="47"/>
      <c r="AE35" s="49"/>
      <c r="AF35" s="47"/>
      <c r="AG35" s="49"/>
    </row>
    <row r="36" spans="1:33" ht="9.75" customHeight="1">
      <c r="A36" s="77"/>
      <c r="B36" s="78"/>
      <c r="C36" s="78"/>
      <c r="D36" s="78"/>
      <c r="E36" s="78"/>
      <c r="F36" s="78"/>
      <c r="G36" s="78"/>
      <c r="H36" s="78"/>
      <c r="I36" s="79"/>
      <c r="J36" s="42"/>
      <c r="K36" s="43"/>
      <c r="L36" s="43"/>
      <c r="M36" s="52"/>
      <c r="N36" s="52"/>
      <c r="O36" s="52"/>
      <c r="P36" s="52"/>
      <c r="Q36" s="52"/>
      <c r="R36" s="43"/>
      <c r="S36" s="44"/>
      <c r="T36" s="47"/>
      <c r="U36" s="49"/>
      <c r="V36" s="47"/>
      <c r="W36" s="49"/>
      <c r="X36" s="47"/>
      <c r="Y36" s="49"/>
      <c r="Z36" s="47"/>
      <c r="AA36" s="49"/>
      <c r="AB36" s="47"/>
      <c r="AC36" s="49"/>
      <c r="AD36" s="47"/>
      <c r="AE36" s="49"/>
      <c r="AF36" s="47"/>
      <c r="AG36" s="49"/>
    </row>
    <row r="37" spans="1:33" ht="9.75" customHeight="1">
      <c r="A37" s="77"/>
      <c r="B37" s="78"/>
      <c r="C37" s="78"/>
      <c r="D37" s="78"/>
      <c r="E37" s="78"/>
      <c r="F37" s="78"/>
      <c r="G37" s="78"/>
      <c r="H37" s="78"/>
      <c r="I37" s="79"/>
      <c r="J37" s="42"/>
      <c r="K37" s="43"/>
      <c r="L37" s="43"/>
      <c r="M37" s="52"/>
      <c r="N37" s="52"/>
      <c r="O37" s="52"/>
      <c r="P37" s="52"/>
      <c r="Q37" s="52"/>
      <c r="R37" s="43"/>
      <c r="S37" s="44"/>
      <c r="T37" s="47"/>
      <c r="U37" s="49"/>
      <c r="V37" s="47"/>
      <c r="W37" s="49"/>
      <c r="X37" s="47"/>
      <c r="Y37" s="49"/>
      <c r="Z37" s="47"/>
      <c r="AA37" s="49"/>
      <c r="AB37" s="47"/>
      <c r="AC37" s="49"/>
      <c r="AD37" s="47"/>
      <c r="AE37" s="49"/>
      <c r="AF37" s="47"/>
      <c r="AG37" s="49"/>
    </row>
    <row r="38" spans="1:33" ht="9.75" customHeight="1">
      <c r="A38" s="77"/>
      <c r="B38" s="78"/>
      <c r="C38" s="78"/>
      <c r="D38" s="78"/>
      <c r="E38" s="78"/>
      <c r="F38" s="78"/>
      <c r="G38" s="78"/>
      <c r="H38" s="78"/>
      <c r="I38" s="79"/>
      <c r="J38" s="42"/>
      <c r="K38" s="43"/>
      <c r="L38" s="43"/>
      <c r="M38" s="52"/>
      <c r="N38" s="52"/>
      <c r="O38" s="52"/>
      <c r="P38" s="52"/>
      <c r="Q38" s="52"/>
      <c r="R38" s="43"/>
      <c r="S38" s="44"/>
      <c r="T38" s="47"/>
      <c r="U38" s="49"/>
      <c r="V38" s="47"/>
      <c r="W38" s="49"/>
      <c r="X38" s="47"/>
      <c r="Y38" s="49"/>
      <c r="Z38" s="47"/>
      <c r="AA38" s="49"/>
      <c r="AB38" s="47"/>
      <c r="AC38" s="49"/>
      <c r="AD38" s="47"/>
      <c r="AE38" s="49"/>
      <c r="AF38" s="47"/>
      <c r="AG38" s="49"/>
    </row>
    <row r="39" spans="1:33" ht="9.75" customHeight="1">
      <c r="A39" s="77"/>
      <c r="B39" s="78"/>
      <c r="C39" s="78"/>
      <c r="D39" s="78"/>
      <c r="E39" s="78"/>
      <c r="F39" s="78"/>
      <c r="G39" s="78"/>
      <c r="H39" s="78"/>
      <c r="I39" s="79"/>
      <c r="J39" s="42"/>
      <c r="K39" s="43"/>
      <c r="L39" s="43"/>
      <c r="M39" s="52"/>
      <c r="N39" s="52"/>
      <c r="O39" s="52"/>
      <c r="P39" s="52"/>
      <c r="Q39" s="52"/>
      <c r="R39" s="43"/>
      <c r="S39" s="44"/>
      <c r="T39" s="47"/>
      <c r="U39" s="49"/>
      <c r="V39" s="47"/>
      <c r="W39" s="49"/>
      <c r="X39" s="47"/>
      <c r="Y39" s="49"/>
      <c r="Z39" s="47"/>
      <c r="AA39" s="49"/>
      <c r="AB39" s="47"/>
      <c r="AC39" s="49"/>
      <c r="AD39" s="47"/>
      <c r="AE39" s="49"/>
      <c r="AF39" s="47"/>
      <c r="AG39" s="49"/>
    </row>
    <row r="40" spans="1:33" ht="9.75" customHeight="1">
      <c r="A40" s="77"/>
      <c r="B40" s="78"/>
      <c r="C40" s="78"/>
      <c r="D40" s="78"/>
      <c r="E40" s="78"/>
      <c r="F40" s="78"/>
      <c r="G40" s="78"/>
      <c r="H40" s="78"/>
      <c r="I40" s="79"/>
      <c r="J40" s="42"/>
      <c r="K40" s="43"/>
      <c r="L40" s="43"/>
      <c r="M40" s="52"/>
      <c r="N40" s="52"/>
      <c r="O40" s="52"/>
      <c r="P40" s="52"/>
      <c r="Q40" s="52"/>
      <c r="R40" s="43"/>
      <c r="S40" s="44"/>
      <c r="T40" s="47"/>
      <c r="U40" s="49"/>
      <c r="V40" s="47"/>
      <c r="W40" s="49"/>
      <c r="X40" s="47"/>
      <c r="Y40" s="49"/>
      <c r="Z40" s="47"/>
      <c r="AA40" s="49"/>
      <c r="AB40" s="47"/>
      <c r="AC40" s="49"/>
      <c r="AD40" s="47"/>
      <c r="AE40" s="49"/>
      <c r="AF40" s="47"/>
      <c r="AG40" s="49"/>
    </row>
    <row r="41" spans="1:33" ht="9.75" customHeight="1">
      <c r="A41" s="77"/>
      <c r="B41" s="78"/>
      <c r="C41" s="78"/>
      <c r="D41" s="78"/>
      <c r="E41" s="78"/>
      <c r="F41" s="78"/>
      <c r="G41" s="78"/>
      <c r="H41" s="78"/>
      <c r="I41" s="79"/>
      <c r="J41" s="56"/>
      <c r="K41" s="43"/>
      <c r="L41" s="43"/>
      <c r="M41" s="52"/>
      <c r="N41" s="52"/>
      <c r="O41" s="52"/>
      <c r="P41" s="52"/>
      <c r="Q41" s="52"/>
      <c r="R41" s="43"/>
      <c r="S41" s="44"/>
      <c r="T41" s="47"/>
      <c r="U41" s="49"/>
      <c r="V41" s="47"/>
      <c r="W41" s="49"/>
      <c r="X41" s="47"/>
      <c r="Y41" s="49"/>
      <c r="Z41" s="47"/>
      <c r="AA41" s="49"/>
      <c r="AB41" s="47"/>
      <c r="AC41" s="49"/>
      <c r="AD41" s="47"/>
      <c r="AE41" s="49"/>
      <c r="AF41" s="47"/>
      <c r="AG41" s="49"/>
    </row>
    <row r="42" spans="1:33" ht="9.75" customHeight="1">
      <c r="A42" s="77"/>
      <c r="B42" s="78"/>
      <c r="C42" s="78"/>
      <c r="D42" s="78"/>
      <c r="E42" s="78"/>
      <c r="F42" s="78"/>
      <c r="G42" s="78"/>
      <c r="H42" s="78"/>
      <c r="I42" s="79"/>
      <c r="J42" s="56"/>
      <c r="K42" s="43"/>
      <c r="L42" s="43"/>
      <c r="M42" s="52"/>
      <c r="N42" s="52"/>
      <c r="O42" s="52"/>
      <c r="P42" s="52"/>
      <c r="Q42" s="52"/>
      <c r="R42" s="43"/>
      <c r="S42" s="44"/>
      <c r="T42" s="47"/>
      <c r="U42" s="49"/>
      <c r="V42" s="47"/>
      <c r="W42" s="49"/>
      <c r="X42" s="47"/>
      <c r="Y42" s="49"/>
      <c r="Z42" s="47"/>
      <c r="AA42" s="49"/>
      <c r="AB42" s="47"/>
      <c r="AC42" s="49"/>
      <c r="AD42" s="47"/>
      <c r="AE42" s="49"/>
      <c r="AF42" s="47"/>
      <c r="AG42" s="49"/>
    </row>
    <row r="43" spans="1:33" ht="9.75" customHeight="1">
      <c r="A43" s="88"/>
      <c r="B43" s="89"/>
      <c r="C43" s="89"/>
      <c r="D43" s="89"/>
      <c r="E43" s="89"/>
      <c r="F43" s="89"/>
      <c r="G43" s="89"/>
      <c r="H43" s="89"/>
      <c r="I43" s="90"/>
      <c r="J43" s="56"/>
      <c r="K43" s="43"/>
      <c r="L43" s="43"/>
      <c r="M43" s="43"/>
      <c r="N43" s="43"/>
      <c r="O43" s="43"/>
      <c r="P43" s="43"/>
      <c r="Q43" s="43"/>
      <c r="R43" s="43"/>
      <c r="S43" s="44"/>
      <c r="T43" s="47"/>
      <c r="U43" s="49"/>
      <c r="V43" s="47"/>
      <c r="W43" s="49"/>
      <c r="X43" s="47"/>
      <c r="Y43" s="49"/>
      <c r="Z43" s="47"/>
      <c r="AA43" s="49"/>
      <c r="AB43" s="47"/>
      <c r="AC43" s="49"/>
      <c r="AD43" s="47"/>
      <c r="AE43" s="49"/>
      <c r="AF43" s="47"/>
      <c r="AG43" s="49"/>
    </row>
    <row r="44" spans="1:33" ht="9.75" customHeight="1">
      <c r="A44" s="88"/>
      <c r="B44" s="89"/>
      <c r="C44" s="89"/>
      <c r="D44" s="89"/>
      <c r="E44" s="89"/>
      <c r="F44" s="89"/>
      <c r="G44" s="89"/>
      <c r="H44" s="89"/>
      <c r="I44" s="90"/>
      <c r="J44" s="56"/>
      <c r="K44" s="43"/>
      <c r="L44" s="43"/>
      <c r="M44" s="43"/>
      <c r="N44" s="43"/>
      <c r="O44" s="43"/>
      <c r="P44" s="43"/>
      <c r="Q44" s="43"/>
      <c r="R44" s="43"/>
      <c r="S44" s="44"/>
      <c r="T44" s="47"/>
      <c r="U44" s="49"/>
      <c r="V44" s="47"/>
      <c r="W44" s="49"/>
      <c r="X44" s="47"/>
      <c r="Y44" s="49"/>
      <c r="Z44" s="47"/>
      <c r="AA44" s="49"/>
      <c r="AB44" s="47"/>
      <c r="AC44" s="49"/>
      <c r="AD44" s="47"/>
      <c r="AE44" s="49"/>
      <c r="AF44" s="47"/>
      <c r="AG44" s="49"/>
    </row>
    <row r="45" spans="1:33" ht="9.75" customHeight="1">
      <c r="A45" s="88"/>
      <c r="B45" s="89"/>
      <c r="C45" s="89"/>
      <c r="D45" s="89"/>
      <c r="E45" s="89"/>
      <c r="F45" s="89"/>
      <c r="G45" s="89"/>
      <c r="H45" s="89"/>
      <c r="I45" s="90"/>
      <c r="J45" s="56"/>
      <c r="K45" s="43"/>
      <c r="L45" s="43"/>
      <c r="M45" s="43"/>
      <c r="N45" s="43"/>
      <c r="O45" s="43"/>
      <c r="P45" s="43"/>
      <c r="Q45" s="43"/>
      <c r="R45" s="43"/>
      <c r="S45" s="44"/>
      <c r="T45" s="47"/>
      <c r="U45" s="49"/>
      <c r="V45" s="47"/>
      <c r="W45" s="49"/>
      <c r="X45" s="47"/>
      <c r="Y45" s="49"/>
      <c r="Z45" s="47"/>
      <c r="AA45" s="49"/>
      <c r="AB45" s="47"/>
      <c r="AC45" s="49"/>
      <c r="AD45" s="47"/>
      <c r="AE45" s="49"/>
      <c r="AF45" s="47"/>
      <c r="AG45" s="49"/>
    </row>
    <row r="46" spans="1:33" ht="9.75" customHeight="1">
      <c r="A46" s="88"/>
      <c r="B46" s="89"/>
      <c r="C46" s="89"/>
      <c r="D46" s="89"/>
      <c r="E46" s="89"/>
      <c r="F46" s="89"/>
      <c r="G46" s="89"/>
      <c r="H46" s="89"/>
      <c r="I46" s="90"/>
      <c r="J46" s="56"/>
      <c r="K46" s="43"/>
      <c r="L46" s="43"/>
      <c r="M46" s="43"/>
      <c r="N46" s="43"/>
      <c r="O46" s="43"/>
      <c r="P46" s="43"/>
      <c r="Q46" s="43"/>
      <c r="R46" s="43"/>
      <c r="S46" s="44"/>
      <c r="T46" s="47"/>
      <c r="U46" s="49"/>
      <c r="V46" s="47"/>
      <c r="W46" s="49"/>
      <c r="X46" s="47"/>
      <c r="Y46" s="49"/>
      <c r="Z46" s="47"/>
      <c r="AA46" s="49"/>
      <c r="AB46" s="47"/>
      <c r="AC46" s="49"/>
      <c r="AD46" s="47"/>
      <c r="AE46" s="49"/>
      <c r="AF46" s="47"/>
      <c r="AG46" s="49"/>
    </row>
    <row r="47" spans="1:33" ht="9.75" customHeight="1">
      <c r="A47" s="88"/>
      <c r="B47" s="89"/>
      <c r="C47" s="89"/>
      <c r="D47" s="89"/>
      <c r="E47" s="89"/>
      <c r="F47" s="89"/>
      <c r="G47" s="89"/>
      <c r="H47" s="89"/>
      <c r="I47" s="90"/>
      <c r="J47" s="56"/>
      <c r="K47" s="43"/>
      <c r="L47" s="43"/>
      <c r="M47" s="43"/>
      <c r="N47" s="43"/>
      <c r="O47" s="43"/>
      <c r="P47" s="43"/>
      <c r="Q47" s="43"/>
      <c r="R47" s="43"/>
      <c r="S47" s="44"/>
      <c r="T47" s="47"/>
      <c r="U47" s="49"/>
      <c r="V47" s="47"/>
      <c r="W47" s="49"/>
      <c r="X47" s="47"/>
      <c r="Y47" s="49"/>
      <c r="Z47" s="47"/>
      <c r="AA47" s="49"/>
      <c r="AB47" s="47"/>
      <c r="AC47" s="49"/>
      <c r="AD47" s="47"/>
      <c r="AE47" s="49"/>
      <c r="AF47" s="47"/>
      <c r="AG47" s="49"/>
    </row>
    <row r="48" spans="1:33" ht="9.75" customHeight="1">
      <c r="A48" s="88"/>
      <c r="B48" s="89"/>
      <c r="C48" s="89"/>
      <c r="D48" s="89"/>
      <c r="E48" s="89"/>
      <c r="F48" s="89"/>
      <c r="G48" s="89"/>
      <c r="H48" s="89"/>
      <c r="I48" s="90"/>
      <c r="J48" s="56"/>
      <c r="K48" s="43"/>
      <c r="L48" s="43"/>
      <c r="M48" s="43"/>
      <c r="N48" s="43"/>
      <c r="O48" s="43"/>
      <c r="P48" s="43"/>
      <c r="Q48" s="43"/>
      <c r="R48" s="43"/>
      <c r="S48" s="44"/>
      <c r="T48" s="47"/>
      <c r="U48" s="49"/>
      <c r="V48" s="47"/>
      <c r="W48" s="49"/>
      <c r="X48" s="47"/>
      <c r="Y48" s="49"/>
      <c r="Z48" s="47"/>
      <c r="AA48" s="49"/>
      <c r="AB48" s="47"/>
      <c r="AC48" s="49"/>
      <c r="AD48" s="47"/>
      <c r="AE48" s="49"/>
      <c r="AF48" s="47"/>
      <c r="AG48" s="49"/>
    </row>
    <row r="49" spans="1:33" ht="9.75" customHeight="1">
      <c r="A49" s="88"/>
      <c r="B49" s="89"/>
      <c r="C49" s="89"/>
      <c r="D49" s="89"/>
      <c r="E49" s="89"/>
      <c r="F49" s="89"/>
      <c r="G49" s="89"/>
      <c r="H49" s="89"/>
      <c r="I49" s="90"/>
      <c r="J49" s="56"/>
      <c r="K49" s="43"/>
      <c r="L49" s="43"/>
      <c r="M49" s="43"/>
      <c r="N49" s="43"/>
      <c r="O49" s="43"/>
      <c r="P49" s="43"/>
      <c r="Q49" s="43"/>
      <c r="R49" s="43"/>
      <c r="S49" s="44"/>
      <c r="T49" s="47"/>
      <c r="U49" s="49"/>
      <c r="V49" s="47"/>
      <c r="W49" s="49"/>
      <c r="X49" s="47"/>
      <c r="Y49" s="49"/>
      <c r="Z49" s="47"/>
      <c r="AA49" s="49"/>
      <c r="AB49" s="47"/>
      <c r="AC49" s="49"/>
      <c r="AD49" s="47"/>
      <c r="AE49" s="49"/>
      <c r="AF49" s="47"/>
      <c r="AG49" s="49"/>
    </row>
    <row r="50" spans="1:33" ht="9.75" customHeight="1">
      <c r="A50" s="88"/>
      <c r="B50" s="89"/>
      <c r="C50" s="89"/>
      <c r="D50" s="89"/>
      <c r="E50" s="89"/>
      <c r="F50" s="89"/>
      <c r="G50" s="89"/>
      <c r="H50" s="89"/>
      <c r="I50" s="90"/>
      <c r="J50" s="56"/>
      <c r="K50" s="43"/>
      <c r="L50" s="43"/>
      <c r="M50" s="43"/>
      <c r="N50" s="43"/>
      <c r="O50" s="43"/>
      <c r="P50" s="43"/>
      <c r="Q50" s="43"/>
      <c r="R50" s="43"/>
      <c r="S50" s="44"/>
      <c r="T50" s="47"/>
      <c r="U50" s="49"/>
      <c r="V50" s="47"/>
      <c r="W50" s="49"/>
      <c r="X50" s="47"/>
      <c r="Y50" s="49"/>
      <c r="Z50" s="47"/>
      <c r="AA50" s="49"/>
      <c r="AB50" s="47"/>
      <c r="AC50" s="49"/>
      <c r="AD50" s="47"/>
      <c r="AE50" s="49"/>
      <c r="AF50" s="47"/>
      <c r="AG50" s="49"/>
    </row>
    <row r="51" spans="1:33" ht="9.75" customHeight="1">
      <c r="A51" s="88"/>
      <c r="B51" s="89"/>
      <c r="C51" s="89"/>
      <c r="D51" s="89"/>
      <c r="E51" s="89"/>
      <c r="F51" s="89"/>
      <c r="G51" s="89"/>
      <c r="H51" s="89"/>
      <c r="I51" s="90"/>
      <c r="J51" s="56"/>
      <c r="K51" s="43"/>
      <c r="L51" s="43"/>
      <c r="M51" s="43"/>
      <c r="N51" s="43"/>
      <c r="O51" s="43"/>
      <c r="P51" s="43"/>
      <c r="Q51" s="43"/>
      <c r="R51" s="43"/>
      <c r="S51" s="44"/>
      <c r="T51" s="47"/>
      <c r="U51" s="49"/>
      <c r="V51" s="47"/>
      <c r="W51" s="49"/>
      <c r="X51" s="47"/>
      <c r="Y51" s="49"/>
      <c r="Z51" s="47"/>
      <c r="AA51" s="49"/>
      <c r="AB51" s="47"/>
      <c r="AC51" s="49"/>
      <c r="AD51" s="47"/>
      <c r="AE51" s="49"/>
      <c r="AF51" s="47"/>
      <c r="AG51" s="49"/>
    </row>
    <row r="52" spans="1:33" ht="9.75" customHeight="1">
      <c r="A52" s="77"/>
      <c r="B52" s="78"/>
      <c r="C52" s="78"/>
      <c r="D52" s="78"/>
      <c r="E52" s="78"/>
      <c r="F52" s="78"/>
      <c r="G52" s="78"/>
      <c r="H52" s="91"/>
      <c r="I52" s="92"/>
      <c r="J52" s="69"/>
      <c r="K52" s="93"/>
      <c r="L52" s="93"/>
      <c r="M52" s="93"/>
      <c r="N52" s="93"/>
      <c r="O52" s="93"/>
      <c r="P52" s="93"/>
      <c r="Q52" s="93"/>
      <c r="R52" s="93"/>
      <c r="S52" s="70"/>
      <c r="T52" s="34"/>
      <c r="U52" s="36"/>
      <c r="V52" s="34"/>
      <c r="W52" s="36"/>
      <c r="X52" s="34"/>
      <c r="Y52" s="36"/>
      <c r="Z52" s="34"/>
      <c r="AA52" s="36"/>
      <c r="AB52" s="34"/>
      <c r="AC52" s="36"/>
      <c r="AD52" s="34"/>
      <c r="AE52" s="36"/>
      <c r="AF52" s="34"/>
      <c r="AG52" s="36"/>
    </row>
    <row r="53" spans="1:33" ht="9.75" customHeight="1">
      <c r="A53" s="94"/>
      <c r="B53" s="94"/>
      <c r="C53" s="94"/>
      <c r="D53" s="94"/>
      <c r="E53" s="94"/>
      <c r="F53" s="94"/>
      <c r="G53" s="94"/>
      <c r="H53" s="94"/>
      <c r="I53" s="94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ht="9.75" customHeight="1">
      <c r="A54" s="154" t="s">
        <v>55</v>
      </c>
      <c r="B54" s="155"/>
      <c r="C54" s="155"/>
      <c r="D54" s="156"/>
      <c r="E54" s="26" t="s">
        <v>57</v>
      </c>
      <c r="F54" s="26" t="s">
        <v>58</v>
      </c>
      <c r="G54" s="28" t="s">
        <v>59</v>
      </c>
      <c r="H54" s="154" t="s">
        <v>60</v>
      </c>
      <c r="I54" s="155"/>
      <c r="J54" s="155"/>
      <c r="K54" s="156"/>
      <c r="L54" s="155" t="s">
        <v>61</v>
      </c>
      <c r="M54" s="156"/>
      <c r="N54" s="154" t="s">
        <v>62</v>
      </c>
      <c r="O54" s="156"/>
      <c r="T54" s="109">
        <v>30</v>
      </c>
      <c r="U54" s="13" t="s">
        <v>98</v>
      </c>
    </row>
    <row r="55" spans="1:33" ht="9.75" customHeight="1">
      <c r="A55" s="27" t="s">
        <v>56</v>
      </c>
      <c r="B55" s="29" t="s">
        <v>80</v>
      </c>
      <c r="C55" s="29" t="s">
        <v>81</v>
      </c>
      <c r="D55" s="29" t="s">
        <v>82</v>
      </c>
      <c r="E55" s="30" t="s">
        <v>83</v>
      </c>
      <c r="F55" s="30" t="s">
        <v>83</v>
      </c>
      <c r="G55" s="31" t="s">
        <v>84</v>
      </c>
      <c r="H55" s="32" t="s">
        <v>85</v>
      </c>
      <c r="I55" s="27" t="s">
        <v>86</v>
      </c>
      <c r="J55" s="27" t="s">
        <v>87</v>
      </c>
      <c r="K55" s="27" t="s">
        <v>88</v>
      </c>
      <c r="L55" s="33" t="s">
        <v>89</v>
      </c>
      <c r="M55" s="29" t="s">
        <v>46</v>
      </c>
      <c r="N55" s="29" t="s">
        <v>89</v>
      </c>
      <c r="O55" s="29" t="s">
        <v>46</v>
      </c>
      <c r="T55" s="110">
        <v>0</v>
      </c>
      <c r="U55" s="13" t="s">
        <v>99</v>
      </c>
    </row>
    <row r="56" spans="1:33" ht="9.75" customHeight="1">
      <c r="A56" s="81"/>
      <c r="B56" s="81"/>
      <c r="C56" s="80"/>
      <c r="D56" s="80"/>
      <c r="E56" s="41"/>
      <c r="F56" s="41"/>
      <c r="G56" s="41"/>
      <c r="H56" s="80"/>
      <c r="I56" s="80"/>
      <c r="J56" s="80"/>
      <c r="K56" s="80"/>
      <c r="L56" s="82"/>
      <c r="M56" s="80"/>
      <c r="N56" s="80"/>
      <c r="O56" s="80"/>
    </row>
    <row r="57" spans="1:33" ht="9.75" customHeight="1">
      <c r="A57" s="81"/>
      <c r="B57" s="81"/>
      <c r="C57" s="80"/>
      <c r="D57" s="80"/>
      <c r="E57" s="41"/>
      <c r="F57" s="41"/>
      <c r="G57" s="41"/>
      <c r="H57" s="83"/>
      <c r="I57" s="83"/>
      <c r="J57" s="83"/>
      <c r="K57" s="83"/>
      <c r="L57" s="82"/>
      <c r="M57" s="80"/>
      <c r="N57" s="80"/>
      <c r="O57" s="80"/>
      <c r="T57" s="39" t="s">
        <v>202</v>
      </c>
      <c r="U57" s="13" t="str">
        <f>"HRBの復元力特性："&amp;IF(T57="修正B-L","修正バイリニア",IF(T57="K-A","Kikuchi-Aikenモデル"))</f>
        <v>HRBの復元力特性：Kikuchi-Aikenモデル</v>
      </c>
    </row>
    <row r="58" spans="1:33" ht="9.75" customHeight="1">
      <c r="A58" s="81"/>
      <c r="B58" s="81"/>
      <c r="C58" s="80"/>
      <c r="D58" s="80"/>
      <c r="E58" s="41"/>
      <c r="F58" s="41"/>
      <c r="G58" s="41"/>
      <c r="H58" s="83"/>
      <c r="I58" s="83"/>
      <c r="J58" s="83"/>
      <c r="K58" s="83"/>
      <c r="L58" s="82"/>
      <c r="M58" s="80"/>
      <c r="N58" s="80"/>
      <c r="O58" s="80"/>
    </row>
    <row r="59" spans="1:33" ht="9.75" customHeight="1">
      <c r="A59" s="81"/>
      <c r="B59" s="81"/>
      <c r="C59" s="80"/>
      <c r="D59" s="80"/>
      <c r="E59" s="41"/>
      <c r="F59" s="41"/>
      <c r="G59" s="41"/>
      <c r="H59" s="83"/>
      <c r="I59" s="83"/>
      <c r="J59" s="83"/>
      <c r="K59" s="83"/>
      <c r="L59" s="82"/>
      <c r="M59" s="80"/>
      <c r="N59" s="80"/>
      <c r="O59" s="80"/>
    </row>
    <row r="60" spans="1:33" ht="9.75" customHeight="1">
      <c r="A60" s="85"/>
      <c r="B60" s="85"/>
      <c r="C60" s="84"/>
      <c r="D60" s="84"/>
      <c r="E60" s="45"/>
      <c r="F60" s="45"/>
      <c r="G60" s="45"/>
      <c r="H60" s="86"/>
      <c r="I60" s="86"/>
      <c r="J60" s="86"/>
      <c r="K60" s="86"/>
      <c r="L60" s="87"/>
      <c r="M60" s="84"/>
      <c r="N60" s="84"/>
      <c r="O60" s="84"/>
    </row>
    <row r="61" spans="1:33" ht="9.75" customHeight="1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</row>
    <row r="62" spans="1:33" ht="9.75" customHeight="1">
      <c r="A62" s="154" t="s">
        <v>92</v>
      </c>
      <c r="B62" s="155"/>
      <c r="C62" s="155"/>
      <c r="D62" s="156"/>
      <c r="E62" s="26" t="s">
        <v>93</v>
      </c>
      <c r="F62" s="26" t="s">
        <v>94</v>
      </c>
      <c r="G62" s="26" t="s">
        <v>95</v>
      </c>
      <c r="H62" s="154" t="s">
        <v>61</v>
      </c>
      <c r="I62" s="156"/>
      <c r="J62" s="154" t="s">
        <v>62</v>
      </c>
      <c r="K62" s="156"/>
    </row>
    <row r="63" spans="1:33" ht="9.75" customHeight="1">
      <c r="A63" s="27" t="s">
        <v>56</v>
      </c>
      <c r="B63" s="29" t="s">
        <v>80</v>
      </c>
      <c r="C63" s="29" t="s">
        <v>81</v>
      </c>
      <c r="D63" s="29" t="s">
        <v>82</v>
      </c>
      <c r="E63" s="29" t="s">
        <v>96</v>
      </c>
      <c r="F63" s="29" t="s">
        <v>96</v>
      </c>
      <c r="G63" s="29" t="s">
        <v>97</v>
      </c>
      <c r="H63" s="27" t="s">
        <v>93</v>
      </c>
      <c r="I63" s="27" t="s">
        <v>95</v>
      </c>
      <c r="J63" s="27" t="s">
        <v>93</v>
      </c>
      <c r="K63" s="27" t="s">
        <v>95</v>
      </c>
    </row>
    <row r="64" spans="1:33" ht="9.75" customHeight="1">
      <c r="A64" s="81"/>
      <c r="B64" s="81"/>
      <c r="C64" s="81"/>
      <c r="D64" s="80"/>
      <c r="E64" s="41"/>
      <c r="F64" s="41"/>
      <c r="G64" s="41"/>
      <c r="H64" s="80"/>
      <c r="I64" s="80"/>
      <c r="J64" s="80"/>
      <c r="K64" s="80"/>
    </row>
    <row r="65" spans="1:11" ht="9.75" customHeight="1">
      <c r="A65" s="81"/>
      <c r="B65" s="81"/>
      <c r="C65" s="81"/>
      <c r="D65" s="80"/>
      <c r="E65" s="41"/>
      <c r="F65" s="41"/>
      <c r="G65" s="41"/>
      <c r="H65" s="80"/>
      <c r="I65" s="80"/>
      <c r="J65" s="80"/>
      <c r="K65" s="80"/>
    </row>
    <row r="66" spans="1:11" ht="9.75" customHeight="1">
      <c r="A66" s="81"/>
      <c r="B66" s="81"/>
      <c r="C66" s="81"/>
      <c r="D66" s="80"/>
      <c r="E66" s="41"/>
      <c r="F66" s="41"/>
      <c r="G66" s="41"/>
      <c r="H66" s="80"/>
      <c r="I66" s="80"/>
      <c r="J66" s="80"/>
      <c r="K66" s="80"/>
    </row>
    <row r="67" spans="1:11" ht="9.75" customHeight="1">
      <c r="A67" s="81"/>
      <c r="B67" s="81"/>
      <c r="C67" s="81"/>
      <c r="D67" s="80"/>
      <c r="E67" s="41"/>
      <c r="F67" s="41"/>
      <c r="G67" s="41"/>
      <c r="H67" s="80"/>
      <c r="I67" s="80"/>
      <c r="J67" s="80"/>
      <c r="K67" s="80"/>
    </row>
    <row r="68" spans="1:11" ht="9.75" customHeight="1">
      <c r="A68" s="85"/>
      <c r="B68" s="85"/>
      <c r="C68" s="85"/>
      <c r="D68" s="84"/>
      <c r="E68" s="45"/>
      <c r="F68" s="45"/>
      <c r="G68" s="45"/>
      <c r="H68" s="84"/>
      <c r="I68" s="84"/>
      <c r="J68" s="84"/>
      <c r="K68" s="84"/>
    </row>
    <row r="69" spans="1:11" ht="9.75" customHeight="1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</row>
  </sheetData>
  <mergeCells count="25">
    <mergeCell ref="A62:D62"/>
    <mergeCell ref="H62:I62"/>
    <mergeCell ref="J62:K62"/>
    <mergeCell ref="Z1:AA1"/>
    <mergeCell ref="AB1:AC1"/>
    <mergeCell ref="F1:F2"/>
    <mergeCell ref="G1:G2"/>
    <mergeCell ref="Q1:Q2"/>
    <mergeCell ref="P1:P2"/>
    <mergeCell ref="AD1:AE1"/>
    <mergeCell ref="AF1:AG1"/>
    <mergeCell ref="A54:D54"/>
    <mergeCell ref="H54:K54"/>
    <mergeCell ref="L54:M54"/>
    <mergeCell ref="N54:O54"/>
    <mergeCell ref="H1:H2"/>
    <mergeCell ref="I1:I2"/>
    <mergeCell ref="J1:J2"/>
    <mergeCell ref="T1:U1"/>
    <mergeCell ref="V1:W1"/>
    <mergeCell ref="X1:Y1"/>
    <mergeCell ref="A1:A2"/>
    <mergeCell ref="C1:C2"/>
    <mergeCell ref="D1:D2"/>
    <mergeCell ref="E1:E2"/>
  </mergeCells>
  <phoneticPr fontId="1"/>
  <conditionalFormatting sqref="G37">
    <cfRule type="containsText" dxfId="8" priority="1" operator="containsText" text="しない">
      <formula>NOT(ISERROR(SEARCH("しない",G37)))</formula>
    </cfRule>
  </conditionalFormatting>
  <dataValidations count="4">
    <dataValidation type="list" allowBlank="1" showInputMessage="1" showErrorMessage="1" sqref="T57" xr:uid="{3069E2F4-585E-4C9F-A1D1-4BBEAD9FA0E0}">
      <formula1>"B-L,K-A"</formula1>
    </dataValidation>
    <dataValidation type="list" allowBlank="1" showInputMessage="1" showErrorMessage="1" sqref="B64:B68" xr:uid="{BEC739E9-CA6C-4946-9DB4-152035E259D2}">
      <formula1>"NSE"</formula1>
    </dataValidation>
    <dataValidation type="list" allowBlank="1" showInputMessage="1" showErrorMessage="1" sqref="B56:B60" xr:uid="{A50B366A-2C4D-4AAC-A8EB-CE3481E979AF}">
      <formula1>"KCT"</formula1>
    </dataValidation>
    <dataValidation type="list" allowBlank="1" showInputMessage="1" showErrorMessage="1" sqref="C3:C52" xr:uid="{DF26FBF2-9193-4907-8B66-C7509003C3F8}">
      <formula1>"BS,OILES,NSE,ADC"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72F30-6266-43F0-881A-8DB8DEE4F629}">
  <sheetPr codeName="Sheet17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08D57-6ABB-4BB0-85D7-271FCA2F0E3E}">
  <sheetPr codeName="Sheet16"/>
  <dimension ref="A1:AF52"/>
  <sheetViews>
    <sheetView workbookViewId="0">
      <pane ySplit="2" topLeftCell="A3" activePane="bottomLeft" state="frozen"/>
      <selection pane="bottomLeft" activeCell="A3" sqref="A3"/>
    </sheetView>
  </sheetViews>
  <sheetFormatPr defaultColWidth="8.7109375" defaultRowHeight="9.75" customHeight="1"/>
  <cols>
    <col min="1" max="3" width="8.7109375" style="13"/>
    <col min="4" max="20" width="8.7109375" style="13" customWidth="1"/>
    <col min="21" max="21" width="8.7109375" style="13"/>
    <col min="22" max="32" width="8.7109375" style="13" customWidth="1"/>
    <col min="33" max="16384" width="8.7109375" style="13"/>
  </cols>
  <sheetData>
    <row r="1" spans="1:32" ht="9.75" customHeight="1">
      <c r="D1" s="26" t="s">
        <v>158</v>
      </c>
      <c r="E1" s="26" t="s">
        <v>159</v>
      </c>
      <c r="F1" s="26" t="s">
        <v>160</v>
      </c>
      <c r="G1" s="26" t="s">
        <v>161</v>
      </c>
      <c r="H1" s="26" t="s">
        <v>162</v>
      </c>
      <c r="I1" s="26" t="s">
        <v>163</v>
      </c>
      <c r="J1" s="26" t="s">
        <v>164</v>
      </c>
      <c r="K1" s="26" t="s">
        <v>165</v>
      </c>
      <c r="L1" s="26" t="s">
        <v>166</v>
      </c>
      <c r="M1" s="26" t="s">
        <v>167</v>
      </c>
      <c r="N1" s="26" t="s">
        <v>168</v>
      </c>
      <c r="O1" s="26" t="s">
        <v>56</v>
      </c>
      <c r="P1" s="26" t="s">
        <v>169</v>
      </c>
      <c r="Q1" s="154" t="s">
        <v>170</v>
      </c>
      <c r="R1" s="156"/>
      <c r="S1" s="154" t="s">
        <v>171</v>
      </c>
      <c r="T1" s="156"/>
      <c r="V1" s="26" t="s">
        <v>163</v>
      </c>
      <c r="W1" s="26" t="s">
        <v>164</v>
      </c>
      <c r="X1" s="26" t="s">
        <v>172</v>
      </c>
      <c r="Y1" s="26" t="s">
        <v>167</v>
      </c>
      <c r="Z1" s="26" t="s">
        <v>173</v>
      </c>
      <c r="AA1" s="26" t="s">
        <v>56</v>
      </c>
      <c r="AB1" s="28" t="s">
        <v>169</v>
      </c>
      <c r="AC1" s="154" t="s">
        <v>170</v>
      </c>
      <c r="AD1" s="156"/>
      <c r="AE1" s="154" t="s">
        <v>171</v>
      </c>
      <c r="AF1" s="156"/>
    </row>
    <row r="2" spans="1:32" ht="9.75" customHeight="1">
      <c r="D2" s="29" t="s">
        <v>174</v>
      </c>
      <c r="E2" s="29"/>
      <c r="F2" s="29" t="s">
        <v>175</v>
      </c>
      <c r="G2" s="29" t="s">
        <v>175</v>
      </c>
      <c r="H2" s="29" t="s">
        <v>176</v>
      </c>
      <c r="I2" s="29" t="s">
        <v>83</v>
      </c>
      <c r="J2" s="29" t="s">
        <v>177</v>
      </c>
      <c r="K2" s="29" t="s">
        <v>178</v>
      </c>
      <c r="L2" s="29" t="s">
        <v>178</v>
      </c>
      <c r="M2" s="29" t="s">
        <v>179</v>
      </c>
      <c r="N2" s="29"/>
      <c r="O2" s="29"/>
      <c r="P2" s="29" t="s">
        <v>180</v>
      </c>
      <c r="Q2" s="25" t="s">
        <v>181</v>
      </c>
      <c r="R2" s="27" t="s">
        <v>167</v>
      </c>
      <c r="S2" s="27" t="s">
        <v>181</v>
      </c>
      <c r="T2" s="27" t="s">
        <v>167</v>
      </c>
      <c r="V2" s="29" t="s">
        <v>177</v>
      </c>
      <c r="W2" s="29" t="s">
        <v>177</v>
      </c>
      <c r="X2" s="29" t="s">
        <v>176</v>
      </c>
      <c r="Y2" s="29" t="s">
        <v>179</v>
      </c>
      <c r="Z2" s="29" t="s">
        <v>179</v>
      </c>
      <c r="AA2" s="29"/>
      <c r="AB2" s="29" t="s">
        <v>180</v>
      </c>
      <c r="AC2" s="27" t="s">
        <v>181</v>
      </c>
      <c r="AD2" s="27" t="s">
        <v>167</v>
      </c>
      <c r="AE2" s="27" t="s">
        <v>181</v>
      </c>
      <c r="AF2" s="27" t="s">
        <v>167</v>
      </c>
    </row>
    <row r="3" spans="1:32" ht="9.75" customHeight="1">
      <c r="A3" s="27" t="s">
        <v>182</v>
      </c>
      <c r="B3" s="13" t="s">
        <v>183</v>
      </c>
      <c r="D3" s="72"/>
      <c r="E3" s="72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</row>
    <row r="4" spans="1:32" ht="9.75" customHeight="1">
      <c r="D4" s="78"/>
      <c r="E4" s="7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</row>
    <row r="5" spans="1:32" ht="9.75" customHeight="1">
      <c r="A5" s="27" t="s">
        <v>182</v>
      </c>
      <c r="B5" s="13" t="s">
        <v>184</v>
      </c>
      <c r="D5" s="78"/>
      <c r="E5" s="7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ht="9.75" customHeight="1">
      <c r="D6" s="78"/>
      <c r="E6" s="7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V6" s="48"/>
      <c r="W6" s="48"/>
      <c r="X6" s="48"/>
      <c r="Y6" s="48"/>
      <c r="Z6" s="48"/>
      <c r="AA6" s="48"/>
      <c r="AB6" s="48"/>
      <c r="AC6" s="48"/>
      <c r="AD6" s="48"/>
      <c r="AE6" s="48"/>
      <c r="AF6" s="48"/>
    </row>
    <row r="7" spans="1:32" ht="9.75" customHeight="1">
      <c r="D7" s="78"/>
      <c r="E7" s="7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ht="9.75" customHeight="1">
      <c r="D8" s="78"/>
      <c r="E8" s="7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V8" s="48"/>
      <c r="W8" s="48"/>
      <c r="X8" s="48"/>
      <c r="Y8" s="48"/>
      <c r="Z8" s="48"/>
      <c r="AA8" s="48"/>
      <c r="AB8" s="48"/>
      <c r="AC8" s="48"/>
      <c r="AD8" s="48"/>
      <c r="AE8" s="48"/>
      <c r="AF8" s="48"/>
    </row>
    <row r="9" spans="1:32" ht="9.75" customHeight="1">
      <c r="D9" s="78"/>
      <c r="E9" s="7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ht="9.75" customHeight="1">
      <c r="D10" s="78"/>
      <c r="E10" s="7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V10" s="48"/>
      <c r="W10" s="48"/>
      <c r="X10" s="48"/>
      <c r="Y10" s="48"/>
      <c r="Z10" s="48"/>
      <c r="AA10" s="48"/>
      <c r="AB10" s="48"/>
      <c r="AC10" s="48"/>
      <c r="AD10" s="48"/>
      <c r="AE10" s="48"/>
      <c r="AF10" s="48"/>
    </row>
    <row r="11" spans="1:32" ht="9.75" customHeight="1">
      <c r="D11" s="78"/>
      <c r="E11" s="7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ht="9.75" customHeight="1">
      <c r="D12" s="78"/>
      <c r="E12" s="7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V12" s="48"/>
      <c r="W12" s="48"/>
      <c r="X12" s="48"/>
      <c r="Y12" s="48"/>
      <c r="Z12" s="48"/>
      <c r="AA12" s="48"/>
      <c r="AB12" s="48"/>
      <c r="AC12" s="48"/>
      <c r="AD12" s="48"/>
      <c r="AE12" s="48"/>
      <c r="AF12" s="48"/>
    </row>
    <row r="13" spans="1:32" ht="9.75" customHeight="1">
      <c r="D13" s="78"/>
      <c r="E13" s="7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ht="9.75" customHeight="1">
      <c r="D14" s="78"/>
      <c r="E14" s="7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</row>
    <row r="15" spans="1:32" ht="9.75" customHeight="1">
      <c r="D15" s="78"/>
      <c r="E15" s="7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ht="9.75" customHeight="1">
      <c r="D16" s="78"/>
      <c r="E16" s="7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</row>
    <row r="17" spans="4:32" ht="9.75" customHeight="1">
      <c r="D17" s="78"/>
      <c r="E17" s="7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4:32" ht="9.75" customHeight="1">
      <c r="D18" s="78"/>
      <c r="E18" s="7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</row>
    <row r="19" spans="4:32" ht="9.75" customHeight="1">
      <c r="D19" s="78"/>
      <c r="E19" s="7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4:32" ht="9.75" customHeight="1">
      <c r="D20" s="78"/>
      <c r="E20" s="7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V20" s="48"/>
      <c r="W20" s="48"/>
      <c r="X20" s="48"/>
      <c r="Y20" s="48"/>
      <c r="Z20" s="48"/>
      <c r="AA20" s="48"/>
      <c r="AB20" s="48"/>
      <c r="AC20" s="48"/>
      <c r="AD20" s="48"/>
      <c r="AE20" s="48"/>
      <c r="AF20" s="48"/>
    </row>
    <row r="21" spans="4:32" ht="9.75" customHeight="1">
      <c r="D21" s="78"/>
      <c r="E21" s="7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4:32" ht="9.75" customHeight="1">
      <c r="D22" s="78"/>
      <c r="E22" s="7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V22" s="48"/>
      <c r="W22" s="48"/>
      <c r="X22" s="48"/>
      <c r="Y22" s="48"/>
      <c r="Z22" s="48"/>
      <c r="AA22" s="48"/>
      <c r="AB22" s="48"/>
      <c r="AC22" s="48"/>
      <c r="AD22" s="48"/>
      <c r="AE22" s="48"/>
      <c r="AF22" s="48"/>
    </row>
    <row r="23" spans="4:32" ht="9.75" customHeight="1">
      <c r="D23" s="78"/>
      <c r="E23" s="7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4:32" ht="9.75" customHeight="1">
      <c r="D24" s="78"/>
      <c r="E24" s="7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V24" s="48"/>
      <c r="W24" s="48"/>
      <c r="X24" s="48"/>
      <c r="Y24" s="48"/>
      <c r="Z24" s="48"/>
      <c r="AA24" s="48"/>
      <c r="AB24" s="48"/>
      <c r="AC24" s="48"/>
      <c r="AD24" s="48"/>
      <c r="AE24" s="48"/>
      <c r="AF24" s="48"/>
    </row>
    <row r="25" spans="4:32" ht="9.75" customHeight="1">
      <c r="D25" s="78"/>
      <c r="E25" s="7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4:32" ht="9.75" customHeight="1">
      <c r="D26" s="78"/>
      <c r="E26" s="7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V26" s="48"/>
      <c r="W26" s="48"/>
      <c r="X26" s="48"/>
      <c r="Y26" s="48"/>
      <c r="Z26" s="48"/>
      <c r="AA26" s="48"/>
      <c r="AB26" s="48"/>
      <c r="AC26" s="48"/>
      <c r="AD26" s="48"/>
      <c r="AE26" s="48"/>
      <c r="AF26" s="48"/>
    </row>
    <row r="27" spans="4:32" ht="9.75" customHeight="1">
      <c r="D27" s="78"/>
      <c r="E27" s="7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4:32" ht="9.75" customHeight="1">
      <c r="D28" s="78"/>
      <c r="E28" s="7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V28" s="48"/>
      <c r="W28" s="48"/>
      <c r="X28" s="48"/>
      <c r="Y28" s="48"/>
      <c r="Z28" s="48"/>
      <c r="AA28" s="48"/>
      <c r="AB28" s="48"/>
      <c r="AC28" s="48"/>
      <c r="AD28" s="48"/>
      <c r="AE28" s="48"/>
      <c r="AF28" s="48"/>
    </row>
    <row r="29" spans="4:32" ht="9.75" customHeight="1">
      <c r="D29" s="78"/>
      <c r="E29" s="7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4:32" ht="9.75" customHeight="1">
      <c r="D30" s="78"/>
      <c r="E30" s="7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V30" s="48"/>
      <c r="W30" s="48"/>
      <c r="X30" s="48"/>
      <c r="Y30" s="48"/>
      <c r="Z30" s="48"/>
      <c r="AA30" s="48"/>
      <c r="AB30" s="48"/>
      <c r="AC30" s="48"/>
      <c r="AD30" s="48"/>
      <c r="AE30" s="48"/>
      <c r="AF30" s="48"/>
    </row>
    <row r="31" spans="4:32" ht="9.75" customHeight="1">
      <c r="D31" s="78"/>
      <c r="E31" s="7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4:32" ht="9.75" customHeight="1">
      <c r="D32" s="78"/>
      <c r="E32" s="7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V32" s="48"/>
      <c r="W32" s="48"/>
      <c r="X32" s="48"/>
      <c r="Y32" s="48"/>
      <c r="Z32" s="48"/>
      <c r="AA32" s="48"/>
      <c r="AB32" s="48"/>
      <c r="AC32" s="48"/>
      <c r="AD32" s="48"/>
      <c r="AE32" s="48"/>
      <c r="AF32" s="48"/>
    </row>
    <row r="33" spans="4:32" ht="9.75" customHeight="1">
      <c r="D33" s="78"/>
      <c r="E33" s="7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4:32" ht="9.75" customHeight="1">
      <c r="D34" s="78"/>
      <c r="E34" s="7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4:32" ht="9.75" customHeight="1">
      <c r="D35" s="78"/>
      <c r="E35" s="7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4:32" ht="9.75" customHeight="1">
      <c r="D36" s="78"/>
      <c r="E36" s="7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4:32" ht="9.75" customHeight="1">
      <c r="D37" s="78"/>
      <c r="E37" s="7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  <row r="38" spans="4:32" ht="9.75" customHeight="1">
      <c r="D38" s="78"/>
      <c r="E38" s="7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V38" s="48"/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4:32" ht="9.75" customHeight="1">
      <c r="D39" s="78"/>
      <c r="E39" s="7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</row>
    <row r="40" spans="4:32" ht="9.75" customHeight="1">
      <c r="D40" s="78"/>
      <c r="E40" s="7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</row>
    <row r="41" spans="4:32" ht="9.75" customHeight="1">
      <c r="D41" s="78"/>
      <c r="E41" s="7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</row>
    <row r="42" spans="4:32" ht="9.75" customHeight="1">
      <c r="D42" s="78"/>
      <c r="E42" s="7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</row>
    <row r="43" spans="4:32" ht="9.75" customHeight="1">
      <c r="D43" s="78"/>
      <c r="E43" s="7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</row>
    <row r="44" spans="4:32" ht="9.75" customHeight="1">
      <c r="D44" s="78"/>
      <c r="E44" s="7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</row>
    <row r="45" spans="4:32" ht="9.75" customHeight="1">
      <c r="D45" s="78"/>
      <c r="E45" s="7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</row>
    <row r="46" spans="4:32" ht="9.75" customHeight="1">
      <c r="D46" s="78"/>
      <c r="E46" s="7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V46" s="48"/>
      <c r="W46" s="48"/>
      <c r="X46" s="48"/>
      <c r="Y46" s="48"/>
      <c r="Z46" s="48"/>
      <c r="AA46" s="48"/>
      <c r="AB46" s="48"/>
      <c r="AC46" s="48"/>
      <c r="AD46" s="48"/>
      <c r="AE46" s="48"/>
      <c r="AF46" s="48"/>
    </row>
    <row r="47" spans="4:32" ht="9.75" customHeight="1">
      <c r="D47" s="78"/>
      <c r="E47" s="7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</row>
    <row r="48" spans="4:32" ht="9.75" customHeight="1">
      <c r="D48" s="78"/>
      <c r="E48" s="7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</row>
    <row r="49" spans="4:32" ht="9.75" customHeight="1">
      <c r="D49" s="78"/>
      <c r="E49" s="7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V49" s="48"/>
      <c r="W49" s="48"/>
      <c r="X49" s="48"/>
      <c r="Y49" s="48"/>
      <c r="Z49" s="48"/>
      <c r="AA49" s="48"/>
      <c r="AB49" s="48"/>
      <c r="AC49" s="48"/>
      <c r="AD49" s="48"/>
      <c r="AE49" s="48"/>
      <c r="AF49" s="48"/>
    </row>
    <row r="50" spans="4:32" ht="9.75" customHeight="1">
      <c r="D50" s="78"/>
      <c r="E50" s="7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</row>
    <row r="51" spans="4:32" ht="9.75" customHeight="1">
      <c r="D51" s="78"/>
      <c r="E51" s="7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</row>
    <row r="52" spans="4:32" ht="9.75" customHeight="1">
      <c r="D52" s="78"/>
      <c r="E52" s="7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</row>
  </sheetData>
  <mergeCells count="4">
    <mergeCell ref="Q1:R1"/>
    <mergeCell ref="S1:T1"/>
    <mergeCell ref="AC1:AD1"/>
    <mergeCell ref="AE1:AF1"/>
  </mergeCells>
  <phoneticPr fontId="1"/>
  <conditionalFormatting sqref="A3 A5">
    <cfRule type="expression" dxfId="7" priority="1">
      <formula>A3="使わない"</formula>
    </cfRule>
    <cfRule type="expression" dxfId="6" priority="2">
      <formula>A3="使う"</formula>
    </cfRule>
  </conditionalFormatting>
  <dataValidations count="1">
    <dataValidation type="list" allowBlank="1" showInputMessage="1" showErrorMessage="1" sqref="A3 A5" xr:uid="{D65C0B22-B2FC-42F1-98C7-9158803C95F8}">
      <formula1>"使わない,使う"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8E41F-A4D0-43EF-91D2-5F1B66ACA76C}">
  <sheetPr codeName="Sheet18"/>
  <dimension ref="A1:T3520"/>
  <sheetViews>
    <sheetView zoomScaleNormal="100" workbookViewId="0"/>
  </sheetViews>
  <sheetFormatPr defaultColWidth="8.7109375" defaultRowHeight="9.75" customHeight="1"/>
  <cols>
    <col min="1" max="1" width="100.7109375" style="13" customWidth="1"/>
    <col min="2" max="2" width="8.7109375" customWidth="1"/>
    <col min="3" max="3" width="8.7109375" style="13"/>
    <col min="4" max="4" width="8.7109375" style="13" customWidth="1"/>
    <col min="5" max="5" width="8.7109375" style="13"/>
    <col min="6" max="7" width="8.7109375" style="13" customWidth="1"/>
    <col min="8" max="8" width="35.7109375" style="13" customWidth="1"/>
    <col min="9" max="9" width="8.7109375" style="13" customWidth="1"/>
    <col min="10" max="16384" width="8.7109375" style="13"/>
  </cols>
  <sheetData>
    <row r="1" spans="1:20" ht="9.75" customHeight="1">
      <c r="A1" s="101"/>
      <c r="B1" s="12"/>
      <c r="R1" s="13" t="s">
        <v>128</v>
      </c>
      <c r="S1" s="13" t="s">
        <v>129</v>
      </c>
    </row>
    <row r="2" spans="1:20" ht="9.75" customHeight="1">
      <c r="A2" s="101"/>
      <c r="B2" s="27" t="s">
        <v>188</v>
      </c>
      <c r="C2" s="27" t="s">
        <v>130</v>
      </c>
      <c r="D2" s="27" t="s">
        <v>131</v>
      </c>
      <c r="E2" s="27" t="s">
        <v>132</v>
      </c>
      <c r="F2" s="27" t="s">
        <v>133</v>
      </c>
      <c r="G2" s="27" t="s">
        <v>134</v>
      </c>
      <c r="H2" s="27" t="s">
        <v>135</v>
      </c>
      <c r="I2" s="99" t="s">
        <v>136</v>
      </c>
      <c r="J2" s="99" t="s">
        <v>137</v>
      </c>
      <c r="K2" s="99" t="s">
        <v>138</v>
      </c>
      <c r="L2" s="13" t="s">
        <v>139</v>
      </c>
      <c r="R2" s="13" t="s">
        <v>140</v>
      </c>
      <c r="S2" s="13" t="s">
        <v>141</v>
      </c>
      <c r="T2" s="100" t="s">
        <v>128</v>
      </c>
    </row>
    <row r="3" spans="1:20" ht="9.75" customHeight="1">
      <c r="A3" s="101"/>
      <c r="B3" s="106">
        <v>1</v>
      </c>
      <c r="C3" s="115"/>
      <c r="D3" s="81"/>
      <c r="E3" s="81"/>
      <c r="F3" s="81"/>
      <c r="G3" s="81"/>
      <c r="H3" s="80"/>
      <c r="L3" s="13" t="str">
        <f t="shared" ref="L3:L22" si="0">IF(G3="L1&amp;L2",IF(ISTEXT(F3),"OK","NG"),"・")</f>
        <v>・</v>
      </c>
      <c r="M3" s="13">
        <v>0</v>
      </c>
      <c r="N3" t="s">
        <v>254</v>
      </c>
      <c r="R3">
        <v>508.6</v>
      </c>
      <c r="S3">
        <v>0</v>
      </c>
    </row>
    <row r="4" spans="1:20" ht="9.75" customHeight="1">
      <c r="A4" s="101"/>
      <c r="B4" s="107">
        <v>2</v>
      </c>
      <c r="C4" s="116"/>
      <c r="D4" s="81"/>
      <c r="E4" s="81"/>
      <c r="F4" s="81"/>
      <c r="G4" s="81"/>
      <c r="H4" s="80"/>
      <c r="L4" s="13" t="str">
        <f t="shared" si="0"/>
        <v>・</v>
      </c>
      <c r="M4" s="13">
        <f>COUNT(I3:I22)</f>
        <v>0</v>
      </c>
      <c r="R4">
        <v>502.8</v>
      </c>
      <c r="S4">
        <v>0</v>
      </c>
    </row>
    <row r="5" spans="1:20" ht="9.75" customHeight="1">
      <c r="A5" s="101"/>
      <c r="B5" s="107">
        <v>3</v>
      </c>
      <c r="C5" s="117"/>
      <c r="D5" s="81"/>
      <c r="E5" s="81"/>
      <c r="F5" s="81"/>
      <c r="G5" s="81"/>
      <c r="H5" s="80"/>
      <c r="L5" s="13" t="str">
        <f t="shared" si="0"/>
        <v>・</v>
      </c>
      <c r="R5">
        <v>350</v>
      </c>
      <c r="S5">
        <v>0</v>
      </c>
    </row>
    <row r="6" spans="1:20" ht="9.75" customHeight="1">
      <c r="A6" s="101"/>
      <c r="B6" s="107">
        <v>4</v>
      </c>
      <c r="C6" s="118"/>
      <c r="D6" s="81"/>
      <c r="E6" s="81"/>
      <c r="F6" s="81"/>
      <c r="G6" s="81"/>
      <c r="H6" s="80"/>
      <c r="L6" s="13" t="str">
        <f t="shared" si="0"/>
        <v>・</v>
      </c>
      <c r="R6"/>
      <c r="S6"/>
    </row>
    <row r="7" spans="1:20" ht="9.75" customHeight="1">
      <c r="A7" s="101"/>
      <c r="B7" s="107">
        <v>5</v>
      </c>
      <c r="C7" s="119"/>
      <c r="D7" s="81"/>
      <c r="E7" s="81"/>
      <c r="F7" s="81"/>
      <c r="G7" s="81"/>
      <c r="H7" s="80"/>
      <c r="L7" s="13" t="str">
        <f t="shared" si="0"/>
        <v>・</v>
      </c>
      <c r="R7"/>
      <c r="S7"/>
    </row>
    <row r="8" spans="1:20" ht="9.75" customHeight="1">
      <c r="A8" s="101"/>
      <c r="B8" s="107">
        <v>6</v>
      </c>
      <c r="C8" s="120"/>
      <c r="D8" s="81"/>
      <c r="E8" s="81"/>
      <c r="F8" s="81"/>
      <c r="G8" s="81"/>
      <c r="H8" s="80"/>
      <c r="L8" s="13" t="str">
        <f t="shared" si="0"/>
        <v>・</v>
      </c>
      <c r="R8"/>
      <c r="S8"/>
    </row>
    <row r="9" spans="1:20" ht="9.75" customHeight="1">
      <c r="A9" s="101"/>
      <c r="B9" s="107">
        <v>7</v>
      </c>
      <c r="C9" s="121"/>
      <c r="D9" s="81"/>
      <c r="E9" s="81"/>
      <c r="F9" s="81"/>
      <c r="G9" s="81"/>
      <c r="H9" s="80"/>
      <c r="L9" s="13" t="str">
        <f t="shared" si="0"/>
        <v>・</v>
      </c>
      <c r="R9"/>
      <c r="S9"/>
    </row>
    <row r="10" spans="1:20" ht="9.75" customHeight="1">
      <c r="A10" s="101"/>
      <c r="B10" s="107">
        <v>8</v>
      </c>
      <c r="C10" s="122"/>
      <c r="D10" s="81"/>
      <c r="E10" s="81"/>
      <c r="F10" s="81"/>
      <c r="G10" s="81"/>
      <c r="H10" s="80"/>
      <c r="L10" s="13" t="str">
        <f t="shared" si="0"/>
        <v>・</v>
      </c>
      <c r="R10"/>
      <c r="S10"/>
    </row>
    <row r="11" spans="1:20" ht="9.75" customHeight="1">
      <c r="A11" s="101"/>
      <c r="B11" s="107">
        <v>9</v>
      </c>
      <c r="C11" s="123"/>
      <c r="D11" s="81"/>
      <c r="E11" s="81"/>
      <c r="F11" s="81"/>
      <c r="G11" s="81"/>
      <c r="H11" s="80"/>
      <c r="L11" s="13" t="str">
        <f t="shared" si="0"/>
        <v>・</v>
      </c>
      <c r="R11"/>
      <c r="S11"/>
    </row>
    <row r="12" spans="1:20" ht="9.75" customHeight="1">
      <c r="A12" s="101"/>
      <c r="B12" s="107">
        <v>10</v>
      </c>
      <c r="C12" s="124"/>
      <c r="D12" s="81"/>
      <c r="E12" s="81"/>
      <c r="F12" s="81"/>
      <c r="G12" s="81"/>
      <c r="H12" s="80"/>
      <c r="L12" s="13" t="str">
        <f t="shared" si="0"/>
        <v>・</v>
      </c>
      <c r="R12"/>
      <c r="S12"/>
    </row>
    <row r="13" spans="1:20" ht="9.75" customHeight="1">
      <c r="A13" s="101"/>
      <c r="B13" s="107">
        <v>11</v>
      </c>
      <c r="C13" s="125"/>
      <c r="D13" s="81"/>
      <c r="E13" s="81"/>
      <c r="F13" s="81"/>
      <c r="G13" s="81"/>
      <c r="H13" s="80"/>
      <c r="L13" s="13" t="str">
        <f t="shared" si="0"/>
        <v>・</v>
      </c>
      <c r="R13"/>
      <c r="S13"/>
    </row>
    <row r="14" spans="1:20" ht="9.75" customHeight="1">
      <c r="A14" s="101"/>
      <c r="B14" s="107">
        <v>12</v>
      </c>
      <c r="C14" s="126"/>
      <c r="D14" s="81"/>
      <c r="E14" s="81"/>
      <c r="F14" s="81"/>
      <c r="G14" s="81"/>
      <c r="H14" s="80"/>
      <c r="L14" s="13" t="str">
        <f t="shared" si="0"/>
        <v>・</v>
      </c>
      <c r="R14"/>
      <c r="S14"/>
    </row>
    <row r="15" spans="1:20" ht="9.75" customHeight="1">
      <c r="A15" s="101"/>
      <c r="B15" s="107">
        <v>13</v>
      </c>
      <c r="C15" s="127"/>
      <c r="D15" s="81"/>
      <c r="E15" s="81"/>
      <c r="F15" s="81"/>
      <c r="G15" s="81"/>
      <c r="H15" s="80"/>
      <c r="L15" s="13" t="str">
        <f t="shared" si="0"/>
        <v>・</v>
      </c>
      <c r="R15"/>
      <c r="S15"/>
    </row>
    <row r="16" spans="1:20" ht="9.75" customHeight="1">
      <c r="A16" s="101"/>
      <c r="B16" s="107">
        <v>14</v>
      </c>
      <c r="C16" s="128"/>
      <c r="D16" s="81"/>
      <c r="E16" s="81"/>
      <c r="F16" s="81"/>
      <c r="G16" s="81"/>
      <c r="H16" s="80"/>
      <c r="L16" s="13" t="str">
        <f t="shared" si="0"/>
        <v>・</v>
      </c>
      <c r="R16"/>
      <c r="S16"/>
    </row>
    <row r="17" spans="1:19" ht="9.75" customHeight="1">
      <c r="A17" s="101"/>
      <c r="B17" s="107">
        <v>15</v>
      </c>
      <c r="C17" s="129"/>
      <c r="D17" s="81"/>
      <c r="E17" s="81"/>
      <c r="F17" s="81"/>
      <c r="G17" s="81"/>
      <c r="H17" s="80"/>
      <c r="L17" s="13" t="str">
        <f t="shared" si="0"/>
        <v>・</v>
      </c>
      <c r="R17"/>
      <c r="S17"/>
    </row>
    <row r="18" spans="1:19" ht="9.75" customHeight="1">
      <c r="A18" s="101"/>
      <c r="B18" s="107">
        <v>16</v>
      </c>
      <c r="C18" s="130"/>
      <c r="D18" s="81"/>
      <c r="E18" s="81"/>
      <c r="F18" s="81"/>
      <c r="G18" s="81"/>
      <c r="H18" s="80"/>
      <c r="L18" s="13" t="str">
        <f t="shared" si="0"/>
        <v>・</v>
      </c>
      <c r="R18"/>
      <c r="S18"/>
    </row>
    <row r="19" spans="1:19" ht="9.75" customHeight="1">
      <c r="A19" s="101"/>
      <c r="B19" s="107">
        <v>17</v>
      </c>
      <c r="C19" s="131"/>
      <c r="D19" s="81"/>
      <c r="E19" s="81"/>
      <c r="F19" s="81"/>
      <c r="G19" s="81"/>
      <c r="H19" s="80"/>
      <c r="L19" s="13" t="str">
        <f t="shared" si="0"/>
        <v>・</v>
      </c>
      <c r="R19"/>
      <c r="S19"/>
    </row>
    <row r="20" spans="1:19" ht="9.75" customHeight="1">
      <c r="A20" s="101"/>
      <c r="B20" s="107">
        <v>18</v>
      </c>
      <c r="C20" s="132"/>
      <c r="D20" s="81"/>
      <c r="E20" s="81"/>
      <c r="F20" s="81"/>
      <c r="G20" s="81"/>
      <c r="H20" s="80"/>
      <c r="L20" s="13" t="str">
        <f t="shared" si="0"/>
        <v>・</v>
      </c>
      <c r="R20"/>
      <c r="S20"/>
    </row>
    <row r="21" spans="1:19" ht="9.75" customHeight="1">
      <c r="A21" s="101"/>
      <c r="B21" s="107">
        <v>19</v>
      </c>
      <c r="C21" s="133"/>
      <c r="D21" s="81"/>
      <c r="E21" s="81"/>
      <c r="F21" s="81"/>
      <c r="G21" s="81"/>
      <c r="H21" s="80"/>
      <c r="L21" s="13" t="str">
        <f t="shared" si="0"/>
        <v>・</v>
      </c>
      <c r="R21"/>
      <c r="S21"/>
    </row>
    <row r="22" spans="1:19" ht="9.75" customHeight="1">
      <c r="A22" s="101"/>
      <c r="B22" s="108">
        <v>20</v>
      </c>
      <c r="C22" s="134"/>
      <c r="D22" s="81"/>
      <c r="E22" s="81"/>
      <c r="F22" s="81"/>
      <c r="G22" s="81"/>
      <c r="H22" s="80"/>
      <c r="L22" s="13" t="str">
        <f t="shared" si="0"/>
        <v>・</v>
      </c>
      <c r="R22"/>
      <c r="S22"/>
    </row>
    <row r="23" spans="1:19" ht="9.75" customHeight="1">
      <c r="A23" s="101"/>
      <c r="B23" s="13"/>
      <c r="C23" s="94"/>
      <c r="D23" s="46"/>
      <c r="E23" s="102"/>
      <c r="F23" s="102"/>
      <c r="G23" s="102"/>
      <c r="H23" s="102"/>
      <c r="I23" s="12"/>
    </row>
    <row r="24" spans="1:19" ht="9.75" customHeight="1">
      <c r="A24" s="101"/>
      <c r="B24" s="99" t="s">
        <v>187</v>
      </c>
      <c r="C24" s="27" t="str">
        <f>IF(ISTEXT(N3),N3,
IF(ISNUMBER(I3),IF(AND(
COUNT(I3:I22)=COUNT(D3:D22),
COUNT(I3:I22)=COUNT(E3:E22),
COUNT(I3:I22)=COUNTA(G3:G22),
COUNT(I3:I22)=COUNTA(H3:H22)),
IF(COUNTIF(G3:G22,"L1&amp;L2")&gt;0,IF(COUNTIF(L3:L22,"NG")=0,IF(Overview!P5="JPN","読込済","loaded"),"･"),IF(Overview!P5="JPN","読込済","loaded")),"･"),"･"))</f>
        <v>要読込</v>
      </c>
      <c r="E24" s="12"/>
      <c r="F24" s="12"/>
      <c r="G24" s="12"/>
      <c r="H24" s="12"/>
    </row>
    <row r="25" spans="1:19" ht="9.75" customHeight="1">
      <c r="A25" s="101"/>
      <c r="B25" s="99"/>
      <c r="C25" s="102"/>
      <c r="E25" s="12"/>
      <c r="F25" s="12"/>
      <c r="G25" s="12"/>
    </row>
    <row r="26" spans="1:19" ht="9.75" customHeight="1">
      <c r="A26" s="101"/>
      <c r="B26" s="101" t="s">
        <v>191</v>
      </c>
      <c r="E26" s="12"/>
      <c r="F26" s="12"/>
      <c r="G26" s="12"/>
    </row>
    <row r="27" spans="1:19" ht="9.75" customHeight="1">
      <c r="A27" s="101"/>
      <c r="B27" s="103" t="s">
        <v>185</v>
      </c>
      <c r="C27" s="109">
        <v>0.05</v>
      </c>
      <c r="E27" s="12"/>
      <c r="F27" s="12"/>
      <c r="G27" s="12"/>
      <c r="H27" s="12"/>
    </row>
    <row r="28" spans="1:19" ht="9.75" customHeight="1">
      <c r="A28" s="101"/>
      <c r="B28" s="103" t="s">
        <v>186</v>
      </c>
      <c r="C28" s="110">
        <v>1</v>
      </c>
      <c r="E28" s="12"/>
      <c r="F28" s="12"/>
      <c r="G28" s="12"/>
      <c r="H28" s="12"/>
    </row>
    <row r="29" spans="1:19" ht="9.75" customHeight="1">
      <c r="A29" s="101"/>
      <c r="E29" s="12"/>
      <c r="F29" s="12"/>
      <c r="G29" s="12"/>
      <c r="H29" s="12"/>
    </row>
    <row r="30" spans="1:19" ht="9.75" customHeight="1">
      <c r="A30" s="101"/>
      <c r="E30" s="12"/>
      <c r="F30" s="12"/>
      <c r="G30" s="12"/>
      <c r="H30" s="12"/>
    </row>
    <row r="31" spans="1:19" ht="9.75" customHeight="1">
      <c r="A31" s="101"/>
      <c r="E31" s="12"/>
      <c r="F31" s="12"/>
      <c r="G31" s="12"/>
      <c r="H31" s="12"/>
    </row>
    <row r="32" spans="1:19" ht="9.75" customHeight="1">
      <c r="A32" s="101"/>
      <c r="E32" s="12"/>
      <c r="F32" s="12"/>
      <c r="G32" s="12"/>
      <c r="H32" s="12"/>
    </row>
    <row r="33" spans="1:8" ht="9.75" customHeight="1">
      <c r="A33" s="101"/>
      <c r="E33" s="12"/>
      <c r="F33" s="12"/>
      <c r="G33" s="12"/>
      <c r="H33" s="12"/>
    </row>
    <row r="34" spans="1:8" ht="9.75" customHeight="1">
      <c r="A34" s="101"/>
      <c r="E34" s="12"/>
      <c r="F34" s="12"/>
      <c r="G34" s="12"/>
      <c r="H34" s="12"/>
    </row>
    <row r="35" spans="1:8" ht="9.75" customHeight="1">
      <c r="A35" s="101"/>
      <c r="E35" s="12"/>
      <c r="F35" s="12"/>
      <c r="G35" s="12"/>
      <c r="H35" s="12"/>
    </row>
    <row r="36" spans="1:8" ht="9.75" customHeight="1">
      <c r="A36" s="101"/>
      <c r="E36" s="12"/>
      <c r="F36" s="12"/>
      <c r="G36" s="12"/>
      <c r="H36" s="12"/>
    </row>
    <row r="37" spans="1:8" ht="9.75" customHeight="1">
      <c r="A37" s="101"/>
      <c r="E37" s="12"/>
      <c r="F37" s="12"/>
      <c r="G37" s="12"/>
      <c r="H37" s="12"/>
    </row>
    <row r="38" spans="1:8" ht="9.75" customHeight="1">
      <c r="A38" s="101"/>
      <c r="E38" s="12"/>
      <c r="F38" s="12"/>
      <c r="G38" s="12"/>
      <c r="H38" s="12"/>
    </row>
    <row r="39" spans="1:8" ht="9.75" customHeight="1">
      <c r="A39" s="101"/>
      <c r="E39" s="12"/>
      <c r="F39" s="12"/>
      <c r="G39" s="12"/>
      <c r="H39" s="12"/>
    </row>
    <row r="40" spans="1:8" ht="9.75" customHeight="1">
      <c r="A40" s="101"/>
      <c r="E40" s="12"/>
      <c r="F40" s="12"/>
      <c r="G40" s="12"/>
      <c r="H40" s="12"/>
    </row>
    <row r="41" spans="1:8" ht="9.75" customHeight="1">
      <c r="A41" s="101"/>
      <c r="E41" s="12"/>
      <c r="F41" s="12"/>
      <c r="G41" s="12"/>
      <c r="H41" s="12"/>
    </row>
    <row r="42" spans="1:8" ht="9.75" customHeight="1">
      <c r="A42" s="101"/>
      <c r="E42" s="12"/>
      <c r="F42" s="12"/>
      <c r="G42" s="12"/>
      <c r="H42" s="12"/>
    </row>
    <row r="43" spans="1:8" ht="9.75" customHeight="1">
      <c r="A43" s="101"/>
      <c r="E43" s="12"/>
      <c r="F43" s="12"/>
      <c r="G43" s="12"/>
      <c r="H43" s="12"/>
    </row>
    <row r="44" spans="1:8" ht="9.75" customHeight="1">
      <c r="A44" s="101"/>
      <c r="E44" s="12"/>
      <c r="F44" s="12"/>
      <c r="G44" s="12"/>
      <c r="H44" s="12"/>
    </row>
    <row r="45" spans="1:8" ht="9.75" customHeight="1">
      <c r="A45" s="101"/>
      <c r="E45" s="12"/>
      <c r="F45" s="12"/>
      <c r="G45" s="12"/>
      <c r="H45" s="12"/>
    </row>
    <row r="46" spans="1:8" ht="9.75" customHeight="1">
      <c r="A46" s="101"/>
      <c r="E46" s="12"/>
      <c r="F46" s="12"/>
      <c r="G46" s="12"/>
      <c r="H46" s="12"/>
    </row>
    <row r="47" spans="1:8" ht="9.75" customHeight="1">
      <c r="A47" s="101"/>
      <c r="E47" s="12"/>
      <c r="F47" s="12"/>
      <c r="G47" s="12"/>
      <c r="H47" s="12"/>
    </row>
    <row r="48" spans="1:8" ht="9.75" customHeight="1">
      <c r="A48" s="101"/>
      <c r="E48" s="12"/>
      <c r="F48" s="12"/>
      <c r="G48" s="12"/>
      <c r="H48" s="12"/>
    </row>
    <row r="49" spans="1:8" ht="9.75" customHeight="1">
      <c r="A49" s="101"/>
      <c r="E49" s="12"/>
      <c r="F49" s="12"/>
      <c r="G49" s="12"/>
      <c r="H49" s="12"/>
    </row>
    <row r="50" spans="1:8" ht="9.75" customHeight="1">
      <c r="A50" s="101"/>
      <c r="E50" s="12"/>
      <c r="F50" s="12"/>
      <c r="G50" s="12"/>
      <c r="H50" s="12"/>
    </row>
    <row r="51" spans="1:8" ht="9.75" customHeight="1">
      <c r="A51" s="101"/>
      <c r="E51" s="12"/>
      <c r="F51" s="12"/>
      <c r="G51" s="12"/>
      <c r="H51" s="12"/>
    </row>
    <row r="52" spans="1:8" ht="9.75" customHeight="1">
      <c r="A52" s="101"/>
      <c r="E52" s="12"/>
      <c r="F52" s="12"/>
      <c r="G52" s="12"/>
      <c r="H52" s="12"/>
    </row>
    <row r="53" spans="1:8" ht="9.75" customHeight="1">
      <c r="A53" s="101"/>
      <c r="E53" s="12"/>
      <c r="F53" s="12"/>
      <c r="G53" s="12"/>
      <c r="H53" s="12"/>
    </row>
    <row r="54" spans="1:8" ht="9.75" customHeight="1">
      <c r="A54" s="101"/>
      <c r="E54" s="12"/>
      <c r="F54" s="12"/>
      <c r="G54" s="12"/>
      <c r="H54" s="12"/>
    </row>
    <row r="55" spans="1:8" ht="9.75" customHeight="1">
      <c r="A55" s="101"/>
    </row>
    <row r="56" spans="1:8" ht="9.75" customHeight="1">
      <c r="A56" s="101"/>
    </row>
    <row r="57" spans="1:8" ht="9.75" customHeight="1">
      <c r="A57" s="101"/>
    </row>
    <row r="58" spans="1:8" ht="9.75" customHeight="1">
      <c r="A58" s="101"/>
    </row>
    <row r="59" spans="1:8" ht="9.75" customHeight="1">
      <c r="A59" s="101"/>
    </row>
    <row r="60" spans="1:8" ht="9.75" customHeight="1">
      <c r="A60" s="101"/>
    </row>
    <row r="61" spans="1:8" ht="9.75" customHeight="1">
      <c r="A61" s="101"/>
    </row>
    <row r="62" spans="1:8" ht="9.75" customHeight="1">
      <c r="A62" s="101"/>
    </row>
    <row r="63" spans="1:8" ht="9.75" customHeight="1">
      <c r="A63" s="101"/>
    </row>
    <row r="64" spans="1:8" ht="9.75" customHeight="1">
      <c r="A64" s="101"/>
    </row>
    <row r="65" spans="1:1" ht="9.75" customHeight="1">
      <c r="A65" s="101"/>
    </row>
    <row r="66" spans="1:1" ht="9.75" customHeight="1">
      <c r="A66" s="101"/>
    </row>
    <row r="67" spans="1:1" ht="9.75" customHeight="1">
      <c r="A67" s="101"/>
    </row>
    <row r="68" spans="1:1" ht="9.75" customHeight="1">
      <c r="A68" s="101"/>
    </row>
    <row r="69" spans="1:1" ht="9.75" customHeight="1">
      <c r="A69" s="101"/>
    </row>
    <row r="70" spans="1:1" ht="9.75" customHeight="1">
      <c r="A70" s="101"/>
    </row>
    <row r="71" spans="1:1" ht="9.75" customHeight="1">
      <c r="A71" s="101"/>
    </row>
    <row r="72" spans="1:1" ht="9.75" customHeight="1">
      <c r="A72" s="101"/>
    </row>
    <row r="73" spans="1:1" ht="9.75" customHeight="1">
      <c r="A73" s="101"/>
    </row>
    <row r="74" spans="1:1" ht="9.75" customHeight="1">
      <c r="A74" s="101"/>
    </row>
    <row r="75" spans="1:1" ht="9.75" customHeight="1">
      <c r="A75" s="101"/>
    </row>
    <row r="76" spans="1:1" ht="9.75" customHeight="1">
      <c r="A76" s="101"/>
    </row>
    <row r="77" spans="1:1" ht="9.75" customHeight="1">
      <c r="A77" s="101"/>
    </row>
    <row r="78" spans="1:1" ht="9.75" customHeight="1">
      <c r="A78" s="101"/>
    </row>
    <row r="79" spans="1:1" ht="9.75" customHeight="1">
      <c r="A79" s="101"/>
    </row>
    <row r="80" spans="1:1" ht="9.75" customHeight="1">
      <c r="A80" s="101"/>
    </row>
    <row r="81" spans="1:1" ht="9.75" customHeight="1">
      <c r="A81" s="101"/>
    </row>
    <row r="82" spans="1:1" ht="9.75" customHeight="1">
      <c r="A82" s="101"/>
    </row>
    <row r="83" spans="1:1" ht="9.75" customHeight="1">
      <c r="A83" s="101"/>
    </row>
    <row r="84" spans="1:1" ht="9.75" customHeight="1">
      <c r="A84" s="101"/>
    </row>
    <row r="85" spans="1:1" ht="9.75" customHeight="1">
      <c r="A85" s="101"/>
    </row>
    <row r="86" spans="1:1" ht="9.75" customHeight="1">
      <c r="A86" s="101"/>
    </row>
    <row r="87" spans="1:1" ht="9.75" customHeight="1">
      <c r="A87" s="101"/>
    </row>
    <row r="88" spans="1:1" ht="9.75" customHeight="1">
      <c r="A88" s="101"/>
    </row>
    <row r="89" spans="1:1" ht="9.75" customHeight="1">
      <c r="A89" s="101"/>
    </row>
    <row r="90" spans="1:1" ht="9.75" customHeight="1">
      <c r="A90" s="101"/>
    </row>
    <row r="91" spans="1:1" ht="9.75" customHeight="1">
      <c r="A91" s="101"/>
    </row>
    <row r="92" spans="1:1" ht="9.75" customHeight="1">
      <c r="A92" s="101"/>
    </row>
    <row r="93" spans="1:1" ht="9.75" customHeight="1">
      <c r="A93" s="101"/>
    </row>
    <row r="94" spans="1:1" ht="9.75" customHeight="1">
      <c r="A94" s="101"/>
    </row>
    <row r="95" spans="1:1" ht="9.75" customHeight="1">
      <c r="A95" s="101"/>
    </row>
    <row r="96" spans="1:1" ht="9.75" customHeight="1">
      <c r="A96" s="101"/>
    </row>
    <row r="97" spans="1:1" ht="9.75" customHeight="1">
      <c r="A97" s="101"/>
    </row>
    <row r="98" spans="1:1" ht="9.75" customHeight="1">
      <c r="A98" s="101"/>
    </row>
    <row r="99" spans="1:1" ht="9.75" customHeight="1">
      <c r="A99" s="101"/>
    </row>
    <row r="100" spans="1:1" ht="9.75" customHeight="1">
      <c r="A100" s="101"/>
    </row>
    <row r="101" spans="1:1" ht="9.75" customHeight="1">
      <c r="A101" s="101"/>
    </row>
    <row r="102" spans="1:1" ht="9.75" customHeight="1">
      <c r="A102" s="101"/>
    </row>
    <row r="103" spans="1:1" ht="9.75" customHeight="1">
      <c r="A103" s="101"/>
    </row>
    <row r="104" spans="1:1" ht="9.75" customHeight="1">
      <c r="A104" s="101"/>
    </row>
    <row r="105" spans="1:1" ht="9.75" customHeight="1">
      <c r="A105" s="101"/>
    </row>
    <row r="106" spans="1:1" ht="9.75" customHeight="1">
      <c r="A106" s="101"/>
    </row>
    <row r="107" spans="1:1" ht="9.75" customHeight="1">
      <c r="A107" s="101"/>
    </row>
    <row r="108" spans="1:1" ht="9.75" customHeight="1">
      <c r="A108" s="101"/>
    </row>
    <row r="109" spans="1:1" ht="9.75" customHeight="1">
      <c r="A109" s="101"/>
    </row>
    <row r="110" spans="1:1" ht="9.75" customHeight="1">
      <c r="A110" s="101"/>
    </row>
    <row r="111" spans="1:1" ht="9.75" customHeight="1">
      <c r="A111" s="101"/>
    </row>
    <row r="112" spans="1:1" ht="9.75" customHeight="1">
      <c r="A112" s="101"/>
    </row>
    <row r="113" spans="1:1" ht="9.75" customHeight="1">
      <c r="A113" s="101"/>
    </row>
    <row r="114" spans="1:1" ht="9.75" customHeight="1">
      <c r="A114" s="101"/>
    </row>
    <row r="115" spans="1:1" ht="9.75" customHeight="1">
      <c r="A115" s="101"/>
    </row>
    <row r="116" spans="1:1" ht="9.75" customHeight="1">
      <c r="A116" s="101"/>
    </row>
    <row r="117" spans="1:1" ht="9.75" customHeight="1">
      <c r="A117" s="101"/>
    </row>
    <row r="118" spans="1:1" ht="9.75" customHeight="1">
      <c r="A118" s="101"/>
    </row>
    <row r="119" spans="1:1" ht="9.75" customHeight="1">
      <c r="A119" s="101"/>
    </row>
    <row r="120" spans="1:1" ht="9.75" customHeight="1">
      <c r="A120" s="101"/>
    </row>
    <row r="121" spans="1:1" ht="9.75" customHeight="1">
      <c r="A121" s="101"/>
    </row>
    <row r="122" spans="1:1" ht="9.75" customHeight="1">
      <c r="A122" s="101"/>
    </row>
    <row r="123" spans="1:1" ht="9.75" customHeight="1">
      <c r="A123" s="101"/>
    </row>
    <row r="124" spans="1:1" ht="9.75" customHeight="1">
      <c r="A124" s="101"/>
    </row>
    <row r="125" spans="1:1" ht="9.75" customHeight="1">
      <c r="A125" s="101"/>
    </row>
    <row r="126" spans="1:1" ht="9.75" customHeight="1">
      <c r="A126" s="101"/>
    </row>
    <row r="127" spans="1:1" ht="9.75" customHeight="1">
      <c r="A127" s="101"/>
    </row>
    <row r="128" spans="1:1" ht="9.75" customHeight="1">
      <c r="A128" s="101"/>
    </row>
    <row r="129" spans="1:1" ht="9.75" customHeight="1">
      <c r="A129" s="101"/>
    </row>
    <row r="130" spans="1:1" ht="9.75" customHeight="1">
      <c r="A130" s="101"/>
    </row>
    <row r="131" spans="1:1" ht="9.75" customHeight="1">
      <c r="A131" s="101"/>
    </row>
    <row r="132" spans="1:1" ht="9.75" customHeight="1">
      <c r="A132" s="101"/>
    </row>
    <row r="133" spans="1:1" ht="9.75" customHeight="1">
      <c r="A133" s="101"/>
    </row>
    <row r="134" spans="1:1" ht="9.75" customHeight="1">
      <c r="A134" s="101"/>
    </row>
    <row r="135" spans="1:1" ht="9.75" customHeight="1">
      <c r="A135" s="101"/>
    </row>
    <row r="136" spans="1:1" ht="9.75" customHeight="1">
      <c r="A136" s="101"/>
    </row>
    <row r="137" spans="1:1" ht="9.75" customHeight="1">
      <c r="A137" s="101"/>
    </row>
    <row r="138" spans="1:1" ht="9.75" customHeight="1">
      <c r="A138" s="101"/>
    </row>
    <row r="139" spans="1:1" ht="9.75" customHeight="1">
      <c r="A139" s="101"/>
    </row>
    <row r="140" spans="1:1" ht="9.75" customHeight="1">
      <c r="A140" s="101"/>
    </row>
    <row r="141" spans="1:1" ht="9.75" customHeight="1">
      <c r="A141" s="101"/>
    </row>
    <row r="142" spans="1:1" ht="9.75" customHeight="1">
      <c r="A142" s="101"/>
    </row>
    <row r="143" spans="1:1" ht="9.75" customHeight="1">
      <c r="A143" s="101"/>
    </row>
    <row r="144" spans="1:1" ht="9.75" customHeight="1">
      <c r="A144" s="101"/>
    </row>
    <row r="145" spans="1:1" ht="9.75" customHeight="1">
      <c r="A145" s="101"/>
    </row>
    <row r="146" spans="1:1" ht="9.75" customHeight="1">
      <c r="A146" s="101"/>
    </row>
    <row r="147" spans="1:1" ht="9.75" customHeight="1">
      <c r="A147" s="101"/>
    </row>
    <row r="148" spans="1:1" ht="9.75" customHeight="1">
      <c r="A148" s="101"/>
    </row>
    <row r="149" spans="1:1" ht="9.75" customHeight="1">
      <c r="A149" s="101"/>
    </row>
    <row r="150" spans="1:1" ht="9.75" customHeight="1">
      <c r="A150" s="101"/>
    </row>
    <row r="151" spans="1:1" ht="9.75" customHeight="1">
      <c r="A151" s="101"/>
    </row>
    <row r="152" spans="1:1" ht="9.75" customHeight="1">
      <c r="A152" s="101"/>
    </row>
    <row r="153" spans="1:1" ht="9.75" customHeight="1">
      <c r="A153" s="101"/>
    </row>
    <row r="154" spans="1:1" ht="9.75" customHeight="1">
      <c r="A154" s="101"/>
    </row>
    <row r="155" spans="1:1" ht="9.75" customHeight="1">
      <c r="A155" s="101"/>
    </row>
    <row r="156" spans="1:1" ht="9.75" customHeight="1">
      <c r="A156" s="101"/>
    </row>
    <row r="157" spans="1:1" ht="9.75" customHeight="1">
      <c r="A157" s="101"/>
    </row>
    <row r="158" spans="1:1" ht="9.75" customHeight="1">
      <c r="A158" s="101"/>
    </row>
    <row r="159" spans="1:1" ht="9.75" customHeight="1">
      <c r="A159" s="101"/>
    </row>
    <row r="160" spans="1:1" ht="9.75" customHeight="1">
      <c r="A160" s="101"/>
    </row>
    <row r="161" spans="1:1" ht="9.75" customHeight="1">
      <c r="A161" s="101"/>
    </row>
    <row r="162" spans="1:1" ht="9.75" customHeight="1">
      <c r="A162" s="101"/>
    </row>
    <row r="163" spans="1:1" ht="9.75" customHeight="1">
      <c r="A163" s="101"/>
    </row>
    <row r="164" spans="1:1" ht="9.75" customHeight="1">
      <c r="A164" s="101"/>
    </row>
    <row r="165" spans="1:1" ht="9.75" customHeight="1">
      <c r="A165" s="101"/>
    </row>
    <row r="166" spans="1:1" ht="9.75" customHeight="1">
      <c r="A166" s="101"/>
    </row>
    <row r="167" spans="1:1" ht="9.75" customHeight="1">
      <c r="A167" s="101"/>
    </row>
    <row r="168" spans="1:1" ht="9.75" customHeight="1">
      <c r="A168" s="101"/>
    </row>
    <row r="169" spans="1:1" ht="9.75" customHeight="1">
      <c r="A169" s="101"/>
    </row>
    <row r="170" spans="1:1" ht="9.75" customHeight="1">
      <c r="A170" s="101"/>
    </row>
    <row r="171" spans="1:1" ht="9.75" customHeight="1">
      <c r="A171" s="101"/>
    </row>
    <row r="172" spans="1:1" ht="9.75" customHeight="1">
      <c r="A172" s="101"/>
    </row>
    <row r="173" spans="1:1" ht="9.75" customHeight="1">
      <c r="A173" s="101"/>
    </row>
    <row r="174" spans="1:1" ht="9.75" customHeight="1">
      <c r="A174" s="101"/>
    </row>
    <row r="175" spans="1:1" ht="9.75" customHeight="1">
      <c r="A175" s="101"/>
    </row>
    <row r="176" spans="1:1" ht="9.75" customHeight="1">
      <c r="A176" s="101"/>
    </row>
    <row r="177" spans="1:1" ht="9.75" customHeight="1">
      <c r="A177" s="101"/>
    </row>
    <row r="178" spans="1:1" ht="9.75" customHeight="1">
      <c r="A178" s="101"/>
    </row>
    <row r="179" spans="1:1" ht="9.75" customHeight="1">
      <c r="A179" s="101"/>
    </row>
    <row r="180" spans="1:1" ht="9.75" customHeight="1">
      <c r="A180" s="101"/>
    </row>
    <row r="181" spans="1:1" ht="9.75" customHeight="1">
      <c r="A181" s="101"/>
    </row>
    <row r="182" spans="1:1" ht="9.75" customHeight="1">
      <c r="A182" s="101"/>
    </row>
    <row r="183" spans="1:1" ht="9.75" customHeight="1">
      <c r="A183" s="101"/>
    </row>
    <row r="184" spans="1:1" ht="9.75" customHeight="1">
      <c r="A184" s="101"/>
    </row>
    <row r="185" spans="1:1" ht="9.75" customHeight="1">
      <c r="A185" s="101"/>
    </row>
    <row r="186" spans="1:1" ht="9.75" customHeight="1">
      <c r="A186" s="101"/>
    </row>
    <row r="187" spans="1:1" ht="9.75" customHeight="1">
      <c r="A187" s="101"/>
    </row>
    <row r="188" spans="1:1" ht="9.75" customHeight="1">
      <c r="A188" s="101"/>
    </row>
    <row r="189" spans="1:1" ht="9.75" customHeight="1">
      <c r="A189" s="101"/>
    </row>
    <row r="190" spans="1:1" ht="9.75" customHeight="1">
      <c r="A190" s="101"/>
    </row>
    <row r="191" spans="1:1" ht="9.75" customHeight="1">
      <c r="A191" s="101"/>
    </row>
    <row r="192" spans="1:1" ht="9.75" customHeight="1">
      <c r="A192" s="101"/>
    </row>
    <row r="193" spans="1:1" ht="9.75" customHeight="1">
      <c r="A193" s="101"/>
    </row>
    <row r="194" spans="1:1" ht="9.75" customHeight="1">
      <c r="A194" s="101"/>
    </row>
    <row r="195" spans="1:1" ht="9.75" customHeight="1">
      <c r="A195" s="101"/>
    </row>
    <row r="196" spans="1:1" ht="9.75" customHeight="1">
      <c r="A196" s="101"/>
    </row>
    <row r="197" spans="1:1" ht="9.75" customHeight="1">
      <c r="A197" s="101"/>
    </row>
    <row r="198" spans="1:1" ht="9.75" customHeight="1">
      <c r="A198" s="101"/>
    </row>
    <row r="199" spans="1:1" ht="9.75" customHeight="1">
      <c r="A199" s="101"/>
    </row>
    <row r="200" spans="1:1" ht="9.75" customHeight="1">
      <c r="A200" s="101"/>
    </row>
    <row r="201" spans="1:1" ht="9.75" customHeight="1">
      <c r="A201" s="101"/>
    </row>
    <row r="202" spans="1:1" ht="9.75" customHeight="1">
      <c r="A202" s="101"/>
    </row>
    <row r="203" spans="1:1" ht="9.75" customHeight="1">
      <c r="A203" s="101"/>
    </row>
    <row r="204" spans="1:1" ht="9.75" customHeight="1">
      <c r="A204" s="101"/>
    </row>
    <row r="205" spans="1:1" ht="9.75" customHeight="1">
      <c r="A205" s="101"/>
    </row>
    <row r="206" spans="1:1" ht="9.75" customHeight="1">
      <c r="A206" s="101"/>
    </row>
    <row r="207" spans="1:1" ht="9.75" customHeight="1">
      <c r="A207" s="101"/>
    </row>
    <row r="208" spans="1:1" ht="9.75" customHeight="1">
      <c r="A208" s="101"/>
    </row>
    <row r="209" spans="1:1" ht="9.75" customHeight="1">
      <c r="A209" s="101"/>
    </row>
    <row r="210" spans="1:1" ht="9.75" customHeight="1">
      <c r="A210" s="101"/>
    </row>
    <row r="211" spans="1:1" ht="9.75" customHeight="1">
      <c r="A211" s="101"/>
    </row>
    <row r="212" spans="1:1" ht="9.75" customHeight="1">
      <c r="A212" s="101"/>
    </row>
    <row r="213" spans="1:1" ht="9.75" customHeight="1">
      <c r="A213" s="101"/>
    </row>
    <row r="214" spans="1:1" ht="9.75" customHeight="1">
      <c r="A214" s="101"/>
    </row>
    <row r="215" spans="1:1" ht="9.75" customHeight="1">
      <c r="A215" s="101"/>
    </row>
    <row r="216" spans="1:1" ht="9.75" customHeight="1">
      <c r="A216" s="101"/>
    </row>
    <row r="217" spans="1:1" ht="9.75" customHeight="1">
      <c r="A217" s="101"/>
    </row>
    <row r="218" spans="1:1" ht="9.75" customHeight="1">
      <c r="A218" s="101"/>
    </row>
    <row r="219" spans="1:1" ht="9.75" customHeight="1">
      <c r="A219" s="101"/>
    </row>
    <row r="220" spans="1:1" ht="9.75" customHeight="1">
      <c r="A220" s="101"/>
    </row>
    <row r="221" spans="1:1" ht="9.75" customHeight="1">
      <c r="A221" s="101"/>
    </row>
    <row r="222" spans="1:1" ht="9.75" customHeight="1">
      <c r="A222" s="101"/>
    </row>
    <row r="223" spans="1:1" ht="9.75" customHeight="1">
      <c r="A223" s="101"/>
    </row>
    <row r="224" spans="1:1" ht="9.75" customHeight="1">
      <c r="A224" s="101"/>
    </row>
    <row r="225" spans="1:1" ht="9.75" customHeight="1">
      <c r="A225" s="101"/>
    </row>
    <row r="226" spans="1:1" ht="9.75" customHeight="1">
      <c r="A226" s="101"/>
    </row>
    <row r="227" spans="1:1" ht="9.75" customHeight="1">
      <c r="A227" s="101"/>
    </row>
    <row r="228" spans="1:1" ht="9.75" customHeight="1">
      <c r="A228" s="101"/>
    </row>
    <row r="229" spans="1:1" ht="9.75" customHeight="1">
      <c r="A229" s="101"/>
    </row>
    <row r="230" spans="1:1" ht="9.75" customHeight="1">
      <c r="A230" s="101"/>
    </row>
    <row r="231" spans="1:1" ht="9.75" customHeight="1">
      <c r="A231" s="101"/>
    </row>
    <row r="232" spans="1:1" ht="9.75" customHeight="1">
      <c r="A232" s="101"/>
    </row>
    <row r="233" spans="1:1" ht="9.75" customHeight="1">
      <c r="A233" s="101"/>
    </row>
    <row r="234" spans="1:1" ht="9.75" customHeight="1">
      <c r="A234" s="101"/>
    </row>
    <row r="235" spans="1:1" ht="9.75" customHeight="1">
      <c r="A235" s="101"/>
    </row>
    <row r="236" spans="1:1" ht="9.75" customHeight="1">
      <c r="A236" s="101"/>
    </row>
    <row r="237" spans="1:1" ht="9.75" customHeight="1">
      <c r="A237" s="101"/>
    </row>
    <row r="238" spans="1:1" ht="9.75" customHeight="1">
      <c r="A238" s="101"/>
    </row>
    <row r="239" spans="1:1" ht="9.75" customHeight="1">
      <c r="A239" s="101"/>
    </row>
    <row r="240" spans="1:1" ht="9.75" customHeight="1">
      <c r="A240" s="101"/>
    </row>
    <row r="241" spans="1:1" ht="9.75" customHeight="1">
      <c r="A241" s="101"/>
    </row>
    <row r="242" spans="1:1" ht="9.75" customHeight="1">
      <c r="A242" s="101"/>
    </row>
    <row r="243" spans="1:1" ht="9.75" customHeight="1">
      <c r="A243" s="101"/>
    </row>
    <row r="244" spans="1:1" ht="9.75" customHeight="1">
      <c r="A244" s="101"/>
    </row>
    <row r="245" spans="1:1" ht="9.75" customHeight="1">
      <c r="A245" s="101"/>
    </row>
    <row r="246" spans="1:1" ht="9.75" customHeight="1">
      <c r="A246" s="101"/>
    </row>
    <row r="247" spans="1:1" ht="9.75" customHeight="1">
      <c r="A247" s="101"/>
    </row>
    <row r="248" spans="1:1" ht="9.75" customHeight="1">
      <c r="A248" s="101"/>
    </row>
    <row r="249" spans="1:1" ht="9.75" customHeight="1">
      <c r="A249" s="101"/>
    </row>
    <row r="250" spans="1:1" ht="9.75" customHeight="1">
      <c r="A250" s="101"/>
    </row>
    <row r="251" spans="1:1" ht="9.75" customHeight="1">
      <c r="A251" s="101"/>
    </row>
    <row r="252" spans="1:1" ht="9.75" customHeight="1">
      <c r="A252" s="101"/>
    </row>
    <row r="253" spans="1:1" ht="9.75" customHeight="1">
      <c r="A253" s="101"/>
    </row>
    <row r="254" spans="1:1" ht="9.75" customHeight="1">
      <c r="A254" s="101"/>
    </row>
    <row r="255" spans="1:1" ht="9.75" customHeight="1">
      <c r="A255" s="101"/>
    </row>
    <row r="256" spans="1:1" ht="9.75" customHeight="1">
      <c r="A256" s="101"/>
    </row>
    <row r="257" spans="1:1" ht="9.75" customHeight="1">
      <c r="A257" s="101"/>
    </row>
    <row r="258" spans="1:1" ht="9.75" customHeight="1">
      <c r="A258" s="101"/>
    </row>
    <row r="259" spans="1:1" ht="9.75" customHeight="1">
      <c r="A259" s="101"/>
    </row>
    <row r="260" spans="1:1" ht="9.75" customHeight="1">
      <c r="A260" s="101"/>
    </row>
    <row r="261" spans="1:1" ht="9.75" customHeight="1">
      <c r="A261" s="101"/>
    </row>
    <row r="262" spans="1:1" ht="9.75" customHeight="1">
      <c r="A262" s="101"/>
    </row>
    <row r="263" spans="1:1" ht="9.75" customHeight="1">
      <c r="A263" s="101"/>
    </row>
    <row r="264" spans="1:1" ht="9.75" customHeight="1">
      <c r="A264" s="101"/>
    </row>
    <row r="265" spans="1:1" ht="9.75" customHeight="1">
      <c r="A265" s="101"/>
    </row>
    <row r="266" spans="1:1" ht="9.75" customHeight="1">
      <c r="A266" s="101"/>
    </row>
    <row r="267" spans="1:1" ht="9.75" customHeight="1">
      <c r="A267" s="101"/>
    </row>
    <row r="268" spans="1:1" ht="9.75" customHeight="1">
      <c r="A268" s="101"/>
    </row>
    <row r="269" spans="1:1" ht="9.75" customHeight="1">
      <c r="A269" s="101"/>
    </row>
    <row r="270" spans="1:1" ht="9.75" customHeight="1">
      <c r="A270" s="101"/>
    </row>
    <row r="271" spans="1:1" ht="9.75" customHeight="1">
      <c r="A271" s="101"/>
    </row>
    <row r="272" spans="1:1" ht="9.75" customHeight="1">
      <c r="A272" s="101"/>
    </row>
    <row r="273" spans="1:1" ht="9.75" customHeight="1">
      <c r="A273" s="101"/>
    </row>
    <row r="274" spans="1:1" ht="9.75" customHeight="1">
      <c r="A274" s="101"/>
    </row>
    <row r="275" spans="1:1" ht="9.75" customHeight="1">
      <c r="A275" s="101"/>
    </row>
    <row r="276" spans="1:1" ht="9.75" customHeight="1">
      <c r="A276" s="101"/>
    </row>
    <row r="277" spans="1:1" ht="9.75" customHeight="1">
      <c r="A277" s="101"/>
    </row>
    <row r="278" spans="1:1" ht="9.75" customHeight="1">
      <c r="A278" s="101"/>
    </row>
    <row r="279" spans="1:1" ht="9.75" customHeight="1">
      <c r="A279" s="101"/>
    </row>
    <row r="280" spans="1:1" ht="9.75" customHeight="1">
      <c r="A280" s="101"/>
    </row>
    <row r="281" spans="1:1" ht="9.75" customHeight="1">
      <c r="A281" s="101"/>
    </row>
    <row r="282" spans="1:1" ht="9.75" customHeight="1">
      <c r="A282" s="101"/>
    </row>
    <row r="283" spans="1:1" ht="9.75" customHeight="1">
      <c r="A283" s="101"/>
    </row>
    <row r="284" spans="1:1" ht="9.75" customHeight="1">
      <c r="A284" s="101"/>
    </row>
    <row r="285" spans="1:1" ht="9.75" customHeight="1">
      <c r="A285" s="101"/>
    </row>
    <row r="286" spans="1:1" ht="9.75" customHeight="1">
      <c r="A286" s="101"/>
    </row>
    <row r="287" spans="1:1" ht="9.75" customHeight="1">
      <c r="A287" s="101"/>
    </row>
    <row r="288" spans="1:1" ht="9.75" customHeight="1">
      <c r="A288" s="101"/>
    </row>
    <row r="289" spans="1:1" ht="9.75" customHeight="1">
      <c r="A289" s="101"/>
    </row>
    <row r="290" spans="1:1" ht="9.75" customHeight="1">
      <c r="A290" s="101"/>
    </row>
    <row r="291" spans="1:1" ht="9.75" customHeight="1">
      <c r="A291" s="101"/>
    </row>
    <row r="292" spans="1:1" ht="9.75" customHeight="1">
      <c r="A292" s="101"/>
    </row>
    <row r="293" spans="1:1" ht="9.75" customHeight="1">
      <c r="A293" s="101"/>
    </row>
    <row r="294" spans="1:1" ht="9.75" customHeight="1">
      <c r="A294" s="101"/>
    </row>
    <row r="295" spans="1:1" ht="9.75" customHeight="1">
      <c r="A295" s="101"/>
    </row>
    <row r="296" spans="1:1" ht="9.75" customHeight="1">
      <c r="A296" s="101"/>
    </row>
    <row r="297" spans="1:1" ht="9.75" customHeight="1">
      <c r="A297" s="101"/>
    </row>
    <row r="298" spans="1:1" ht="9.75" customHeight="1">
      <c r="A298" s="101"/>
    </row>
    <row r="299" spans="1:1" ht="9.75" customHeight="1">
      <c r="A299" s="101"/>
    </row>
    <row r="300" spans="1:1" ht="9.75" customHeight="1">
      <c r="A300" s="101"/>
    </row>
    <row r="301" spans="1:1" ht="9.75" customHeight="1">
      <c r="A301" s="101"/>
    </row>
    <row r="302" spans="1:1" ht="9.75" customHeight="1">
      <c r="A302" s="101"/>
    </row>
    <row r="303" spans="1:1" ht="9.75" customHeight="1">
      <c r="A303" s="101"/>
    </row>
    <row r="304" spans="1:1" ht="9.75" customHeight="1">
      <c r="A304" s="101"/>
    </row>
    <row r="305" spans="1:1" ht="9.75" customHeight="1">
      <c r="A305" s="101"/>
    </row>
    <row r="306" spans="1:1" ht="9.75" customHeight="1">
      <c r="A306" s="101"/>
    </row>
    <row r="307" spans="1:1" ht="9.75" customHeight="1">
      <c r="A307" s="101"/>
    </row>
    <row r="308" spans="1:1" ht="9.75" customHeight="1">
      <c r="A308" s="101"/>
    </row>
    <row r="309" spans="1:1" ht="9.75" customHeight="1">
      <c r="A309" s="101"/>
    </row>
    <row r="310" spans="1:1" ht="9.75" customHeight="1">
      <c r="A310" s="101"/>
    </row>
    <row r="311" spans="1:1" ht="9.75" customHeight="1">
      <c r="A311" s="101"/>
    </row>
    <row r="312" spans="1:1" ht="9.75" customHeight="1">
      <c r="A312" s="101"/>
    </row>
    <row r="313" spans="1:1" ht="9.75" customHeight="1">
      <c r="A313" s="101"/>
    </row>
    <row r="314" spans="1:1" ht="9.75" customHeight="1">
      <c r="A314" s="101"/>
    </row>
    <row r="315" spans="1:1" ht="9.75" customHeight="1">
      <c r="A315" s="101"/>
    </row>
    <row r="316" spans="1:1" ht="9.75" customHeight="1">
      <c r="A316" s="101"/>
    </row>
    <row r="317" spans="1:1" ht="9.75" customHeight="1">
      <c r="A317" s="101"/>
    </row>
    <row r="318" spans="1:1" ht="9.75" customHeight="1">
      <c r="A318" s="101"/>
    </row>
    <row r="319" spans="1:1" ht="9.75" customHeight="1">
      <c r="A319" s="101"/>
    </row>
    <row r="320" spans="1:1" ht="9.75" customHeight="1">
      <c r="A320" s="101"/>
    </row>
    <row r="321" spans="1:1" ht="9.75" customHeight="1">
      <c r="A321" s="101"/>
    </row>
    <row r="322" spans="1:1" ht="9.75" customHeight="1">
      <c r="A322" s="101"/>
    </row>
    <row r="323" spans="1:1" ht="9.75" customHeight="1">
      <c r="A323" s="101"/>
    </row>
    <row r="324" spans="1:1" ht="9.75" customHeight="1">
      <c r="A324" s="101"/>
    </row>
    <row r="325" spans="1:1" ht="9.75" customHeight="1">
      <c r="A325" s="101"/>
    </row>
    <row r="326" spans="1:1" ht="9.75" customHeight="1">
      <c r="A326" s="101"/>
    </row>
    <row r="327" spans="1:1" ht="9.75" customHeight="1">
      <c r="A327" s="101"/>
    </row>
    <row r="328" spans="1:1" ht="9.75" customHeight="1">
      <c r="A328" s="101"/>
    </row>
    <row r="329" spans="1:1" ht="9.75" customHeight="1">
      <c r="A329" s="101"/>
    </row>
    <row r="330" spans="1:1" ht="9.75" customHeight="1">
      <c r="A330" s="101"/>
    </row>
    <row r="331" spans="1:1" ht="9.75" customHeight="1">
      <c r="A331" s="101"/>
    </row>
    <row r="332" spans="1:1" ht="9.75" customHeight="1">
      <c r="A332" s="101"/>
    </row>
    <row r="333" spans="1:1" ht="9.75" customHeight="1">
      <c r="A333" s="101"/>
    </row>
    <row r="334" spans="1:1" ht="9.75" customHeight="1">
      <c r="A334" s="101"/>
    </row>
    <row r="335" spans="1:1" ht="9.75" customHeight="1">
      <c r="A335" s="101"/>
    </row>
    <row r="336" spans="1:1" ht="9.75" customHeight="1">
      <c r="A336" s="101"/>
    </row>
    <row r="337" spans="1:1" ht="9.75" customHeight="1">
      <c r="A337" s="101"/>
    </row>
    <row r="338" spans="1:1" ht="9.75" customHeight="1">
      <c r="A338" s="101"/>
    </row>
    <row r="339" spans="1:1" ht="9.75" customHeight="1">
      <c r="A339" s="101"/>
    </row>
    <row r="340" spans="1:1" ht="9.75" customHeight="1">
      <c r="A340" s="101"/>
    </row>
    <row r="341" spans="1:1" ht="9.75" customHeight="1">
      <c r="A341" s="101"/>
    </row>
    <row r="342" spans="1:1" ht="9.75" customHeight="1">
      <c r="A342" s="101"/>
    </row>
    <row r="343" spans="1:1" ht="9.75" customHeight="1">
      <c r="A343" s="101"/>
    </row>
    <row r="344" spans="1:1" ht="9.75" customHeight="1">
      <c r="A344" s="101"/>
    </row>
    <row r="345" spans="1:1" ht="9.75" customHeight="1">
      <c r="A345" s="101"/>
    </row>
    <row r="346" spans="1:1" ht="9.75" customHeight="1">
      <c r="A346" s="101"/>
    </row>
    <row r="347" spans="1:1" ht="9.75" customHeight="1">
      <c r="A347" s="101"/>
    </row>
    <row r="348" spans="1:1" ht="9.75" customHeight="1">
      <c r="A348" s="101"/>
    </row>
    <row r="349" spans="1:1" ht="9.75" customHeight="1">
      <c r="A349" s="101"/>
    </row>
    <row r="350" spans="1:1" ht="9.75" customHeight="1">
      <c r="A350" s="101"/>
    </row>
    <row r="351" spans="1:1" ht="9.75" customHeight="1">
      <c r="A351" s="101"/>
    </row>
    <row r="352" spans="1:1" ht="9.75" customHeight="1">
      <c r="A352" s="101"/>
    </row>
    <row r="353" spans="1:1" ht="9.75" customHeight="1">
      <c r="A353" s="101"/>
    </row>
    <row r="354" spans="1:1" ht="9.75" customHeight="1">
      <c r="A354" s="101"/>
    </row>
    <row r="355" spans="1:1" ht="9.75" customHeight="1">
      <c r="A355" s="101"/>
    </row>
    <row r="356" spans="1:1" ht="9.75" customHeight="1">
      <c r="A356" s="101"/>
    </row>
    <row r="357" spans="1:1" ht="9.75" customHeight="1">
      <c r="A357" s="101"/>
    </row>
    <row r="358" spans="1:1" ht="9.75" customHeight="1">
      <c r="A358" s="101"/>
    </row>
    <row r="359" spans="1:1" ht="9.75" customHeight="1">
      <c r="A359" s="101"/>
    </row>
    <row r="360" spans="1:1" ht="9.75" customHeight="1">
      <c r="A360" s="101"/>
    </row>
    <row r="361" spans="1:1" ht="9.75" customHeight="1">
      <c r="A361" s="101"/>
    </row>
    <row r="362" spans="1:1" ht="9.75" customHeight="1">
      <c r="A362" s="101"/>
    </row>
    <row r="363" spans="1:1" ht="9.75" customHeight="1">
      <c r="A363" s="101"/>
    </row>
    <row r="364" spans="1:1" ht="9.75" customHeight="1">
      <c r="A364" s="101"/>
    </row>
    <row r="365" spans="1:1" ht="9.75" customHeight="1">
      <c r="A365" s="101"/>
    </row>
    <row r="366" spans="1:1" ht="9.75" customHeight="1">
      <c r="A366" s="101"/>
    </row>
    <row r="367" spans="1:1" ht="9.75" customHeight="1">
      <c r="A367" s="101"/>
    </row>
    <row r="368" spans="1:1" ht="9.75" customHeight="1">
      <c r="A368" s="101"/>
    </row>
    <row r="369" spans="1:1" ht="9.75" customHeight="1">
      <c r="A369" s="101"/>
    </row>
    <row r="370" spans="1:1" ht="9.75" customHeight="1">
      <c r="A370" s="101"/>
    </row>
    <row r="371" spans="1:1" ht="9.75" customHeight="1">
      <c r="A371" s="101"/>
    </row>
    <row r="372" spans="1:1" ht="9.75" customHeight="1">
      <c r="A372" s="101"/>
    </row>
    <row r="373" spans="1:1" ht="9.75" customHeight="1">
      <c r="A373" s="101"/>
    </row>
    <row r="374" spans="1:1" ht="9.75" customHeight="1">
      <c r="A374" s="101"/>
    </row>
    <row r="375" spans="1:1" ht="9.75" customHeight="1">
      <c r="A375" s="101"/>
    </row>
    <row r="376" spans="1:1" ht="9.75" customHeight="1">
      <c r="A376" s="101"/>
    </row>
    <row r="377" spans="1:1" ht="9.75" customHeight="1">
      <c r="A377" s="101"/>
    </row>
    <row r="378" spans="1:1" ht="9.75" customHeight="1">
      <c r="A378" s="101"/>
    </row>
    <row r="379" spans="1:1" ht="9.75" customHeight="1">
      <c r="A379" s="101"/>
    </row>
    <row r="380" spans="1:1" ht="9.75" customHeight="1">
      <c r="A380" s="101"/>
    </row>
    <row r="381" spans="1:1" ht="9.75" customHeight="1">
      <c r="A381" s="101"/>
    </row>
    <row r="382" spans="1:1" ht="9.75" customHeight="1">
      <c r="A382" s="101"/>
    </row>
    <row r="383" spans="1:1" ht="9.75" customHeight="1">
      <c r="A383" s="101"/>
    </row>
    <row r="384" spans="1:1" ht="9.75" customHeight="1">
      <c r="A384" s="101"/>
    </row>
    <row r="385" spans="1:1" ht="9.75" customHeight="1">
      <c r="A385" s="101"/>
    </row>
    <row r="386" spans="1:1" ht="9.75" customHeight="1">
      <c r="A386" s="101"/>
    </row>
    <row r="387" spans="1:1" ht="9.75" customHeight="1">
      <c r="A387" s="101"/>
    </row>
    <row r="388" spans="1:1" ht="9.75" customHeight="1">
      <c r="A388" s="101"/>
    </row>
    <row r="389" spans="1:1" ht="9.75" customHeight="1">
      <c r="A389" s="101"/>
    </row>
    <row r="390" spans="1:1" ht="9.75" customHeight="1">
      <c r="A390" s="101"/>
    </row>
    <row r="391" spans="1:1" ht="9.75" customHeight="1">
      <c r="A391" s="101"/>
    </row>
    <row r="392" spans="1:1" ht="9.75" customHeight="1">
      <c r="A392" s="101"/>
    </row>
    <row r="393" spans="1:1" ht="9.75" customHeight="1">
      <c r="A393" s="101"/>
    </row>
    <row r="394" spans="1:1" ht="9.75" customHeight="1">
      <c r="A394" s="101"/>
    </row>
    <row r="395" spans="1:1" ht="9.75" customHeight="1">
      <c r="A395" s="101"/>
    </row>
    <row r="396" spans="1:1" ht="9.75" customHeight="1">
      <c r="A396" s="101"/>
    </row>
    <row r="397" spans="1:1" ht="9.75" customHeight="1">
      <c r="A397" s="101"/>
    </row>
    <row r="398" spans="1:1" ht="9.75" customHeight="1">
      <c r="A398" s="101"/>
    </row>
    <row r="399" spans="1:1" ht="9.75" customHeight="1">
      <c r="A399" s="101"/>
    </row>
    <row r="400" spans="1:1" ht="9.75" customHeight="1">
      <c r="A400" s="101"/>
    </row>
    <row r="401" spans="1:1" ht="9.75" customHeight="1">
      <c r="A401" s="101"/>
    </row>
    <row r="402" spans="1:1" ht="9.75" customHeight="1">
      <c r="A402" s="101"/>
    </row>
    <row r="403" spans="1:1" ht="9.75" customHeight="1">
      <c r="A403" s="101"/>
    </row>
    <row r="404" spans="1:1" ht="9.75" customHeight="1">
      <c r="A404" s="101"/>
    </row>
    <row r="405" spans="1:1" ht="9.75" customHeight="1">
      <c r="A405" s="101"/>
    </row>
    <row r="406" spans="1:1" ht="9.75" customHeight="1">
      <c r="A406" s="101"/>
    </row>
    <row r="407" spans="1:1" ht="9.75" customHeight="1">
      <c r="A407" s="101"/>
    </row>
    <row r="408" spans="1:1" ht="9.75" customHeight="1">
      <c r="A408" s="101"/>
    </row>
    <row r="409" spans="1:1" ht="9.75" customHeight="1">
      <c r="A409" s="101"/>
    </row>
    <row r="410" spans="1:1" ht="9.75" customHeight="1">
      <c r="A410" s="101"/>
    </row>
    <row r="411" spans="1:1" ht="9.75" customHeight="1">
      <c r="A411" s="101"/>
    </row>
    <row r="412" spans="1:1" ht="9.75" customHeight="1">
      <c r="A412" s="101"/>
    </row>
    <row r="413" spans="1:1" ht="9.75" customHeight="1">
      <c r="A413" s="101"/>
    </row>
    <row r="414" spans="1:1" ht="9.75" customHeight="1">
      <c r="A414" s="101"/>
    </row>
    <row r="415" spans="1:1" ht="9.75" customHeight="1">
      <c r="A415" s="101"/>
    </row>
    <row r="416" spans="1:1" ht="9.75" customHeight="1">
      <c r="A416" s="101"/>
    </row>
    <row r="417" spans="1:1" ht="9.75" customHeight="1">
      <c r="A417" s="101"/>
    </row>
    <row r="418" spans="1:1" ht="9.75" customHeight="1">
      <c r="A418" s="101"/>
    </row>
    <row r="419" spans="1:1" ht="9.75" customHeight="1">
      <c r="A419" s="101"/>
    </row>
    <row r="420" spans="1:1" ht="9.75" customHeight="1">
      <c r="A420" s="101"/>
    </row>
    <row r="421" spans="1:1" ht="9.75" customHeight="1">
      <c r="A421" s="101"/>
    </row>
    <row r="422" spans="1:1" ht="9.75" customHeight="1">
      <c r="A422" s="101"/>
    </row>
    <row r="423" spans="1:1" ht="9.75" customHeight="1">
      <c r="A423" s="101"/>
    </row>
    <row r="424" spans="1:1" ht="9.75" customHeight="1">
      <c r="A424" s="101"/>
    </row>
    <row r="425" spans="1:1" ht="9.75" customHeight="1">
      <c r="A425" s="101"/>
    </row>
    <row r="426" spans="1:1" ht="9.75" customHeight="1">
      <c r="A426" s="101"/>
    </row>
    <row r="427" spans="1:1" ht="9.75" customHeight="1">
      <c r="A427" s="101"/>
    </row>
    <row r="428" spans="1:1" ht="9.75" customHeight="1">
      <c r="A428" s="101"/>
    </row>
    <row r="429" spans="1:1" ht="9.75" customHeight="1">
      <c r="A429" s="101"/>
    </row>
    <row r="430" spans="1:1" ht="9.75" customHeight="1">
      <c r="A430" s="101"/>
    </row>
    <row r="431" spans="1:1" ht="9.75" customHeight="1">
      <c r="A431" s="101"/>
    </row>
    <row r="432" spans="1:1" ht="9.75" customHeight="1">
      <c r="A432" s="101"/>
    </row>
    <row r="433" spans="1:1" ht="9.75" customHeight="1">
      <c r="A433" s="101"/>
    </row>
    <row r="434" spans="1:1" ht="9.75" customHeight="1">
      <c r="A434" s="101"/>
    </row>
    <row r="435" spans="1:1" ht="9.75" customHeight="1">
      <c r="A435" s="101"/>
    </row>
    <row r="436" spans="1:1" ht="9.75" customHeight="1">
      <c r="A436" s="101"/>
    </row>
    <row r="437" spans="1:1" ht="9.75" customHeight="1">
      <c r="A437" s="101"/>
    </row>
    <row r="438" spans="1:1" ht="9.75" customHeight="1">
      <c r="A438" s="101"/>
    </row>
    <row r="439" spans="1:1" ht="9.75" customHeight="1">
      <c r="A439" s="101"/>
    </row>
    <row r="440" spans="1:1" ht="9.75" customHeight="1">
      <c r="A440" s="101"/>
    </row>
    <row r="441" spans="1:1" ht="9.75" customHeight="1">
      <c r="A441" s="101"/>
    </row>
    <row r="442" spans="1:1" ht="9.75" customHeight="1">
      <c r="A442" s="101"/>
    </row>
    <row r="443" spans="1:1" ht="9.75" customHeight="1">
      <c r="A443" s="101"/>
    </row>
    <row r="444" spans="1:1" ht="9.75" customHeight="1">
      <c r="A444" s="101"/>
    </row>
    <row r="445" spans="1:1" ht="9.75" customHeight="1">
      <c r="A445" s="101"/>
    </row>
    <row r="446" spans="1:1" ht="9.75" customHeight="1">
      <c r="A446" s="101"/>
    </row>
    <row r="447" spans="1:1" ht="9.75" customHeight="1">
      <c r="A447" s="101"/>
    </row>
    <row r="448" spans="1:1" ht="9.75" customHeight="1">
      <c r="A448" s="101"/>
    </row>
    <row r="449" spans="1:1" ht="9.75" customHeight="1">
      <c r="A449" s="101"/>
    </row>
    <row r="450" spans="1:1" ht="9.75" customHeight="1">
      <c r="A450" s="101"/>
    </row>
    <row r="451" spans="1:1" ht="9.75" customHeight="1">
      <c r="A451" s="101"/>
    </row>
    <row r="452" spans="1:1" ht="9.75" customHeight="1">
      <c r="A452" s="101"/>
    </row>
    <row r="453" spans="1:1" ht="9.75" customHeight="1">
      <c r="A453" s="101"/>
    </row>
    <row r="454" spans="1:1" ht="9.75" customHeight="1">
      <c r="A454" s="101"/>
    </row>
    <row r="455" spans="1:1" ht="9.75" customHeight="1">
      <c r="A455" s="101"/>
    </row>
    <row r="456" spans="1:1" ht="9.75" customHeight="1">
      <c r="A456" s="101"/>
    </row>
    <row r="457" spans="1:1" ht="9.75" customHeight="1">
      <c r="A457" s="101"/>
    </row>
    <row r="458" spans="1:1" ht="9.75" customHeight="1">
      <c r="A458" s="101"/>
    </row>
    <row r="459" spans="1:1" ht="9.75" customHeight="1">
      <c r="A459" s="101"/>
    </row>
    <row r="460" spans="1:1" ht="9.75" customHeight="1">
      <c r="A460" s="101"/>
    </row>
    <row r="461" spans="1:1" ht="9.75" customHeight="1">
      <c r="A461" s="101"/>
    </row>
    <row r="462" spans="1:1" ht="9.75" customHeight="1">
      <c r="A462" s="101"/>
    </row>
    <row r="463" spans="1:1" ht="9.75" customHeight="1">
      <c r="A463" s="101"/>
    </row>
    <row r="464" spans="1:1" ht="9.75" customHeight="1">
      <c r="A464" s="101"/>
    </row>
    <row r="465" spans="1:1" ht="9.75" customHeight="1">
      <c r="A465" s="101"/>
    </row>
    <row r="466" spans="1:1" ht="9.75" customHeight="1">
      <c r="A466" s="101"/>
    </row>
    <row r="467" spans="1:1" ht="9.75" customHeight="1">
      <c r="A467" s="101"/>
    </row>
    <row r="468" spans="1:1" ht="9.75" customHeight="1">
      <c r="A468" s="101"/>
    </row>
    <row r="469" spans="1:1" ht="9.75" customHeight="1">
      <c r="A469" s="101"/>
    </row>
    <row r="470" spans="1:1" ht="9.75" customHeight="1">
      <c r="A470" s="101"/>
    </row>
    <row r="471" spans="1:1" ht="9.75" customHeight="1">
      <c r="A471" s="101"/>
    </row>
    <row r="472" spans="1:1" ht="9.75" customHeight="1">
      <c r="A472" s="101"/>
    </row>
    <row r="473" spans="1:1" ht="9.75" customHeight="1">
      <c r="A473" s="101"/>
    </row>
    <row r="474" spans="1:1" ht="9.75" customHeight="1">
      <c r="A474" s="101"/>
    </row>
    <row r="475" spans="1:1" ht="9.75" customHeight="1">
      <c r="A475" s="101"/>
    </row>
    <row r="476" spans="1:1" ht="9.75" customHeight="1">
      <c r="A476" s="101"/>
    </row>
    <row r="477" spans="1:1" ht="9.75" customHeight="1">
      <c r="A477" s="101"/>
    </row>
    <row r="478" spans="1:1" ht="9.75" customHeight="1">
      <c r="A478" s="101"/>
    </row>
    <row r="479" spans="1:1" ht="9.75" customHeight="1">
      <c r="A479" s="101"/>
    </row>
    <row r="480" spans="1:1" ht="9.75" customHeight="1">
      <c r="A480" s="101"/>
    </row>
    <row r="481" spans="1:1" ht="9.75" customHeight="1">
      <c r="A481" s="101"/>
    </row>
    <row r="482" spans="1:1" ht="9.75" customHeight="1">
      <c r="A482" s="101"/>
    </row>
    <row r="483" spans="1:1" ht="9.75" customHeight="1">
      <c r="A483" s="101"/>
    </row>
    <row r="484" spans="1:1" ht="9.75" customHeight="1">
      <c r="A484" s="101"/>
    </row>
    <row r="485" spans="1:1" ht="9.75" customHeight="1">
      <c r="A485" s="101"/>
    </row>
    <row r="486" spans="1:1" ht="9.75" customHeight="1">
      <c r="A486" s="101"/>
    </row>
    <row r="487" spans="1:1" ht="9.75" customHeight="1">
      <c r="A487" s="101"/>
    </row>
    <row r="488" spans="1:1" ht="9.75" customHeight="1">
      <c r="A488" s="101"/>
    </row>
    <row r="489" spans="1:1" ht="9.75" customHeight="1">
      <c r="A489" s="101"/>
    </row>
    <row r="490" spans="1:1" ht="9.75" customHeight="1">
      <c r="A490" s="101"/>
    </row>
    <row r="491" spans="1:1" ht="9.75" customHeight="1">
      <c r="A491" s="101"/>
    </row>
    <row r="492" spans="1:1" ht="9.75" customHeight="1">
      <c r="A492" s="101"/>
    </row>
    <row r="493" spans="1:1" ht="9.75" customHeight="1">
      <c r="A493" s="101"/>
    </row>
    <row r="494" spans="1:1" ht="9.75" customHeight="1">
      <c r="A494" s="101"/>
    </row>
    <row r="495" spans="1:1" ht="9.75" customHeight="1">
      <c r="A495" s="101"/>
    </row>
    <row r="496" spans="1:1" ht="9.75" customHeight="1">
      <c r="A496" s="101"/>
    </row>
    <row r="497" spans="1:1" ht="9.75" customHeight="1">
      <c r="A497" s="101"/>
    </row>
    <row r="498" spans="1:1" ht="9.75" customHeight="1">
      <c r="A498" s="101"/>
    </row>
    <row r="499" spans="1:1" ht="9.75" customHeight="1">
      <c r="A499" s="101"/>
    </row>
    <row r="500" spans="1:1" ht="9.75" customHeight="1">
      <c r="A500" s="101"/>
    </row>
    <row r="501" spans="1:1" ht="9.75" customHeight="1">
      <c r="A501" s="101"/>
    </row>
    <row r="502" spans="1:1" ht="9.75" customHeight="1">
      <c r="A502" s="101"/>
    </row>
    <row r="503" spans="1:1" ht="9.75" customHeight="1">
      <c r="A503" s="101"/>
    </row>
    <row r="504" spans="1:1" ht="9.75" customHeight="1">
      <c r="A504" s="101"/>
    </row>
    <row r="505" spans="1:1" ht="9.75" customHeight="1">
      <c r="A505" s="101"/>
    </row>
    <row r="506" spans="1:1" ht="9.75" customHeight="1">
      <c r="A506" s="101"/>
    </row>
    <row r="507" spans="1:1" ht="9.75" customHeight="1">
      <c r="A507" s="101"/>
    </row>
    <row r="508" spans="1:1" ht="9.75" customHeight="1">
      <c r="A508" s="101"/>
    </row>
    <row r="509" spans="1:1" ht="9.75" customHeight="1">
      <c r="A509" s="101"/>
    </row>
    <row r="510" spans="1:1" ht="9.75" customHeight="1">
      <c r="A510" s="101"/>
    </row>
    <row r="511" spans="1:1" ht="9.75" customHeight="1">
      <c r="A511" s="101"/>
    </row>
    <row r="512" spans="1:1" ht="9.75" customHeight="1">
      <c r="A512" s="101"/>
    </row>
    <row r="513" spans="1:1" ht="9.75" customHeight="1">
      <c r="A513" s="101"/>
    </row>
    <row r="514" spans="1:1" ht="9.75" customHeight="1">
      <c r="A514" s="101"/>
    </row>
    <row r="515" spans="1:1" ht="9.75" customHeight="1">
      <c r="A515" s="101"/>
    </row>
    <row r="516" spans="1:1" ht="9.75" customHeight="1">
      <c r="A516" s="101"/>
    </row>
    <row r="517" spans="1:1" ht="9.75" customHeight="1">
      <c r="A517" s="101"/>
    </row>
    <row r="518" spans="1:1" ht="9.75" customHeight="1">
      <c r="A518" s="101"/>
    </row>
    <row r="519" spans="1:1" ht="9.75" customHeight="1">
      <c r="A519" s="101"/>
    </row>
    <row r="520" spans="1:1" ht="9.75" customHeight="1">
      <c r="A520" s="101"/>
    </row>
    <row r="521" spans="1:1" ht="9.75" customHeight="1">
      <c r="A521" s="101"/>
    </row>
    <row r="522" spans="1:1" ht="9.75" customHeight="1">
      <c r="A522" s="101"/>
    </row>
    <row r="523" spans="1:1" ht="9.75" customHeight="1">
      <c r="A523" s="101"/>
    </row>
    <row r="524" spans="1:1" ht="9.75" customHeight="1">
      <c r="A524" s="101"/>
    </row>
    <row r="525" spans="1:1" ht="9.75" customHeight="1">
      <c r="A525" s="101"/>
    </row>
    <row r="526" spans="1:1" ht="9.75" customHeight="1">
      <c r="A526" s="101"/>
    </row>
    <row r="527" spans="1:1" ht="9.75" customHeight="1">
      <c r="A527" s="101"/>
    </row>
    <row r="528" spans="1:1" ht="9.75" customHeight="1">
      <c r="A528" s="101"/>
    </row>
    <row r="529" spans="1:1" ht="9.75" customHeight="1">
      <c r="A529" s="101"/>
    </row>
    <row r="530" spans="1:1" ht="9.75" customHeight="1">
      <c r="A530" s="101"/>
    </row>
    <row r="531" spans="1:1" ht="9.75" customHeight="1">
      <c r="A531" s="101"/>
    </row>
    <row r="532" spans="1:1" ht="9.75" customHeight="1">
      <c r="A532" s="101"/>
    </row>
    <row r="533" spans="1:1" ht="9.75" customHeight="1">
      <c r="A533" s="101"/>
    </row>
    <row r="534" spans="1:1" ht="9.75" customHeight="1">
      <c r="A534" s="101"/>
    </row>
    <row r="535" spans="1:1" ht="9.75" customHeight="1">
      <c r="A535" s="101"/>
    </row>
    <row r="536" spans="1:1" ht="9.75" customHeight="1">
      <c r="A536" s="101"/>
    </row>
    <row r="537" spans="1:1" ht="9.75" customHeight="1">
      <c r="A537" s="101"/>
    </row>
    <row r="538" spans="1:1" ht="9.75" customHeight="1">
      <c r="A538" s="101"/>
    </row>
    <row r="539" spans="1:1" ht="9.75" customHeight="1">
      <c r="A539" s="101"/>
    </row>
    <row r="540" spans="1:1" ht="9.75" customHeight="1">
      <c r="A540" s="101"/>
    </row>
    <row r="541" spans="1:1" ht="9.75" customHeight="1">
      <c r="A541" s="101"/>
    </row>
    <row r="542" spans="1:1" ht="9.75" customHeight="1">
      <c r="A542" s="101"/>
    </row>
    <row r="543" spans="1:1" ht="9.75" customHeight="1">
      <c r="A543" s="101"/>
    </row>
    <row r="544" spans="1:1" ht="9.75" customHeight="1">
      <c r="A544" s="101"/>
    </row>
    <row r="545" spans="1:1" ht="9.75" customHeight="1">
      <c r="A545" s="101"/>
    </row>
    <row r="546" spans="1:1" ht="9.75" customHeight="1">
      <c r="A546" s="101"/>
    </row>
    <row r="547" spans="1:1" ht="9.75" customHeight="1">
      <c r="A547" s="101"/>
    </row>
    <row r="548" spans="1:1" ht="9.75" customHeight="1">
      <c r="A548" s="101"/>
    </row>
    <row r="549" spans="1:1" ht="9.75" customHeight="1">
      <c r="A549" s="101"/>
    </row>
    <row r="550" spans="1:1" ht="9.75" customHeight="1">
      <c r="A550" s="101"/>
    </row>
    <row r="551" spans="1:1" ht="9.75" customHeight="1">
      <c r="A551" s="101"/>
    </row>
    <row r="552" spans="1:1" ht="9.75" customHeight="1">
      <c r="A552" s="101"/>
    </row>
    <row r="553" spans="1:1" ht="9.75" customHeight="1">
      <c r="A553" s="101"/>
    </row>
    <row r="554" spans="1:1" ht="9.75" customHeight="1">
      <c r="A554" s="101"/>
    </row>
    <row r="555" spans="1:1" ht="9.75" customHeight="1">
      <c r="A555" s="101"/>
    </row>
    <row r="556" spans="1:1" ht="9.75" customHeight="1">
      <c r="A556" s="101"/>
    </row>
    <row r="557" spans="1:1" ht="9.75" customHeight="1">
      <c r="A557" s="101"/>
    </row>
    <row r="558" spans="1:1" ht="9.75" customHeight="1">
      <c r="A558" s="101"/>
    </row>
    <row r="559" spans="1:1" ht="9.75" customHeight="1">
      <c r="A559" s="101"/>
    </row>
    <row r="560" spans="1:1" ht="9.75" customHeight="1">
      <c r="A560" s="101"/>
    </row>
    <row r="561" spans="1:1" ht="9.75" customHeight="1">
      <c r="A561" s="101"/>
    </row>
    <row r="562" spans="1:1" ht="9.75" customHeight="1">
      <c r="A562" s="101"/>
    </row>
    <row r="563" spans="1:1" ht="9.75" customHeight="1">
      <c r="A563" s="101"/>
    </row>
    <row r="564" spans="1:1" ht="9.75" customHeight="1">
      <c r="A564" s="101"/>
    </row>
    <row r="565" spans="1:1" ht="9.75" customHeight="1">
      <c r="A565" s="101"/>
    </row>
    <row r="566" spans="1:1" ht="9.75" customHeight="1">
      <c r="A566" s="101"/>
    </row>
    <row r="567" spans="1:1" ht="9.75" customHeight="1">
      <c r="A567" s="101"/>
    </row>
    <row r="568" spans="1:1" ht="9.75" customHeight="1">
      <c r="A568" s="101"/>
    </row>
    <row r="569" spans="1:1" ht="9.75" customHeight="1">
      <c r="A569" s="101"/>
    </row>
    <row r="570" spans="1:1" ht="9.75" customHeight="1">
      <c r="A570" s="101"/>
    </row>
    <row r="571" spans="1:1" ht="9.75" customHeight="1">
      <c r="A571" s="101"/>
    </row>
    <row r="572" spans="1:1" ht="9.75" customHeight="1">
      <c r="A572" s="101"/>
    </row>
    <row r="573" spans="1:1" ht="9.75" customHeight="1">
      <c r="A573" s="101"/>
    </row>
    <row r="574" spans="1:1" ht="9.75" customHeight="1">
      <c r="A574" s="101"/>
    </row>
    <row r="575" spans="1:1" ht="9.75" customHeight="1">
      <c r="A575" s="101"/>
    </row>
    <row r="576" spans="1:1" ht="9.75" customHeight="1">
      <c r="A576" s="101"/>
    </row>
    <row r="577" spans="1:1" ht="9.75" customHeight="1">
      <c r="A577" s="101"/>
    </row>
    <row r="578" spans="1:1" ht="9.75" customHeight="1">
      <c r="A578" s="101"/>
    </row>
    <row r="579" spans="1:1" ht="9.75" customHeight="1">
      <c r="A579" s="101"/>
    </row>
    <row r="580" spans="1:1" ht="9.75" customHeight="1">
      <c r="A580" s="101"/>
    </row>
    <row r="581" spans="1:1" ht="9.75" customHeight="1">
      <c r="A581" s="101"/>
    </row>
    <row r="582" spans="1:1" ht="9.75" customHeight="1">
      <c r="A582" s="101"/>
    </row>
    <row r="583" spans="1:1" ht="9.75" customHeight="1">
      <c r="A583" s="101"/>
    </row>
    <row r="584" spans="1:1" ht="9.75" customHeight="1">
      <c r="A584" s="101"/>
    </row>
    <row r="585" spans="1:1" ht="9.75" customHeight="1">
      <c r="A585" s="101"/>
    </row>
    <row r="586" spans="1:1" ht="9.75" customHeight="1">
      <c r="A586" s="101"/>
    </row>
    <row r="587" spans="1:1" ht="9.75" customHeight="1">
      <c r="A587" s="101"/>
    </row>
    <row r="588" spans="1:1" ht="9.75" customHeight="1">
      <c r="A588" s="101"/>
    </row>
    <row r="589" spans="1:1" ht="9.75" customHeight="1">
      <c r="A589" s="101"/>
    </row>
    <row r="590" spans="1:1" ht="9.75" customHeight="1">
      <c r="A590" s="101"/>
    </row>
    <row r="591" spans="1:1" ht="9.75" customHeight="1">
      <c r="A591" s="101"/>
    </row>
    <row r="592" spans="1:1" ht="9.75" customHeight="1">
      <c r="A592" s="101"/>
    </row>
    <row r="593" spans="1:1" ht="9.75" customHeight="1">
      <c r="A593" s="101"/>
    </row>
    <row r="594" spans="1:1" ht="9.75" customHeight="1">
      <c r="A594" s="101"/>
    </row>
    <row r="595" spans="1:1" ht="9.75" customHeight="1">
      <c r="A595" s="101"/>
    </row>
    <row r="596" spans="1:1" ht="9.75" customHeight="1">
      <c r="A596" s="101"/>
    </row>
    <row r="597" spans="1:1" ht="9.75" customHeight="1">
      <c r="A597" s="101"/>
    </row>
    <row r="598" spans="1:1" ht="9.75" customHeight="1">
      <c r="A598" s="101"/>
    </row>
    <row r="599" spans="1:1" ht="9.75" customHeight="1">
      <c r="A599" s="101"/>
    </row>
    <row r="600" spans="1:1" ht="9.75" customHeight="1">
      <c r="A600" s="101"/>
    </row>
    <row r="601" spans="1:1" ht="9.75" customHeight="1">
      <c r="A601" s="101"/>
    </row>
    <row r="602" spans="1:1" ht="9.75" customHeight="1">
      <c r="A602" s="101"/>
    </row>
    <row r="603" spans="1:1" ht="9.75" customHeight="1">
      <c r="A603" s="101"/>
    </row>
    <row r="604" spans="1:1" ht="9.75" customHeight="1">
      <c r="A604" s="101"/>
    </row>
    <row r="605" spans="1:1" ht="9.75" customHeight="1">
      <c r="A605" s="101"/>
    </row>
    <row r="606" spans="1:1" ht="9.75" customHeight="1">
      <c r="A606" s="101"/>
    </row>
    <row r="607" spans="1:1" ht="9.75" customHeight="1">
      <c r="A607" s="101"/>
    </row>
    <row r="608" spans="1:1" ht="9.75" customHeight="1">
      <c r="A608" s="101"/>
    </row>
    <row r="609" spans="1:1" ht="9.75" customHeight="1">
      <c r="A609" s="101"/>
    </row>
    <row r="610" spans="1:1" ht="9.75" customHeight="1">
      <c r="A610" s="101"/>
    </row>
    <row r="611" spans="1:1" ht="9.75" customHeight="1">
      <c r="A611" s="101"/>
    </row>
    <row r="612" spans="1:1" ht="9.75" customHeight="1">
      <c r="A612" s="101"/>
    </row>
    <row r="613" spans="1:1" ht="9.75" customHeight="1">
      <c r="A613" s="101"/>
    </row>
    <row r="614" spans="1:1" ht="9.75" customHeight="1">
      <c r="A614" s="101"/>
    </row>
    <row r="615" spans="1:1" ht="9.75" customHeight="1">
      <c r="A615" s="101"/>
    </row>
    <row r="616" spans="1:1" ht="9.75" customHeight="1">
      <c r="A616" s="101"/>
    </row>
    <row r="617" spans="1:1" ht="9.75" customHeight="1">
      <c r="A617" s="101"/>
    </row>
    <row r="618" spans="1:1" ht="9.75" customHeight="1">
      <c r="A618" s="101"/>
    </row>
    <row r="619" spans="1:1" ht="9.75" customHeight="1">
      <c r="A619" s="101"/>
    </row>
    <row r="620" spans="1:1" ht="9.75" customHeight="1">
      <c r="A620" s="101"/>
    </row>
    <row r="621" spans="1:1" ht="9.75" customHeight="1">
      <c r="A621" s="101"/>
    </row>
    <row r="622" spans="1:1" ht="9.75" customHeight="1">
      <c r="A622" s="101"/>
    </row>
    <row r="623" spans="1:1" ht="9.75" customHeight="1">
      <c r="A623" s="101"/>
    </row>
    <row r="624" spans="1:1" ht="9.75" customHeight="1">
      <c r="A624" s="101"/>
    </row>
    <row r="625" spans="1:1" ht="9.75" customHeight="1">
      <c r="A625" s="101"/>
    </row>
    <row r="626" spans="1:1" ht="9.75" customHeight="1">
      <c r="A626" s="101"/>
    </row>
    <row r="627" spans="1:1" ht="9.75" customHeight="1">
      <c r="A627" s="101"/>
    </row>
    <row r="628" spans="1:1" ht="9.75" customHeight="1">
      <c r="A628" s="101"/>
    </row>
    <row r="629" spans="1:1" ht="9.75" customHeight="1">
      <c r="A629" s="101"/>
    </row>
    <row r="630" spans="1:1" ht="9.75" customHeight="1">
      <c r="A630" s="101"/>
    </row>
    <row r="631" spans="1:1" ht="9.75" customHeight="1">
      <c r="A631" s="101"/>
    </row>
    <row r="632" spans="1:1" ht="9.75" customHeight="1">
      <c r="A632" s="101"/>
    </row>
    <row r="633" spans="1:1" ht="9.75" customHeight="1">
      <c r="A633" s="101"/>
    </row>
    <row r="634" spans="1:1" ht="9.75" customHeight="1">
      <c r="A634" s="101"/>
    </row>
    <row r="635" spans="1:1" ht="9.75" customHeight="1">
      <c r="A635" s="101"/>
    </row>
    <row r="636" spans="1:1" ht="9.75" customHeight="1">
      <c r="A636" s="101"/>
    </row>
    <row r="637" spans="1:1" ht="9.75" customHeight="1">
      <c r="A637" s="101"/>
    </row>
    <row r="638" spans="1:1" ht="9.75" customHeight="1">
      <c r="A638" s="101"/>
    </row>
    <row r="639" spans="1:1" ht="9.75" customHeight="1">
      <c r="A639" s="101"/>
    </row>
    <row r="640" spans="1:1" ht="9.75" customHeight="1">
      <c r="A640" s="101"/>
    </row>
    <row r="641" spans="1:1" ht="9.75" customHeight="1">
      <c r="A641" s="101"/>
    </row>
    <row r="642" spans="1:1" ht="9.75" customHeight="1">
      <c r="A642" s="101"/>
    </row>
    <row r="643" spans="1:1" ht="9.75" customHeight="1">
      <c r="A643" s="101"/>
    </row>
    <row r="644" spans="1:1" ht="9.75" customHeight="1">
      <c r="A644" s="101"/>
    </row>
    <row r="645" spans="1:1" ht="9.75" customHeight="1">
      <c r="A645" s="101"/>
    </row>
    <row r="646" spans="1:1" ht="9.75" customHeight="1">
      <c r="A646" s="101"/>
    </row>
    <row r="647" spans="1:1" ht="9.75" customHeight="1">
      <c r="A647" s="101"/>
    </row>
    <row r="648" spans="1:1" ht="9.75" customHeight="1">
      <c r="A648" s="101"/>
    </row>
    <row r="649" spans="1:1" ht="9.75" customHeight="1">
      <c r="A649" s="101"/>
    </row>
    <row r="650" spans="1:1" ht="9.75" customHeight="1">
      <c r="A650" s="101"/>
    </row>
    <row r="651" spans="1:1" ht="9.75" customHeight="1">
      <c r="A651" s="101"/>
    </row>
    <row r="652" spans="1:1" ht="9.75" customHeight="1">
      <c r="A652" s="101"/>
    </row>
    <row r="653" spans="1:1" ht="9.75" customHeight="1">
      <c r="A653" s="101"/>
    </row>
    <row r="654" spans="1:1" ht="9.75" customHeight="1">
      <c r="A654" s="101"/>
    </row>
    <row r="655" spans="1:1" ht="9.75" customHeight="1">
      <c r="A655" s="101"/>
    </row>
    <row r="656" spans="1:1" ht="9.75" customHeight="1">
      <c r="A656" s="101"/>
    </row>
    <row r="657" spans="1:1" ht="9.75" customHeight="1">
      <c r="A657" s="101"/>
    </row>
    <row r="658" spans="1:1" ht="9.75" customHeight="1">
      <c r="A658" s="101"/>
    </row>
    <row r="659" spans="1:1" ht="9.75" customHeight="1">
      <c r="A659" s="101"/>
    </row>
    <row r="660" spans="1:1" ht="9.75" customHeight="1">
      <c r="A660" s="101"/>
    </row>
    <row r="661" spans="1:1" ht="9.75" customHeight="1">
      <c r="A661" s="101"/>
    </row>
    <row r="662" spans="1:1" ht="9.75" customHeight="1">
      <c r="A662" s="101"/>
    </row>
    <row r="663" spans="1:1" ht="9.75" customHeight="1">
      <c r="A663" s="101"/>
    </row>
    <row r="664" spans="1:1" ht="9.75" customHeight="1">
      <c r="A664" s="101"/>
    </row>
    <row r="665" spans="1:1" ht="9.75" customHeight="1">
      <c r="A665" s="101"/>
    </row>
    <row r="666" spans="1:1" ht="9.75" customHeight="1">
      <c r="A666" s="101"/>
    </row>
    <row r="667" spans="1:1" ht="9.75" customHeight="1">
      <c r="A667" s="101"/>
    </row>
    <row r="668" spans="1:1" ht="9.75" customHeight="1">
      <c r="A668" s="101"/>
    </row>
    <row r="669" spans="1:1" ht="9.75" customHeight="1">
      <c r="A669" s="101"/>
    </row>
    <row r="670" spans="1:1" ht="9.75" customHeight="1">
      <c r="A670" s="101"/>
    </row>
    <row r="671" spans="1:1" ht="9.75" customHeight="1">
      <c r="A671" s="101"/>
    </row>
    <row r="672" spans="1:1" ht="9.75" customHeight="1">
      <c r="A672" s="101"/>
    </row>
    <row r="673" spans="1:1" ht="9.75" customHeight="1">
      <c r="A673" s="101"/>
    </row>
    <row r="674" spans="1:1" ht="9.75" customHeight="1">
      <c r="A674" s="101"/>
    </row>
    <row r="675" spans="1:1" ht="9.75" customHeight="1">
      <c r="A675" s="101"/>
    </row>
    <row r="676" spans="1:1" ht="9.75" customHeight="1">
      <c r="A676" s="101"/>
    </row>
    <row r="677" spans="1:1" ht="9.75" customHeight="1">
      <c r="A677" s="101"/>
    </row>
    <row r="678" spans="1:1" ht="9.75" customHeight="1">
      <c r="A678" s="101"/>
    </row>
    <row r="679" spans="1:1" ht="9.75" customHeight="1">
      <c r="A679" s="101"/>
    </row>
    <row r="680" spans="1:1" ht="9.75" customHeight="1">
      <c r="A680" s="101"/>
    </row>
    <row r="681" spans="1:1" ht="9.75" customHeight="1">
      <c r="A681" s="101"/>
    </row>
    <row r="682" spans="1:1" ht="9.75" customHeight="1">
      <c r="A682" s="101"/>
    </row>
    <row r="683" spans="1:1" ht="9.75" customHeight="1">
      <c r="A683" s="101"/>
    </row>
    <row r="684" spans="1:1" ht="9.75" customHeight="1">
      <c r="A684" s="101"/>
    </row>
    <row r="685" spans="1:1" ht="9.75" customHeight="1">
      <c r="A685" s="101"/>
    </row>
    <row r="686" spans="1:1" ht="9.75" customHeight="1">
      <c r="A686" s="101"/>
    </row>
    <row r="687" spans="1:1" ht="9.75" customHeight="1">
      <c r="A687" s="101"/>
    </row>
    <row r="688" spans="1:1" ht="9.75" customHeight="1">
      <c r="A688" s="101"/>
    </row>
    <row r="689" spans="1:1" ht="9.75" customHeight="1">
      <c r="A689" s="101"/>
    </row>
    <row r="690" spans="1:1" ht="9.75" customHeight="1">
      <c r="A690" s="101"/>
    </row>
    <row r="691" spans="1:1" ht="9.75" customHeight="1">
      <c r="A691" s="101"/>
    </row>
    <row r="692" spans="1:1" ht="9.75" customHeight="1">
      <c r="A692" s="101"/>
    </row>
    <row r="693" spans="1:1" ht="9.75" customHeight="1">
      <c r="A693" s="101"/>
    </row>
    <row r="694" spans="1:1" ht="9.75" customHeight="1">
      <c r="A694" s="101"/>
    </row>
    <row r="695" spans="1:1" ht="9.75" customHeight="1">
      <c r="A695" s="101"/>
    </row>
    <row r="696" spans="1:1" ht="9.75" customHeight="1">
      <c r="A696" s="101"/>
    </row>
    <row r="697" spans="1:1" ht="9.75" customHeight="1">
      <c r="A697" s="101"/>
    </row>
    <row r="698" spans="1:1" ht="9.75" customHeight="1">
      <c r="A698" s="101"/>
    </row>
    <row r="699" spans="1:1" ht="9.75" customHeight="1">
      <c r="A699" s="101"/>
    </row>
    <row r="700" spans="1:1" ht="9.75" customHeight="1">
      <c r="A700" s="101"/>
    </row>
    <row r="701" spans="1:1" ht="9.75" customHeight="1">
      <c r="A701" s="101"/>
    </row>
    <row r="702" spans="1:1" ht="9.75" customHeight="1">
      <c r="A702" s="101"/>
    </row>
    <row r="703" spans="1:1" ht="9.75" customHeight="1">
      <c r="A703" s="101"/>
    </row>
    <row r="704" spans="1:1" ht="9.75" customHeight="1">
      <c r="A704" s="101"/>
    </row>
    <row r="705" spans="1:1" ht="9.75" customHeight="1">
      <c r="A705" s="101"/>
    </row>
    <row r="706" spans="1:1" ht="9.75" customHeight="1">
      <c r="A706" s="101"/>
    </row>
    <row r="707" spans="1:1" ht="9.75" customHeight="1">
      <c r="A707" s="101"/>
    </row>
    <row r="708" spans="1:1" ht="9.75" customHeight="1">
      <c r="A708" s="101"/>
    </row>
    <row r="709" spans="1:1" ht="9.75" customHeight="1">
      <c r="A709" s="101"/>
    </row>
    <row r="710" spans="1:1" ht="9.75" customHeight="1">
      <c r="A710" s="101"/>
    </row>
    <row r="711" spans="1:1" ht="9.75" customHeight="1">
      <c r="A711" s="101"/>
    </row>
    <row r="712" spans="1:1" ht="9.75" customHeight="1">
      <c r="A712" s="101"/>
    </row>
    <row r="713" spans="1:1" ht="9.75" customHeight="1">
      <c r="A713" s="101"/>
    </row>
    <row r="714" spans="1:1" ht="9.75" customHeight="1">
      <c r="A714" s="101"/>
    </row>
    <row r="715" spans="1:1" ht="9.75" customHeight="1">
      <c r="A715" s="101"/>
    </row>
    <row r="716" spans="1:1" ht="9.75" customHeight="1">
      <c r="A716" s="101"/>
    </row>
    <row r="717" spans="1:1" ht="9.75" customHeight="1">
      <c r="A717" s="101"/>
    </row>
    <row r="718" spans="1:1" ht="9.75" customHeight="1">
      <c r="A718" s="101"/>
    </row>
    <row r="719" spans="1:1" ht="9.75" customHeight="1">
      <c r="A719" s="101"/>
    </row>
    <row r="720" spans="1:1" ht="9.75" customHeight="1">
      <c r="A720" s="101"/>
    </row>
    <row r="721" spans="1:1" ht="9.75" customHeight="1">
      <c r="A721" s="101"/>
    </row>
    <row r="722" spans="1:1" ht="9.75" customHeight="1">
      <c r="A722" s="101"/>
    </row>
    <row r="723" spans="1:1" ht="9.75" customHeight="1">
      <c r="A723" s="101"/>
    </row>
    <row r="724" spans="1:1" ht="9.75" customHeight="1">
      <c r="A724" s="101"/>
    </row>
    <row r="725" spans="1:1" ht="9.75" customHeight="1">
      <c r="A725" s="101"/>
    </row>
    <row r="726" spans="1:1" ht="9.75" customHeight="1">
      <c r="A726" s="101"/>
    </row>
    <row r="727" spans="1:1" ht="9.75" customHeight="1">
      <c r="A727" s="101"/>
    </row>
    <row r="728" spans="1:1" ht="9.75" customHeight="1">
      <c r="A728" s="101"/>
    </row>
    <row r="729" spans="1:1" ht="9.75" customHeight="1">
      <c r="A729" s="101"/>
    </row>
    <row r="730" spans="1:1" ht="9.75" customHeight="1">
      <c r="A730" s="101"/>
    </row>
    <row r="731" spans="1:1" ht="9.75" customHeight="1">
      <c r="A731" s="101"/>
    </row>
    <row r="732" spans="1:1" ht="9.75" customHeight="1">
      <c r="A732" s="101"/>
    </row>
    <row r="733" spans="1:1" ht="9.75" customHeight="1">
      <c r="A733" s="101"/>
    </row>
    <row r="734" spans="1:1" ht="9.75" customHeight="1">
      <c r="A734" s="101"/>
    </row>
    <row r="735" spans="1:1" ht="9.75" customHeight="1">
      <c r="A735" s="101"/>
    </row>
    <row r="736" spans="1:1" ht="9.75" customHeight="1">
      <c r="A736" s="101"/>
    </row>
    <row r="737" spans="1:1" ht="9.75" customHeight="1">
      <c r="A737" s="101"/>
    </row>
    <row r="738" spans="1:1" ht="9.75" customHeight="1">
      <c r="A738" s="101"/>
    </row>
    <row r="739" spans="1:1" ht="9.75" customHeight="1">
      <c r="A739" s="101"/>
    </row>
    <row r="740" spans="1:1" ht="9.75" customHeight="1">
      <c r="A740" s="101"/>
    </row>
    <row r="741" spans="1:1" ht="9.75" customHeight="1">
      <c r="A741" s="101"/>
    </row>
    <row r="742" spans="1:1" ht="9.75" customHeight="1">
      <c r="A742" s="101"/>
    </row>
    <row r="743" spans="1:1" ht="9.75" customHeight="1">
      <c r="A743" s="101"/>
    </row>
    <row r="744" spans="1:1" ht="9.75" customHeight="1">
      <c r="A744" s="101"/>
    </row>
    <row r="745" spans="1:1" ht="9.75" customHeight="1">
      <c r="A745" s="101"/>
    </row>
    <row r="746" spans="1:1" ht="9.75" customHeight="1">
      <c r="A746" s="101"/>
    </row>
    <row r="747" spans="1:1" ht="9.75" customHeight="1">
      <c r="A747" s="101"/>
    </row>
    <row r="748" spans="1:1" ht="9.75" customHeight="1">
      <c r="A748" s="101"/>
    </row>
    <row r="749" spans="1:1" ht="9.75" customHeight="1">
      <c r="A749" s="101"/>
    </row>
    <row r="750" spans="1:1" ht="9.75" customHeight="1">
      <c r="A750" s="101"/>
    </row>
    <row r="751" spans="1:1" ht="9.75" customHeight="1">
      <c r="A751" s="101"/>
    </row>
    <row r="752" spans="1:1" ht="9.75" customHeight="1">
      <c r="A752" s="101"/>
    </row>
    <row r="753" spans="1:1" ht="9.75" customHeight="1">
      <c r="A753" s="101"/>
    </row>
    <row r="754" spans="1:1" ht="9.75" customHeight="1">
      <c r="A754" s="101"/>
    </row>
    <row r="755" spans="1:1" ht="9.75" customHeight="1">
      <c r="A755" s="101"/>
    </row>
    <row r="756" spans="1:1" ht="9.75" customHeight="1">
      <c r="A756" s="101"/>
    </row>
    <row r="757" spans="1:1" ht="9.75" customHeight="1">
      <c r="A757" s="101"/>
    </row>
    <row r="758" spans="1:1" ht="9.75" customHeight="1">
      <c r="A758" s="101"/>
    </row>
    <row r="759" spans="1:1" ht="9.75" customHeight="1">
      <c r="A759" s="101"/>
    </row>
    <row r="760" spans="1:1" ht="9.75" customHeight="1">
      <c r="A760" s="101"/>
    </row>
    <row r="761" spans="1:1" ht="9.75" customHeight="1">
      <c r="A761" s="101"/>
    </row>
    <row r="762" spans="1:1" ht="9.75" customHeight="1">
      <c r="A762" s="101"/>
    </row>
    <row r="763" spans="1:1" ht="9.75" customHeight="1">
      <c r="A763" s="101"/>
    </row>
    <row r="764" spans="1:1" ht="9.75" customHeight="1">
      <c r="A764" s="101"/>
    </row>
    <row r="765" spans="1:1" ht="9.75" customHeight="1">
      <c r="A765" s="101"/>
    </row>
    <row r="766" spans="1:1" ht="9.75" customHeight="1">
      <c r="A766" s="101"/>
    </row>
    <row r="767" spans="1:1" ht="9.75" customHeight="1">
      <c r="A767" s="101"/>
    </row>
    <row r="768" spans="1:1" ht="9.75" customHeight="1">
      <c r="A768" s="101"/>
    </row>
    <row r="769" spans="1:1" ht="9.75" customHeight="1">
      <c r="A769" s="101"/>
    </row>
    <row r="770" spans="1:1" ht="9.75" customHeight="1">
      <c r="A770" s="101"/>
    </row>
    <row r="771" spans="1:1" ht="9.75" customHeight="1">
      <c r="A771" s="101"/>
    </row>
    <row r="772" spans="1:1" ht="9.75" customHeight="1">
      <c r="A772" s="101"/>
    </row>
    <row r="773" spans="1:1" ht="9.75" customHeight="1">
      <c r="A773" s="101"/>
    </row>
    <row r="774" spans="1:1" ht="9.75" customHeight="1">
      <c r="A774" s="101"/>
    </row>
    <row r="775" spans="1:1" ht="9.75" customHeight="1">
      <c r="A775" s="101"/>
    </row>
    <row r="776" spans="1:1" ht="9.75" customHeight="1">
      <c r="A776" s="101"/>
    </row>
    <row r="777" spans="1:1" ht="9.75" customHeight="1">
      <c r="A777" s="101"/>
    </row>
    <row r="778" spans="1:1" ht="9.75" customHeight="1">
      <c r="A778" s="101"/>
    </row>
    <row r="779" spans="1:1" ht="9.75" customHeight="1">
      <c r="A779" s="101"/>
    </row>
    <row r="780" spans="1:1" ht="9.75" customHeight="1">
      <c r="A780" s="101"/>
    </row>
    <row r="781" spans="1:1" ht="9.75" customHeight="1">
      <c r="A781" s="101"/>
    </row>
    <row r="782" spans="1:1" ht="9.75" customHeight="1">
      <c r="A782" s="101"/>
    </row>
    <row r="783" spans="1:1" ht="9.75" customHeight="1">
      <c r="A783" s="101"/>
    </row>
    <row r="784" spans="1:1" ht="9.75" customHeight="1">
      <c r="A784" s="101"/>
    </row>
    <row r="785" spans="1:1" ht="9.75" customHeight="1">
      <c r="A785" s="101"/>
    </row>
    <row r="786" spans="1:1" ht="9.75" customHeight="1">
      <c r="A786" s="101"/>
    </row>
    <row r="787" spans="1:1" ht="9.75" customHeight="1">
      <c r="A787" s="101"/>
    </row>
    <row r="788" spans="1:1" ht="9.75" customHeight="1">
      <c r="A788" s="101"/>
    </row>
    <row r="789" spans="1:1" ht="9.75" customHeight="1">
      <c r="A789" s="101"/>
    </row>
    <row r="790" spans="1:1" ht="9.75" customHeight="1">
      <c r="A790" s="101"/>
    </row>
    <row r="791" spans="1:1" ht="9.75" customHeight="1">
      <c r="A791" s="101"/>
    </row>
    <row r="792" spans="1:1" ht="9.75" customHeight="1">
      <c r="A792" s="101"/>
    </row>
    <row r="793" spans="1:1" ht="9.75" customHeight="1">
      <c r="A793" s="101"/>
    </row>
    <row r="794" spans="1:1" ht="9.75" customHeight="1">
      <c r="A794" s="101"/>
    </row>
    <row r="795" spans="1:1" ht="9.75" customHeight="1">
      <c r="A795" s="101"/>
    </row>
    <row r="796" spans="1:1" ht="9.75" customHeight="1">
      <c r="A796" s="101"/>
    </row>
    <row r="797" spans="1:1" ht="9.75" customHeight="1">
      <c r="A797" s="101"/>
    </row>
    <row r="798" spans="1:1" ht="9.75" customHeight="1">
      <c r="A798" s="101"/>
    </row>
    <row r="799" spans="1:1" ht="9.75" customHeight="1">
      <c r="A799" s="101"/>
    </row>
    <row r="800" spans="1:1" ht="9.75" customHeight="1">
      <c r="A800" s="101"/>
    </row>
    <row r="801" spans="1:1" ht="9.75" customHeight="1">
      <c r="A801" s="101"/>
    </row>
    <row r="802" spans="1:1" ht="9.75" customHeight="1">
      <c r="A802" s="101"/>
    </row>
    <row r="803" spans="1:1" ht="9.75" customHeight="1">
      <c r="A803" s="101"/>
    </row>
    <row r="804" spans="1:1" ht="9.75" customHeight="1">
      <c r="A804" s="101"/>
    </row>
    <row r="805" spans="1:1" ht="9.75" customHeight="1">
      <c r="A805" s="101"/>
    </row>
    <row r="806" spans="1:1" ht="9.75" customHeight="1">
      <c r="A806" s="101"/>
    </row>
    <row r="807" spans="1:1" ht="9.75" customHeight="1">
      <c r="A807" s="101"/>
    </row>
    <row r="808" spans="1:1" ht="9.75" customHeight="1">
      <c r="A808" s="101"/>
    </row>
    <row r="809" spans="1:1" ht="9.75" customHeight="1">
      <c r="A809" s="101"/>
    </row>
    <row r="810" spans="1:1" ht="9.75" customHeight="1">
      <c r="A810" s="101"/>
    </row>
    <row r="811" spans="1:1" ht="9.75" customHeight="1">
      <c r="A811" s="101"/>
    </row>
    <row r="812" spans="1:1" ht="9.75" customHeight="1">
      <c r="A812" s="101"/>
    </row>
    <row r="813" spans="1:1" ht="9.75" customHeight="1">
      <c r="A813" s="101"/>
    </row>
    <row r="814" spans="1:1" ht="9.75" customHeight="1">
      <c r="A814" s="101"/>
    </row>
    <row r="815" spans="1:1" ht="9.75" customHeight="1">
      <c r="A815" s="101"/>
    </row>
    <row r="816" spans="1:1" ht="9.75" customHeight="1">
      <c r="A816" s="101"/>
    </row>
    <row r="817" spans="1:1" ht="9.75" customHeight="1">
      <c r="A817" s="101"/>
    </row>
    <row r="818" spans="1:1" ht="9.75" customHeight="1">
      <c r="A818" s="101"/>
    </row>
    <row r="819" spans="1:1" ht="9.75" customHeight="1">
      <c r="A819" s="101"/>
    </row>
    <row r="820" spans="1:1" ht="9.75" customHeight="1">
      <c r="A820" s="101"/>
    </row>
    <row r="821" spans="1:1" ht="9.75" customHeight="1">
      <c r="A821" s="101"/>
    </row>
    <row r="822" spans="1:1" ht="9.75" customHeight="1">
      <c r="A822" s="101"/>
    </row>
    <row r="823" spans="1:1" ht="9.75" customHeight="1">
      <c r="A823" s="101"/>
    </row>
    <row r="824" spans="1:1" ht="9.75" customHeight="1">
      <c r="A824" s="101"/>
    </row>
    <row r="825" spans="1:1" ht="9.75" customHeight="1">
      <c r="A825" s="101"/>
    </row>
    <row r="826" spans="1:1" ht="9.75" customHeight="1">
      <c r="A826" s="101"/>
    </row>
    <row r="827" spans="1:1" ht="9.75" customHeight="1">
      <c r="A827" s="101"/>
    </row>
    <row r="828" spans="1:1" ht="9.75" customHeight="1">
      <c r="A828" s="101"/>
    </row>
    <row r="829" spans="1:1" ht="9.75" customHeight="1">
      <c r="A829" s="101"/>
    </row>
    <row r="830" spans="1:1" ht="9.75" customHeight="1">
      <c r="A830" s="101"/>
    </row>
    <row r="831" spans="1:1" ht="9.75" customHeight="1">
      <c r="A831" s="101"/>
    </row>
    <row r="832" spans="1:1" ht="9.75" customHeight="1">
      <c r="A832" s="101"/>
    </row>
    <row r="833" spans="1:1" ht="9.75" customHeight="1">
      <c r="A833" s="101"/>
    </row>
    <row r="834" spans="1:1" ht="9.75" customHeight="1">
      <c r="A834" s="101"/>
    </row>
    <row r="835" spans="1:1" ht="9.75" customHeight="1">
      <c r="A835" s="101"/>
    </row>
    <row r="836" spans="1:1" ht="9.75" customHeight="1">
      <c r="A836" s="101"/>
    </row>
    <row r="837" spans="1:1" ht="9.75" customHeight="1">
      <c r="A837" s="101"/>
    </row>
    <row r="838" spans="1:1" ht="9.75" customHeight="1">
      <c r="A838" s="101"/>
    </row>
    <row r="839" spans="1:1" ht="9.75" customHeight="1">
      <c r="A839" s="101"/>
    </row>
    <row r="840" spans="1:1" ht="9.75" customHeight="1">
      <c r="A840" s="101"/>
    </row>
    <row r="841" spans="1:1" ht="9.75" customHeight="1">
      <c r="A841" s="101"/>
    </row>
    <row r="842" spans="1:1" ht="9.75" customHeight="1">
      <c r="A842" s="101"/>
    </row>
    <row r="843" spans="1:1" ht="9.75" customHeight="1">
      <c r="A843" s="101"/>
    </row>
    <row r="844" spans="1:1" ht="9.75" customHeight="1">
      <c r="A844" s="101"/>
    </row>
    <row r="845" spans="1:1" ht="9.75" customHeight="1">
      <c r="A845" s="101"/>
    </row>
    <row r="846" spans="1:1" ht="9.75" customHeight="1">
      <c r="A846" s="101"/>
    </row>
    <row r="847" spans="1:1" ht="9.75" customHeight="1">
      <c r="A847" s="101"/>
    </row>
    <row r="848" spans="1:1" ht="9.75" customHeight="1">
      <c r="A848" s="101"/>
    </row>
    <row r="849" spans="1:1" ht="9.75" customHeight="1">
      <c r="A849" s="101"/>
    </row>
    <row r="850" spans="1:1" ht="9.75" customHeight="1">
      <c r="A850" s="101"/>
    </row>
    <row r="851" spans="1:1" ht="9.75" customHeight="1">
      <c r="A851" s="101"/>
    </row>
    <row r="852" spans="1:1" ht="9.75" customHeight="1">
      <c r="A852" s="101"/>
    </row>
    <row r="853" spans="1:1" ht="9.75" customHeight="1">
      <c r="A853" s="101"/>
    </row>
    <row r="854" spans="1:1" ht="9.75" customHeight="1">
      <c r="A854" s="101"/>
    </row>
    <row r="855" spans="1:1" ht="9.75" customHeight="1">
      <c r="A855" s="101"/>
    </row>
    <row r="856" spans="1:1" ht="9.75" customHeight="1">
      <c r="A856" s="101"/>
    </row>
    <row r="857" spans="1:1" ht="9.75" customHeight="1">
      <c r="A857" s="101"/>
    </row>
    <row r="858" spans="1:1" ht="9.75" customHeight="1">
      <c r="A858" s="101"/>
    </row>
    <row r="859" spans="1:1" ht="9.75" customHeight="1">
      <c r="A859" s="101"/>
    </row>
    <row r="860" spans="1:1" ht="9.75" customHeight="1">
      <c r="A860" s="101"/>
    </row>
    <row r="861" spans="1:1" ht="9.75" customHeight="1">
      <c r="A861" s="101"/>
    </row>
    <row r="862" spans="1:1" ht="9.75" customHeight="1">
      <c r="A862" s="101"/>
    </row>
    <row r="863" spans="1:1" ht="9.75" customHeight="1">
      <c r="A863" s="101"/>
    </row>
    <row r="864" spans="1:1" ht="9.75" customHeight="1">
      <c r="A864" s="101"/>
    </row>
    <row r="865" spans="1:1" ht="9.75" customHeight="1">
      <c r="A865" s="101"/>
    </row>
    <row r="866" spans="1:1" ht="9.75" customHeight="1">
      <c r="A866" s="101"/>
    </row>
    <row r="867" spans="1:1" ht="9.75" customHeight="1">
      <c r="A867" s="101"/>
    </row>
    <row r="868" spans="1:1" ht="9.75" customHeight="1">
      <c r="A868" s="101"/>
    </row>
    <row r="869" spans="1:1" ht="9.75" customHeight="1">
      <c r="A869" s="101"/>
    </row>
    <row r="870" spans="1:1" ht="9.75" customHeight="1">
      <c r="A870" s="101"/>
    </row>
    <row r="871" spans="1:1" ht="9.75" customHeight="1">
      <c r="A871" s="101"/>
    </row>
    <row r="872" spans="1:1" ht="9.75" customHeight="1">
      <c r="A872" s="101"/>
    </row>
    <row r="873" spans="1:1" ht="9.75" customHeight="1">
      <c r="A873" s="101"/>
    </row>
    <row r="874" spans="1:1" ht="9.75" customHeight="1">
      <c r="A874" s="101"/>
    </row>
    <row r="875" spans="1:1" ht="9.75" customHeight="1">
      <c r="A875" s="101"/>
    </row>
    <row r="876" spans="1:1" ht="9.75" customHeight="1">
      <c r="A876" s="101"/>
    </row>
    <row r="877" spans="1:1" ht="9.75" customHeight="1">
      <c r="A877" s="101"/>
    </row>
    <row r="878" spans="1:1" ht="9.75" customHeight="1">
      <c r="A878" s="101"/>
    </row>
    <row r="879" spans="1:1" ht="9.75" customHeight="1">
      <c r="A879" s="101"/>
    </row>
    <row r="880" spans="1:1" ht="9.75" customHeight="1">
      <c r="A880" s="101"/>
    </row>
    <row r="881" spans="1:1" ht="9.75" customHeight="1">
      <c r="A881" s="101"/>
    </row>
    <row r="882" spans="1:1" ht="9.75" customHeight="1">
      <c r="A882" s="101"/>
    </row>
    <row r="883" spans="1:1" ht="9.75" customHeight="1">
      <c r="A883" s="101"/>
    </row>
    <row r="884" spans="1:1" ht="9.75" customHeight="1">
      <c r="A884" s="101"/>
    </row>
    <row r="885" spans="1:1" ht="9.75" customHeight="1">
      <c r="A885" s="101"/>
    </row>
    <row r="886" spans="1:1" ht="9.75" customHeight="1">
      <c r="A886" s="101"/>
    </row>
    <row r="887" spans="1:1" ht="9.75" customHeight="1">
      <c r="A887" s="101"/>
    </row>
    <row r="888" spans="1:1" ht="9.75" customHeight="1">
      <c r="A888" s="101"/>
    </row>
    <row r="889" spans="1:1" ht="9.75" customHeight="1">
      <c r="A889" s="101"/>
    </row>
    <row r="890" spans="1:1" ht="9.75" customHeight="1">
      <c r="A890" s="101"/>
    </row>
    <row r="891" spans="1:1" ht="9.75" customHeight="1">
      <c r="A891" s="101"/>
    </row>
    <row r="892" spans="1:1" ht="9.75" customHeight="1">
      <c r="A892" s="101"/>
    </row>
    <row r="893" spans="1:1" ht="9.75" customHeight="1">
      <c r="A893" s="101"/>
    </row>
    <row r="894" spans="1:1" ht="9.75" customHeight="1">
      <c r="A894" s="101"/>
    </row>
    <row r="895" spans="1:1" ht="9.75" customHeight="1">
      <c r="A895" s="101"/>
    </row>
    <row r="896" spans="1:1" ht="9.75" customHeight="1">
      <c r="A896" s="101"/>
    </row>
    <row r="897" spans="1:1" ht="9.75" customHeight="1">
      <c r="A897" s="101"/>
    </row>
    <row r="898" spans="1:1" ht="9.75" customHeight="1">
      <c r="A898" s="101"/>
    </row>
    <row r="899" spans="1:1" ht="9.75" customHeight="1">
      <c r="A899" s="101"/>
    </row>
    <row r="900" spans="1:1" ht="9.75" customHeight="1">
      <c r="A900" s="101"/>
    </row>
    <row r="901" spans="1:1" ht="9.75" customHeight="1">
      <c r="A901" s="101"/>
    </row>
    <row r="902" spans="1:1" ht="9.75" customHeight="1">
      <c r="A902" s="101"/>
    </row>
    <row r="903" spans="1:1" ht="9.75" customHeight="1">
      <c r="A903" s="101"/>
    </row>
    <row r="904" spans="1:1" ht="9.75" customHeight="1">
      <c r="A904" s="101"/>
    </row>
    <row r="905" spans="1:1" ht="9.75" customHeight="1">
      <c r="A905" s="101"/>
    </row>
    <row r="906" spans="1:1" ht="9.75" customHeight="1">
      <c r="A906" s="101"/>
    </row>
    <row r="907" spans="1:1" ht="9.75" customHeight="1">
      <c r="A907" s="101"/>
    </row>
    <row r="908" spans="1:1" ht="9.75" customHeight="1">
      <c r="A908" s="101"/>
    </row>
    <row r="909" spans="1:1" ht="9.75" customHeight="1">
      <c r="A909" s="101"/>
    </row>
    <row r="910" spans="1:1" ht="9.75" customHeight="1">
      <c r="A910" s="101"/>
    </row>
    <row r="911" spans="1:1" ht="9.75" customHeight="1">
      <c r="A911" s="101"/>
    </row>
    <row r="912" spans="1:1" ht="9.75" customHeight="1">
      <c r="A912" s="101"/>
    </row>
    <row r="913" spans="1:1" ht="9.75" customHeight="1">
      <c r="A913" s="101"/>
    </row>
    <row r="914" spans="1:1" ht="9.75" customHeight="1">
      <c r="A914" s="101"/>
    </row>
    <row r="915" spans="1:1" ht="9.75" customHeight="1">
      <c r="A915" s="101"/>
    </row>
    <row r="916" spans="1:1" ht="9.75" customHeight="1">
      <c r="A916" s="101"/>
    </row>
    <row r="917" spans="1:1" ht="9.75" customHeight="1">
      <c r="A917" s="101"/>
    </row>
    <row r="918" spans="1:1" ht="9.75" customHeight="1">
      <c r="A918" s="101"/>
    </row>
    <row r="919" spans="1:1" ht="9.75" customHeight="1">
      <c r="A919" s="101"/>
    </row>
    <row r="920" spans="1:1" ht="9.75" customHeight="1">
      <c r="A920" s="101"/>
    </row>
    <row r="921" spans="1:1" ht="9.75" customHeight="1">
      <c r="A921" s="101"/>
    </row>
    <row r="922" spans="1:1" ht="9.75" customHeight="1">
      <c r="A922" s="101"/>
    </row>
    <row r="923" spans="1:1" ht="9.75" customHeight="1">
      <c r="A923" s="101"/>
    </row>
    <row r="924" spans="1:1" ht="9.75" customHeight="1">
      <c r="A924" s="101"/>
    </row>
    <row r="925" spans="1:1" ht="9.75" customHeight="1">
      <c r="A925" s="101"/>
    </row>
    <row r="926" spans="1:1" ht="9.75" customHeight="1">
      <c r="A926" s="101"/>
    </row>
    <row r="927" spans="1:1" ht="9.75" customHeight="1">
      <c r="A927" s="101"/>
    </row>
    <row r="928" spans="1:1" ht="9.75" customHeight="1">
      <c r="A928" s="101"/>
    </row>
    <row r="929" spans="1:1" ht="9.75" customHeight="1">
      <c r="A929" s="101"/>
    </row>
    <row r="930" spans="1:1" ht="9.75" customHeight="1">
      <c r="A930" s="101"/>
    </row>
    <row r="931" spans="1:1" ht="9.75" customHeight="1">
      <c r="A931" s="101"/>
    </row>
    <row r="932" spans="1:1" ht="9.75" customHeight="1">
      <c r="A932" s="101"/>
    </row>
    <row r="933" spans="1:1" ht="9.75" customHeight="1">
      <c r="A933" s="101"/>
    </row>
    <row r="934" spans="1:1" ht="9.75" customHeight="1">
      <c r="A934" s="101"/>
    </row>
    <row r="935" spans="1:1" ht="9.75" customHeight="1">
      <c r="A935" s="101"/>
    </row>
    <row r="936" spans="1:1" ht="9.75" customHeight="1">
      <c r="A936" s="101"/>
    </row>
    <row r="937" spans="1:1" ht="9.75" customHeight="1">
      <c r="A937" s="101"/>
    </row>
    <row r="938" spans="1:1" ht="9.75" customHeight="1">
      <c r="A938" s="101"/>
    </row>
    <row r="939" spans="1:1" ht="9.75" customHeight="1">
      <c r="A939" s="101"/>
    </row>
    <row r="940" spans="1:1" ht="9.75" customHeight="1">
      <c r="A940" s="101"/>
    </row>
    <row r="941" spans="1:1" ht="9.75" customHeight="1">
      <c r="A941" s="101"/>
    </row>
    <row r="942" spans="1:1" ht="9.75" customHeight="1">
      <c r="A942" s="101"/>
    </row>
    <row r="943" spans="1:1" ht="9.75" customHeight="1">
      <c r="A943" s="101"/>
    </row>
    <row r="944" spans="1:1" ht="9.75" customHeight="1">
      <c r="A944" s="101"/>
    </row>
    <row r="945" spans="1:1" ht="9.75" customHeight="1">
      <c r="A945" s="101"/>
    </row>
    <row r="946" spans="1:1" ht="9.75" customHeight="1">
      <c r="A946" s="101"/>
    </row>
    <row r="947" spans="1:1" ht="9.75" customHeight="1">
      <c r="A947" s="101"/>
    </row>
    <row r="948" spans="1:1" ht="9.75" customHeight="1">
      <c r="A948" s="101"/>
    </row>
    <row r="949" spans="1:1" ht="9.75" customHeight="1">
      <c r="A949" s="101"/>
    </row>
    <row r="950" spans="1:1" ht="9.75" customHeight="1">
      <c r="A950" s="101"/>
    </row>
    <row r="951" spans="1:1" ht="9.75" customHeight="1">
      <c r="A951" s="101"/>
    </row>
    <row r="952" spans="1:1" ht="9.75" customHeight="1">
      <c r="A952" s="101"/>
    </row>
    <row r="953" spans="1:1" ht="9.75" customHeight="1">
      <c r="A953" s="101"/>
    </row>
    <row r="954" spans="1:1" ht="9.75" customHeight="1">
      <c r="A954" s="101"/>
    </row>
    <row r="955" spans="1:1" ht="9.75" customHeight="1">
      <c r="A955" s="101"/>
    </row>
    <row r="956" spans="1:1" ht="9.75" customHeight="1">
      <c r="A956" s="101"/>
    </row>
    <row r="957" spans="1:1" ht="9.75" customHeight="1">
      <c r="A957" s="101"/>
    </row>
    <row r="958" spans="1:1" ht="9.75" customHeight="1">
      <c r="A958" s="101"/>
    </row>
    <row r="959" spans="1:1" ht="9.75" customHeight="1">
      <c r="A959" s="101"/>
    </row>
    <row r="960" spans="1:1" ht="9.75" customHeight="1">
      <c r="A960" s="101"/>
    </row>
    <row r="961" spans="1:1" ht="9.75" customHeight="1">
      <c r="A961" s="101"/>
    </row>
    <row r="962" spans="1:1" ht="9.75" customHeight="1">
      <c r="A962" s="101"/>
    </row>
    <row r="963" spans="1:1" ht="9.75" customHeight="1">
      <c r="A963" s="101"/>
    </row>
    <row r="964" spans="1:1" ht="9.75" customHeight="1">
      <c r="A964" s="101"/>
    </row>
    <row r="965" spans="1:1" ht="9.75" customHeight="1">
      <c r="A965" s="101"/>
    </row>
    <row r="966" spans="1:1" ht="9.75" customHeight="1">
      <c r="A966" s="101"/>
    </row>
    <row r="967" spans="1:1" ht="9.75" customHeight="1">
      <c r="A967" s="101"/>
    </row>
    <row r="968" spans="1:1" ht="9.75" customHeight="1">
      <c r="A968" s="101"/>
    </row>
    <row r="969" spans="1:1" ht="9.75" customHeight="1">
      <c r="A969" s="101"/>
    </row>
    <row r="970" spans="1:1" ht="9.75" customHeight="1">
      <c r="A970" s="101"/>
    </row>
    <row r="971" spans="1:1" ht="9.75" customHeight="1">
      <c r="A971" s="101"/>
    </row>
    <row r="972" spans="1:1" ht="9.75" customHeight="1">
      <c r="A972" s="101"/>
    </row>
    <row r="973" spans="1:1" ht="9.75" customHeight="1">
      <c r="A973" s="101"/>
    </row>
    <row r="974" spans="1:1" ht="9.75" customHeight="1">
      <c r="A974" s="101"/>
    </row>
    <row r="975" spans="1:1" ht="9.75" customHeight="1">
      <c r="A975" s="101"/>
    </row>
    <row r="976" spans="1:1" ht="9.75" customHeight="1">
      <c r="A976" s="101"/>
    </row>
    <row r="977" spans="1:1" ht="9.75" customHeight="1">
      <c r="A977" s="101"/>
    </row>
    <row r="978" spans="1:1" ht="9.75" customHeight="1">
      <c r="A978" s="101"/>
    </row>
    <row r="979" spans="1:1" ht="9.75" customHeight="1">
      <c r="A979" s="101"/>
    </row>
    <row r="980" spans="1:1" ht="9.75" customHeight="1">
      <c r="A980" s="101"/>
    </row>
    <row r="981" spans="1:1" ht="9.75" customHeight="1">
      <c r="A981" s="101"/>
    </row>
    <row r="982" spans="1:1" ht="9.75" customHeight="1">
      <c r="A982" s="101"/>
    </row>
    <row r="983" spans="1:1" ht="9.75" customHeight="1">
      <c r="A983" s="101"/>
    </row>
    <row r="984" spans="1:1" ht="9.75" customHeight="1">
      <c r="A984" s="101"/>
    </row>
    <row r="985" spans="1:1" ht="9.75" customHeight="1">
      <c r="A985" s="101"/>
    </row>
    <row r="986" spans="1:1" ht="9.75" customHeight="1">
      <c r="A986" s="101"/>
    </row>
    <row r="987" spans="1:1" ht="9.75" customHeight="1">
      <c r="A987" s="101"/>
    </row>
    <row r="988" spans="1:1" ht="9.75" customHeight="1">
      <c r="A988" s="101"/>
    </row>
    <row r="989" spans="1:1" ht="9.75" customHeight="1">
      <c r="A989" s="101"/>
    </row>
    <row r="990" spans="1:1" ht="9.75" customHeight="1">
      <c r="A990" s="101"/>
    </row>
    <row r="991" spans="1:1" ht="9.75" customHeight="1">
      <c r="A991" s="101"/>
    </row>
    <row r="992" spans="1:1" ht="9.75" customHeight="1">
      <c r="A992" s="101"/>
    </row>
    <row r="993" spans="1:1" ht="9.75" customHeight="1">
      <c r="A993" s="101"/>
    </row>
    <row r="994" spans="1:1" ht="9.75" customHeight="1">
      <c r="A994" s="101"/>
    </row>
    <row r="995" spans="1:1" ht="9.75" customHeight="1">
      <c r="A995" s="101"/>
    </row>
    <row r="996" spans="1:1" ht="9.75" customHeight="1">
      <c r="A996" s="101"/>
    </row>
    <row r="997" spans="1:1" ht="9.75" customHeight="1">
      <c r="A997" s="101"/>
    </row>
    <row r="998" spans="1:1" ht="9.75" customHeight="1">
      <c r="A998" s="101"/>
    </row>
    <row r="999" spans="1:1" ht="9.75" customHeight="1">
      <c r="A999" s="101"/>
    </row>
    <row r="1000" spans="1:1" ht="9.75" customHeight="1">
      <c r="A1000" s="101"/>
    </row>
    <row r="1001" spans="1:1" ht="9.75" customHeight="1">
      <c r="A1001" s="101"/>
    </row>
    <row r="1002" spans="1:1" ht="9.75" customHeight="1">
      <c r="A1002" s="101"/>
    </row>
    <row r="1003" spans="1:1" ht="9.75" customHeight="1">
      <c r="A1003" s="101"/>
    </row>
    <row r="1004" spans="1:1" ht="9.75" customHeight="1">
      <c r="A1004" s="101"/>
    </row>
    <row r="1005" spans="1:1" ht="9.75" customHeight="1">
      <c r="A1005" s="101"/>
    </row>
    <row r="1006" spans="1:1" ht="9.75" customHeight="1">
      <c r="A1006" s="101"/>
    </row>
    <row r="1007" spans="1:1" ht="9.75" customHeight="1">
      <c r="A1007" s="101"/>
    </row>
    <row r="1008" spans="1:1" ht="9.75" customHeight="1">
      <c r="A1008" s="101"/>
    </row>
    <row r="1009" spans="1:1" ht="9.75" customHeight="1">
      <c r="A1009" s="101"/>
    </row>
    <row r="1010" spans="1:1" ht="9.75" customHeight="1">
      <c r="A1010" s="101"/>
    </row>
    <row r="1011" spans="1:1" ht="9.75" customHeight="1">
      <c r="A1011" s="101"/>
    </row>
    <row r="1012" spans="1:1" ht="9.75" customHeight="1">
      <c r="A1012" s="101"/>
    </row>
    <row r="1013" spans="1:1" ht="9.75" customHeight="1">
      <c r="A1013" s="101"/>
    </row>
    <row r="1014" spans="1:1" ht="9.75" customHeight="1">
      <c r="A1014" s="101"/>
    </row>
    <row r="1015" spans="1:1" ht="9.75" customHeight="1">
      <c r="A1015" s="101"/>
    </row>
    <row r="1016" spans="1:1" ht="9.75" customHeight="1">
      <c r="A1016" s="101"/>
    </row>
    <row r="1017" spans="1:1" ht="9.75" customHeight="1">
      <c r="A1017" s="101"/>
    </row>
    <row r="1018" spans="1:1" ht="9.75" customHeight="1">
      <c r="A1018" s="101"/>
    </row>
    <row r="1019" spans="1:1" ht="9.75" customHeight="1">
      <c r="A1019" s="101"/>
    </row>
    <row r="1020" spans="1:1" ht="9.75" customHeight="1">
      <c r="A1020" s="101"/>
    </row>
    <row r="1021" spans="1:1" ht="9.75" customHeight="1">
      <c r="A1021" s="101"/>
    </row>
    <row r="1022" spans="1:1" ht="9.75" customHeight="1">
      <c r="A1022" s="101"/>
    </row>
    <row r="1023" spans="1:1" ht="9.75" customHeight="1">
      <c r="A1023" s="101"/>
    </row>
    <row r="1024" spans="1:1" ht="9.75" customHeight="1">
      <c r="A1024" s="101"/>
    </row>
    <row r="1025" spans="1:1" ht="9.75" customHeight="1">
      <c r="A1025" s="101"/>
    </row>
    <row r="1026" spans="1:1" ht="9.75" customHeight="1">
      <c r="A1026" s="101"/>
    </row>
    <row r="1027" spans="1:1" ht="9.75" customHeight="1">
      <c r="A1027" s="101"/>
    </row>
    <row r="1028" spans="1:1" ht="9.75" customHeight="1">
      <c r="A1028" s="101"/>
    </row>
    <row r="1029" spans="1:1" ht="9.75" customHeight="1">
      <c r="A1029" s="101"/>
    </row>
    <row r="1030" spans="1:1" ht="9.75" customHeight="1">
      <c r="A1030" s="101"/>
    </row>
    <row r="1031" spans="1:1" ht="9.75" customHeight="1">
      <c r="A1031" s="101"/>
    </row>
    <row r="1032" spans="1:1" ht="9.75" customHeight="1">
      <c r="A1032" s="101"/>
    </row>
    <row r="1033" spans="1:1" ht="9.75" customHeight="1">
      <c r="A1033" s="101"/>
    </row>
    <row r="1034" spans="1:1" ht="9.75" customHeight="1">
      <c r="A1034" s="101"/>
    </row>
    <row r="1035" spans="1:1" ht="9.75" customHeight="1">
      <c r="A1035" s="101"/>
    </row>
    <row r="1036" spans="1:1" ht="9.75" customHeight="1">
      <c r="A1036" s="101"/>
    </row>
    <row r="1037" spans="1:1" ht="9.75" customHeight="1">
      <c r="A1037" s="101"/>
    </row>
    <row r="1038" spans="1:1" ht="9.75" customHeight="1">
      <c r="A1038" s="101"/>
    </row>
    <row r="1039" spans="1:1" ht="9.75" customHeight="1">
      <c r="A1039" s="101"/>
    </row>
    <row r="1040" spans="1:1" ht="9.75" customHeight="1">
      <c r="A1040" s="101"/>
    </row>
    <row r="1041" spans="1:1" ht="9.75" customHeight="1">
      <c r="A1041" s="101"/>
    </row>
    <row r="1042" spans="1:1" ht="9.75" customHeight="1">
      <c r="A1042" s="101"/>
    </row>
    <row r="1043" spans="1:1" ht="9.75" customHeight="1">
      <c r="A1043" s="101"/>
    </row>
    <row r="1044" spans="1:1" ht="9.75" customHeight="1">
      <c r="A1044" s="101"/>
    </row>
    <row r="1045" spans="1:1" ht="9.75" customHeight="1">
      <c r="A1045" s="101"/>
    </row>
    <row r="1046" spans="1:1" ht="9.75" customHeight="1">
      <c r="A1046" s="101"/>
    </row>
    <row r="1047" spans="1:1" ht="9.75" customHeight="1">
      <c r="A1047" s="101"/>
    </row>
    <row r="1048" spans="1:1" ht="9.75" customHeight="1">
      <c r="A1048" s="101"/>
    </row>
    <row r="1049" spans="1:1" ht="9.75" customHeight="1">
      <c r="A1049" s="101"/>
    </row>
    <row r="1050" spans="1:1" ht="9.75" customHeight="1">
      <c r="A1050" s="101"/>
    </row>
    <row r="1051" spans="1:1" ht="9.75" customHeight="1">
      <c r="A1051" s="101"/>
    </row>
    <row r="1052" spans="1:1" ht="9.75" customHeight="1">
      <c r="A1052" s="101"/>
    </row>
    <row r="1053" spans="1:1" ht="9.75" customHeight="1">
      <c r="A1053" s="101"/>
    </row>
    <row r="1054" spans="1:1" ht="9.75" customHeight="1">
      <c r="A1054" s="101"/>
    </row>
    <row r="1055" spans="1:1" ht="9.75" customHeight="1">
      <c r="A1055" s="101"/>
    </row>
    <row r="1056" spans="1:1" ht="9.75" customHeight="1">
      <c r="A1056" s="101"/>
    </row>
    <row r="1057" spans="1:1" ht="9.75" customHeight="1">
      <c r="A1057" s="101"/>
    </row>
    <row r="1058" spans="1:1" ht="9.75" customHeight="1">
      <c r="A1058" s="101"/>
    </row>
    <row r="1059" spans="1:1" ht="9.75" customHeight="1">
      <c r="A1059" s="101"/>
    </row>
    <row r="1060" spans="1:1" ht="9.75" customHeight="1">
      <c r="A1060" s="101"/>
    </row>
    <row r="1061" spans="1:1" ht="9.75" customHeight="1">
      <c r="A1061" s="101"/>
    </row>
    <row r="1062" spans="1:1" ht="9.75" customHeight="1">
      <c r="A1062" s="101"/>
    </row>
    <row r="1063" spans="1:1" ht="9.75" customHeight="1">
      <c r="A1063" s="101"/>
    </row>
    <row r="1064" spans="1:1" ht="9.75" customHeight="1">
      <c r="A1064" s="101"/>
    </row>
    <row r="1065" spans="1:1" ht="9.75" customHeight="1">
      <c r="A1065" s="101"/>
    </row>
    <row r="1066" spans="1:1" ht="9.75" customHeight="1">
      <c r="A1066" s="101"/>
    </row>
    <row r="1067" spans="1:1" ht="9.75" customHeight="1">
      <c r="A1067" s="101"/>
    </row>
    <row r="1068" spans="1:1" ht="9.75" customHeight="1">
      <c r="A1068" s="101"/>
    </row>
    <row r="1069" spans="1:1" ht="9.75" customHeight="1">
      <c r="A1069" s="101"/>
    </row>
    <row r="1070" spans="1:1" ht="9.75" customHeight="1">
      <c r="A1070" s="101"/>
    </row>
    <row r="1071" spans="1:1" ht="9.75" customHeight="1">
      <c r="A1071" s="101"/>
    </row>
    <row r="1072" spans="1:1" ht="9.75" customHeight="1">
      <c r="A1072" s="101"/>
    </row>
    <row r="1073" spans="1:1" ht="9.75" customHeight="1">
      <c r="A1073" s="101"/>
    </row>
    <row r="1074" spans="1:1" ht="9.75" customHeight="1">
      <c r="A1074" s="101"/>
    </row>
    <row r="1075" spans="1:1" ht="9.75" customHeight="1">
      <c r="A1075" s="101"/>
    </row>
    <row r="1076" spans="1:1" ht="9.75" customHeight="1">
      <c r="A1076" s="101"/>
    </row>
    <row r="1077" spans="1:1" ht="9.75" customHeight="1">
      <c r="A1077" s="101"/>
    </row>
    <row r="1078" spans="1:1" ht="9.75" customHeight="1">
      <c r="A1078" s="101"/>
    </row>
    <row r="1079" spans="1:1" ht="9.75" customHeight="1">
      <c r="A1079" s="101"/>
    </row>
    <row r="1080" spans="1:1" ht="9.75" customHeight="1">
      <c r="A1080" s="101"/>
    </row>
    <row r="1081" spans="1:1" ht="9.75" customHeight="1">
      <c r="A1081" s="101"/>
    </row>
    <row r="1082" spans="1:1" ht="9.75" customHeight="1">
      <c r="A1082" s="101"/>
    </row>
    <row r="1083" spans="1:1" ht="9.75" customHeight="1">
      <c r="A1083" s="101"/>
    </row>
    <row r="1084" spans="1:1" ht="9.75" customHeight="1">
      <c r="A1084" s="101"/>
    </row>
    <row r="1085" spans="1:1" ht="9.75" customHeight="1">
      <c r="A1085" s="101"/>
    </row>
    <row r="1086" spans="1:1" ht="9.75" customHeight="1">
      <c r="A1086" s="101"/>
    </row>
    <row r="1087" spans="1:1" ht="9.75" customHeight="1">
      <c r="A1087" s="101"/>
    </row>
    <row r="1088" spans="1:1" ht="9.75" customHeight="1">
      <c r="A1088" s="101"/>
    </row>
    <row r="1089" spans="1:1" ht="9.75" customHeight="1">
      <c r="A1089" s="101"/>
    </row>
    <row r="1090" spans="1:1" ht="9.75" customHeight="1">
      <c r="A1090" s="101"/>
    </row>
    <row r="1091" spans="1:1" ht="9.75" customHeight="1">
      <c r="A1091" s="101"/>
    </row>
    <row r="1092" spans="1:1" ht="9.75" customHeight="1">
      <c r="A1092" s="101"/>
    </row>
    <row r="1093" spans="1:1" ht="9.75" customHeight="1">
      <c r="A1093" s="101"/>
    </row>
    <row r="1094" spans="1:1" ht="9.75" customHeight="1">
      <c r="A1094" s="101"/>
    </row>
    <row r="1095" spans="1:1" ht="9.75" customHeight="1">
      <c r="A1095" s="101"/>
    </row>
    <row r="1096" spans="1:1" ht="9.75" customHeight="1">
      <c r="A1096" s="101"/>
    </row>
    <row r="1097" spans="1:1" ht="9.75" customHeight="1">
      <c r="A1097" s="101"/>
    </row>
    <row r="1098" spans="1:1" ht="9.75" customHeight="1">
      <c r="A1098" s="101"/>
    </row>
    <row r="1099" spans="1:1" ht="9.75" customHeight="1">
      <c r="A1099" s="101"/>
    </row>
    <row r="1100" spans="1:1" ht="9.75" customHeight="1">
      <c r="A1100" s="101"/>
    </row>
    <row r="1101" spans="1:1" ht="9.75" customHeight="1">
      <c r="A1101" s="101"/>
    </row>
    <row r="1102" spans="1:1" ht="9.75" customHeight="1">
      <c r="A1102" s="101"/>
    </row>
    <row r="1103" spans="1:1" ht="9.75" customHeight="1">
      <c r="A1103" s="101"/>
    </row>
    <row r="1104" spans="1:1" ht="9.75" customHeight="1">
      <c r="A1104" s="101"/>
    </row>
    <row r="1105" spans="1:1" ht="9.75" customHeight="1">
      <c r="A1105" s="101"/>
    </row>
    <row r="1106" spans="1:1" ht="9.75" customHeight="1">
      <c r="A1106" s="101"/>
    </row>
    <row r="1107" spans="1:1" ht="9.75" customHeight="1">
      <c r="A1107" s="101"/>
    </row>
    <row r="1108" spans="1:1" ht="9.75" customHeight="1">
      <c r="A1108" s="101"/>
    </row>
    <row r="1109" spans="1:1" ht="9.75" customHeight="1">
      <c r="A1109" s="101"/>
    </row>
    <row r="1110" spans="1:1" ht="9.75" customHeight="1">
      <c r="A1110" s="101"/>
    </row>
    <row r="1111" spans="1:1" ht="9.75" customHeight="1">
      <c r="A1111" s="101"/>
    </row>
    <row r="1112" spans="1:1" ht="9.75" customHeight="1">
      <c r="A1112" s="101"/>
    </row>
    <row r="1113" spans="1:1" ht="9.75" customHeight="1">
      <c r="A1113" s="101"/>
    </row>
    <row r="1114" spans="1:1" ht="9.75" customHeight="1">
      <c r="A1114" s="101"/>
    </row>
    <row r="1115" spans="1:1" ht="9.75" customHeight="1">
      <c r="A1115" s="101"/>
    </row>
    <row r="1116" spans="1:1" ht="9.75" customHeight="1">
      <c r="A1116" s="101"/>
    </row>
    <row r="1117" spans="1:1" ht="9.75" customHeight="1">
      <c r="A1117" s="101"/>
    </row>
    <row r="1118" spans="1:1" ht="9.75" customHeight="1">
      <c r="A1118" s="101"/>
    </row>
    <row r="1119" spans="1:1" ht="9.75" customHeight="1">
      <c r="A1119" s="101"/>
    </row>
    <row r="1120" spans="1:1" ht="9.75" customHeight="1">
      <c r="A1120" s="101"/>
    </row>
    <row r="1121" spans="1:1" ht="9.75" customHeight="1">
      <c r="A1121" s="101"/>
    </row>
    <row r="1122" spans="1:1" ht="9.75" customHeight="1">
      <c r="A1122" s="101"/>
    </row>
    <row r="1123" spans="1:1" ht="9.75" customHeight="1">
      <c r="A1123" s="101"/>
    </row>
    <row r="1124" spans="1:1" ht="9.75" customHeight="1">
      <c r="A1124" s="101"/>
    </row>
    <row r="1125" spans="1:1" ht="9.75" customHeight="1">
      <c r="A1125" s="101"/>
    </row>
    <row r="1126" spans="1:1" ht="9.75" customHeight="1">
      <c r="A1126" s="101"/>
    </row>
    <row r="1127" spans="1:1" ht="9.75" customHeight="1">
      <c r="A1127" s="101"/>
    </row>
    <row r="1128" spans="1:1" ht="9.75" customHeight="1">
      <c r="A1128" s="101"/>
    </row>
    <row r="1129" spans="1:1" ht="9.75" customHeight="1">
      <c r="A1129" s="101"/>
    </row>
    <row r="1130" spans="1:1" ht="9.75" customHeight="1">
      <c r="A1130" s="101"/>
    </row>
    <row r="1131" spans="1:1" ht="9.75" customHeight="1">
      <c r="A1131" s="101"/>
    </row>
    <row r="1132" spans="1:1" ht="9.75" customHeight="1">
      <c r="A1132" s="101"/>
    </row>
    <row r="1133" spans="1:1" ht="9.75" customHeight="1">
      <c r="A1133" s="101"/>
    </row>
    <row r="1134" spans="1:1" ht="9.75" customHeight="1">
      <c r="A1134" s="101"/>
    </row>
    <row r="1135" spans="1:1" ht="9.75" customHeight="1">
      <c r="A1135" s="101"/>
    </row>
    <row r="1136" spans="1:1" ht="9.75" customHeight="1">
      <c r="A1136" s="101"/>
    </row>
    <row r="1137" spans="1:1" ht="9.75" customHeight="1">
      <c r="A1137" s="101"/>
    </row>
    <row r="1138" spans="1:1" ht="9.75" customHeight="1">
      <c r="A1138" s="101"/>
    </row>
    <row r="1139" spans="1:1" ht="9.75" customHeight="1">
      <c r="A1139" s="101"/>
    </row>
    <row r="1140" spans="1:1" ht="9.75" customHeight="1">
      <c r="A1140" s="101"/>
    </row>
    <row r="1141" spans="1:1" ht="9.75" customHeight="1">
      <c r="A1141" s="101"/>
    </row>
    <row r="1142" spans="1:1" ht="9.75" customHeight="1">
      <c r="A1142" s="101"/>
    </row>
    <row r="1143" spans="1:1" ht="9.75" customHeight="1">
      <c r="A1143" s="101"/>
    </row>
    <row r="1144" spans="1:1" ht="9.75" customHeight="1">
      <c r="A1144" s="101"/>
    </row>
    <row r="1145" spans="1:1" ht="9.75" customHeight="1">
      <c r="A1145" s="101"/>
    </row>
    <row r="1146" spans="1:1" ht="9.75" customHeight="1">
      <c r="A1146" s="101"/>
    </row>
    <row r="1147" spans="1:1" ht="9.75" customHeight="1">
      <c r="A1147" s="101"/>
    </row>
    <row r="1148" spans="1:1" ht="9.75" customHeight="1">
      <c r="A1148" s="101"/>
    </row>
    <row r="1149" spans="1:1" ht="9.75" customHeight="1">
      <c r="A1149" s="101"/>
    </row>
    <row r="1150" spans="1:1" ht="9.75" customHeight="1">
      <c r="A1150" s="101"/>
    </row>
    <row r="1151" spans="1:1" ht="9.75" customHeight="1">
      <c r="A1151" s="101"/>
    </row>
    <row r="1152" spans="1:1" ht="9.75" customHeight="1">
      <c r="A1152" s="101"/>
    </row>
    <row r="1153" spans="1:1" ht="9.75" customHeight="1">
      <c r="A1153" s="101"/>
    </row>
    <row r="1154" spans="1:1" ht="9.75" customHeight="1">
      <c r="A1154" s="101"/>
    </row>
    <row r="1155" spans="1:1" ht="9.75" customHeight="1">
      <c r="A1155" s="101"/>
    </row>
    <row r="1156" spans="1:1" ht="9.75" customHeight="1">
      <c r="A1156" s="101"/>
    </row>
    <row r="1157" spans="1:1" ht="9.75" customHeight="1">
      <c r="A1157" s="101"/>
    </row>
    <row r="1158" spans="1:1" ht="9.75" customHeight="1">
      <c r="A1158" s="101"/>
    </row>
    <row r="1159" spans="1:1" ht="9.75" customHeight="1">
      <c r="A1159" s="101"/>
    </row>
    <row r="1160" spans="1:1" ht="9.75" customHeight="1">
      <c r="A1160" s="101"/>
    </row>
    <row r="1161" spans="1:1" ht="9.75" customHeight="1">
      <c r="A1161" s="101"/>
    </row>
    <row r="1162" spans="1:1" ht="9.75" customHeight="1">
      <c r="A1162" s="101"/>
    </row>
    <row r="1163" spans="1:1" ht="9.75" customHeight="1">
      <c r="A1163" s="101"/>
    </row>
    <row r="1164" spans="1:1" ht="9.75" customHeight="1">
      <c r="A1164" s="101"/>
    </row>
    <row r="1165" spans="1:1" ht="9.75" customHeight="1">
      <c r="A1165" s="101"/>
    </row>
    <row r="1166" spans="1:1" ht="9.75" customHeight="1">
      <c r="A1166" s="101"/>
    </row>
    <row r="1167" spans="1:1" ht="9.75" customHeight="1">
      <c r="A1167" s="101"/>
    </row>
    <row r="1168" spans="1:1" ht="9.75" customHeight="1">
      <c r="A1168" s="101"/>
    </row>
    <row r="1169" spans="1:1" ht="9.75" customHeight="1">
      <c r="A1169" s="101"/>
    </row>
    <row r="1170" spans="1:1" ht="9.75" customHeight="1">
      <c r="A1170" s="101"/>
    </row>
    <row r="1171" spans="1:1" ht="9.75" customHeight="1">
      <c r="A1171" s="101"/>
    </row>
    <row r="1172" spans="1:1" ht="9.75" customHeight="1">
      <c r="A1172" s="101"/>
    </row>
    <row r="1173" spans="1:1" ht="9.75" customHeight="1">
      <c r="A1173" s="101"/>
    </row>
    <row r="1174" spans="1:1" ht="9.75" customHeight="1">
      <c r="A1174" s="101"/>
    </row>
    <row r="1175" spans="1:1" ht="9.75" customHeight="1">
      <c r="A1175" s="101"/>
    </row>
    <row r="1176" spans="1:1" ht="9.75" customHeight="1">
      <c r="A1176" s="101"/>
    </row>
    <row r="1177" spans="1:1" ht="9.75" customHeight="1">
      <c r="A1177" s="101"/>
    </row>
    <row r="1178" spans="1:1" ht="9.75" customHeight="1">
      <c r="A1178" s="101"/>
    </row>
    <row r="1179" spans="1:1" ht="9.75" customHeight="1">
      <c r="A1179" s="101"/>
    </row>
    <row r="1180" spans="1:1" ht="9.75" customHeight="1">
      <c r="A1180" s="101"/>
    </row>
    <row r="1181" spans="1:1" ht="9.75" customHeight="1">
      <c r="A1181" s="101"/>
    </row>
    <row r="1182" spans="1:1" ht="9.75" customHeight="1">
      <c r="A1182" s="101"/>
    </row>
    <row r="1183" spans="1:1" ht="9.75" customHeight="1">
      <c r="A1183" s="101"/>
    </row>
    <row r="1184" spans="1:1" ht="9.75" customHeight="1">
      <c r="A1184" s="101"/>
    </row>
    <row r="1185" spans="1:1" ht="9.75" customHeight="1">
      <c r="A1185" s="101"/>
    </row>
    <row r="1186" spans="1:1" ht="9.75" customHeight="1">
      <c r="A1186" s="101"/>
    </row>
    <row r="1187" spans="1:1" ht="9.75" customHeight="1">
      <c r="A1187" s="101"/>
    </row>
    <row r="1188" spans="1:1" ht="9.75" customHeight="1">
      <c r="A1188" s="101"/>
    </row>
    <row r="1189" spans="1:1" ht="9.75" customHeight="1">
      <c r="A1189" s="101"/>
    </row>
    <row r="1190" spans="1:1" ht="9.75" customHeight="1">
      <c r="A1190" s="101"/>
    </row>
    <row r="1191" spans="1:1" ht="9.75" customHeight="1">
      <c r="A1191" s="101"/>
    </row>
    <row r="1192" spans="1:1" ht="9.75" customHeight="1">
      <c r="A1192" s="101"/>
    </row>
    <row r="1193" spans="1:1" ht="9.75" customHeight="1">
      <c r="A1193" s="101"/>
    </row>
    <row r="1194" spans="1:1" ht="9.75" customHeight="1">
      <c r="A1194" s="101"/>
    </row>
    <row r="1195" spans="1:1" ht="9.75" customHeight="1">
      <c r="A1195" s="101"/>
    </row>
    <row r="1196" spans="1:1" ht="9.75" customHeight="1">
      <c r="A1196" s="101"/>
    </row>
    <row r="1197" spans="1:1" ht="9.75" customHeight="1">
      <c r="A1197" s="101"/>
    </row>
    <row r="1198" spans="1:1" ht="9.75" customHeight="1">
      <c r="A1198" s="101"/>
    </row>
    <row r="1199" spans="1:1" ht="9.75" customHeight="1">
      <c r="A1199" s="101"/>
    </row>
    <row r="1200" spans="1:1" ht="9.75" customHeight="1">
      <c r="A1200" s="101"/>
    </row>
    <row r="1201" spans="1:1" ht="9.75" customHeight="1">
      <c r="A1201" s="101"/>
    </row>
    <row r="1202" spans="1:1" ht="9.75" customHeight="1">
      <c r="A1202" s="101"/>
    </row>
    <row r="1203" spans="1:1" ht="9.75" customHeight="1">
      <c r="A1203" s="101"/>
    </row>
    <row r="1204" spans="1:1" ht="9.75" customHeight="1">
      <c r="A1204" s="101"/>
    </row>
    <row r="1205" spans="1:1" ht="9.75" customHeight="1">
      <c r="A1205" s="101"/>
    </row>
    <row r="1206" spans="1:1" ht="9.75" customHeight="1">
      <c r="A1206" s="101"/>
    </row>
    <row r="1207" spans="1:1" ht="9.75" customHeight="1">
      <c r="A1207" s="101"/>
    </row>
    <row r="1208" spans="1:1" ht="9.75" customHeight="1">
      <c r="A1208" s="101"/>
    </row>
    <row r="1209" spans="1:1" ht="9.75" customHeight="1">
      <c r="A1209" s="101"/>
    </row>
    <row r="1210" spans="1:1" ht="9.75" customHeight="1">
      <c r="A1210" s="101"/>
    </row>
    <row r="1211" spans="1:1" ht="9.75" customHeight="1">
      <c r="A1211" s="101"/>
    </row>
    <row r="1212" spans="1:1" ht="9.75" customHeight="1">
      <c r="A1212" s="101"/>
    </row>
    <row r="1213" spans="1:1" ht="9.75" customHeight="1">
      <c r="A1213" s="101"/>
    </row>
    <row r="1214" spans="1:1" ht="9.75" customHeight="1">
      <c r="A1214" s="101"/>
    </row>
    <row r="1215" spans="1:1" ht="9.75" customHeight="1">
      <c r="A1215" s="101"/>
    </row>
    <row r="1216" spans="1:1" ht="9.75" customHeight="1">
      <c r="A1216" s="101"/>
    </row>
    <row r="1217" spans="1:1" ht="9.75" customHeight="1">
      <c r="A1217" s="101"/>
    </row>
    <row r="1218" spans="1:1" ht="9.75" customHeight="1">
      <c r="A1218" s="101"/>
    </row>
    <row r="1219" spans="1:1" ht="9.75" customHeight="1">
      <c r="A1219" s="101"/>
    </row>
    <row r="1220" spans="1:1" ht="9.75" customHeight="1">
      <c r="A1220" s="101"/>
    </row>
    <row r="1221" spans="1:1" ht="9.75" customHeight="1">
      <c r="A1221" s="101"/>
    </row>
    <row r="1222" spans="1:1" ht="9.75" customHeight="1">
      <c r="A1222" s="101"/>
    </row>
    <row r="1223" spans="1:1" ht="9.75" customHeight="1">
      <c r="A1223" s="101"/>
    </row>
    <row r="1224" spans="1:1" ht="9.75" customHeight="1">
      <c r="A1224" s="101"/>
    </row>
    <row r="1225" spans="1:1" ht="9.75" customHeight="1">
      <c r="A1225" s="101"/>
    </row>
    <row r="1226" spans="1:1" ht="9.75" customHeight="1">
      <c r="A1226" s="101"/>
    </row>
    <row r="1227" spans="1:1" ht="9.75" customHeight="1">
      <c r="A1227" s="101"/>
    </row>
    <row r="1228" spans="1:1" ht="9.75" customHeight="1">
      <c r="A1228" s="101"/>
    </row>
    <row r="1229" spans="1:1" ht="9.75" customHeight="1">
      <c r="A1229" s="101"/>
    </row>
    <row r="1230" spans="1:1" ht="9.75" customHeight="1">
      <c r="A1230" s="101"/>
    </row>
    <row r="1231" spans="1:1" ht="9.75" customHeight="1">
      <c r="A1231" s="101"/>
    </row>
    <row r="1232" spans="1:1" ht="9.75" customHeight="1">
      <c r="A1232" s="101"/>
    </row>
    <row r="1233" spans="1:1" ht="9.75" customHeight="1">
      <c r="A1233" s="101"/>
    </row>
    <row r="1234" spans="1:1" ht="9.75" customHeight="1">
      <c r="A1234" s="101"/>
    </row>
    <row r="1235" spans="1:1" ht="9.75" customHeight="1">
      <c r="A1235" s="101"/>
    </row>
    <row r="1236" spans="1:1" ht="9.75" customHeight="1">
      <c r="A1236" s="101"/>
    </row>
    <row r="1237" spans="1:1" ht="9.75" customHeight="1">
      <c r="A1237" s="101"/>
    </row>
    <row r="1238" spans="1:1" ht="9.75" customHeight="1">
      <c r="A1238" s="101"/>
    </row>
    <row r="1239" spans="1:1" ht="9.75" customHeight="1">
      <c r="A1239" s="101"/>
    </row>
    <row r="1240" spans="1:1" ht="9.75" customHeight="1">
      <c r="A1240" s="101"/>
    </row>
    <row r="1241" spans="1:1" ht="9.75" customHeight="1">
      <c r="A1241" s="101"/>
    </row>
    <row r="1242" spans="1:1" ht="9.75" customHeight="1">
      <c r="A1242" s="101"/>
    </row>
    <row r="1243" spans="1:1" ht="9.75" customHeight="1">
      <c r="A1243" s="101"/>
    </row>
    <row r="1244" spans="1:1" ht="9.75" customHeight="1">
      <c r="A1244" s="101"/>
    </row>
    <row r="1245" spans="1:1" ht="9.75" customHeight="1">
      <c r="A1245" s="101"/>
    </row>
    <row r="1246" spans="1:1" ht="9.75" customHeight="1">
      <c r="A1246" s="101"/>
    </row>
    <row r="1247" spans="1:1" ht="9.75" customHeight="1">
      <c r="A1247" s="101"/>
    </row>
    <row r="1248" spans="1:1" ht="9.75" customHeight="1">
      <c r="A1248" s="101"/>
    </row>
    <row r="1249" spans="1:1" ht="9.75" customHeight="1">
      <c r="A1249" s="101"/>
    </row>
    <row r="1250" spans="1:1" ht="9.75" customHeight="1">
      <c r="A1250" s="101"/>
    </row>
    <row r="1251" spans="1:1" ht="9.75" customHeight="1">
      <c r="A1251" s="101"/>
    </row>
    <row r="1252" spans="1:1" ht="9.75" customHeight="1">
      <c r="A1252" s="101"/>
    </row>
    <row r="1253" spans="1:1" ht="9.75" customHeight="1">
      <c r="A1253" s="101"/>
    </row>
    <row r="1254" spans="1:1" ht="9.75" customHeight="1">
      <c r="A1254" s="101"/>
    </row>
    <row r="1255" spans="1:1" ht="9.75" customHeight="1">
      <c r="A1255" s="101"/>
    </row>
    <row r="1256" spans="1:1" ht="9.75" customHeight="1">
      <c r="A1256" s="101"/>
    </row>
    <row r="1257" spans="1:1" ht="9.75" customHeight="1">
      <c r="A1257" s="101"/>
    </row>
    <row r="1258" spans="1:1" ht="9.75" customHeight="1">
      <c r="A1258" s="101"/>
    </row>
    <row r="1259" spans="1:1" ht="9.75" customHeight="1">
      <c r="A1259" s="101"/>
    </row>
    <row r="1260" spans="1:1" ht="9.75" customHeight="1">
      <c r="A1260" s="101"/>
    </row>
    <row r="1261" spans="1:1" ht="9.75" customHeight="1">
      <c r="A1261" s="101"/>
    </row>
    <row r="1262" spans="1:1" ht="9.75" customHeight="1">
      <c r="A1262" s="101"/>
    </row>
    <row r="1263" spans="1:1" ht="9.75" customHeight="1">
      <c r="A1263" s="101"/>
    </row>
    <row r="1264" spans="1:1" ht="9.75" customHeight="1">
      <c r="A1264" s="101"/>
    </row>
    <row r="1265" spans="1:1" ht="9.75" customHeight="1">
      <c r="A1265" s="101"/>
    </row>
    <row r="1266" spans="1:1" ht="9.75" customHeight="1">
      <c r="A1266" s="101"/>
    </row>
    <row r="1267" spans="1:1" ht="9.75" customHeight="1">
      <c r="A1267" s="101"/>
    </row>
    <row r="1268" spans="1:1" ht="9.75" customHeight="1">
      <c r="A1268" s="101"/>
    </row>
    <row r="1269" spans="1:1" ht="9.75" customHeight="1">
      <c r="A1269" s="101"/>
    </row>
    <row r="1270" spans="1:1" ht="9.75" customHeight="1">
      <c r="A1270" s="101"/>
    </row>
    <row r="1271" spans="1:1" ht="9.75" customHeight="1">
      <c r="A1271" s="101"/>
    </row>
    <row r="1272" spans="1:1" ht="9.75" customHeight="1">
      <c r="A1272" s="101"/>
    </row>
    <row r="1273" spans="1:1" ht="9.75" customHeight="1">
      <c r="A1273" s="101"/>
    </row>
    <row r="1274" spans="1:1" ht="9.75" customHeight="1">
      <c r="A1274" s="101"/>
    </row>
    <row r="1275" spans="1:1" ht="9.75" customHeight="1">
      <c r="A1275" s="101"/>
    </row>
    <row r="1276" spans="1:1" ht="9.75" customHeight="1">
      <c r="A1276" s="101"/>
    </row>
    <row r="1277" spans="1:1" ht="9.75" customHeight="1">
      <c r="A1277" s="101"/>
    </row>
    <row r="1278" spans="1:1" ht="9.75" customHeight="1">
      <c r="A1278" s="101"/>
    </row>
    <row r="1279" spans="1:1" ht="9.75" customHeight="1">
      <c r="A1279" s="101"/>
    </row>
    <row r="1280" spans="1:1" ht="9.75" customHeight="1">
      <c r="A1280" s="101"/>
    </row>
    <row r="1281" spans="1:1" ht="9.75" customHeight="1">
      <c r="A1281" s="101"/>
    </row>
    <row r="1282" spans="1:1" ht="9.75" customHeight="1">
      <c r="A1282" s="101"/>
    </row>
    <row r="1283" spans="1:1" ht="9.75" customHeight="1">
      <c r="A1283" s="101"/>
    </row>
    <row r="1284" spans="1:1" ht="9.75" customHeight="1">
      <c r="A1284" s="101"/>
    </row>
    <row r="1285" spans="1:1" ht="9.75" customHeight="1">
      <c r="A1285" s="101"/>
    </row>
    <row r="1286" spans="1:1" ht="9.75" customHeight="1">
      <c r="A1286" s="101"/>
    </row>
    <row r="1287" spans="1:1" ht="9.75" customHeight="1">
      <c r="A1287" s="101"/>
    </row>
    <row r="1288" spans="1:1" ht="9.75" customHeight="1">
      <c r="A1288" s="101"/>
    </row>
    <row r="1289" spans="1:1" ht="9.75" customHeight="1">
      <c r="A1289" s="101"/>
    </row>
    <row r="1290" spans="1:1" ht="9.75" customHeight="1">
      <c r="A1290" s="101"/>
    </row>
    <row r="1291" spans="1:1" ht="9.75" customHeight="1">
      <c r="A1291" s="101"/>
    </row>
    <row r="1292" spans="1:1" ht="9.75" customHeight="1">
      <c r="A1292" s="101"/>
    </row>
    <row r="1293" spans="1:1" ht="9.75" customHeight="1">
      <c r="A1293" s="101"/>
    </row>
    <row r="1294" spans="1:1" ht="9.75" customHeight="1">
      <c r="A1294" s="101"/>
    </row>
    <row r="1295" spans="1:1" ht="9.75" customHeight="1">
      <c r="A1295" s="101"/>
    </row>
    <row r="1296" spans="1:1" ht="9.75" customHeight="1">
      <c r="A1296" s="101"/>
    </row>
    <row r="1297" spans="1:1" ht="9.75" customHeight="1">
      <c r="A1297" s="101"/>
    </row>
    <row r="1298" spans="1:1" ht="9.75" customHeight="1">
      <c r="A1298" s="101"/>
    </row>
    <row r="1299" spans="1:1" ht="9.75" customHeight="1">
      <c r="A1299" s="101"/>
    </row>
    <row r="1300" spans="1:1" ht="9.75" customHeight="1">
      <c r="A1300" s="101"/>
    </row>
    <row r="1301" spans="1:1" ht="9.75" customHeight="1">
      <c r="A1301" s="101"/>
    </row>
    <row r="1302" spans="1:1" ht="9.75" customHeight="1">
      <c r="A1302" s="101"/>
    </row>
    <row r="1303" spans="1:1" ht="9.75" customHeight="1">
      <c r="A1303" s="101"/>
    </row>
    <row r="1304" spans="1:1" ht="9.75" customHeight="1">
      <c r="A1304" s="101"/>
    </row>
    <row r="1305" spans="1:1" ht="9.75" customHeight="1">
      <c r="A1305" s="101"/>
    </row>
    <row r="1306" spans="1:1" ht="9.75" customHeight="1">
      <c r="A1306" s="101"/>
    </row>
    <row r="1307" spans="1:1" ht="9.75" customHeight="1">
      <c r="A1307" s="101"/>
    </row>
    <row r="1308" spans="1:1" ht="9.75" customHeight="1">
      <c r="A1308" s="101"/>
    </row>
    <row r="1309" spans="1:1" ht="9.75" customHeight="1">
      <c r="A1309" s="101"/>
    </row>
    <row r="1310" spans="1:1" ht="9.75" customHeight="1">
      <c r="A1310" s="101"/>
    </row>
    <row r="1311" spans="1:1" ht="9.75" customHeight="1">
      <c r="A1311" s="101"/>
    </row>
    <row r="1312" spans="1:1" ht="9.75" customHeight="1">
      <c r="A1312" s="101"/>
    </row>
    <row r="1313" spans="1:1" ht="9.75" customHeight="1">
      <c r="A1313" s="101"/>
    </row>
    <row r="1314" spans="1:1" ht="9.75" customHeight="1">
      <c r="A1314" s="101"/>
    </row>
    <row r="1315" spans="1:1" ht="9.75" customHeight="1">
      <c r="A1315" s="101"/>
    </row>
    <row r="1316" spans="1:1" ht="9.75" customHeight="1">
      <c r="A1316" s="101"/>
    </row>
    <row r="1317" spans="1:1" ht="9.75" customHeight="1">
      <c r="A1317" s="101"/>
    </row>
    <row r="1318" spans="1:1" ht="9.75" customHeight="1">
      <c r="A1318" s="101"/>
    </row>
    <row r="1319" spans="1:1" ht="9.75" customHeight="1">
      <c r="A1319" s="101"/>
    </row>
    <row r="1320" spans="1:1" ht="9.75" customHeight="1">
      <c r="A1320" s="101"/>
    </row>
    <row r="1321" spans="1:1" ht="9.75" customHeight="1">
      <c r="A1321" s="101"/>
    </row>
    <row r="1322" spans="1:1" ht="9.75" customHeight="1">
      <c r="A1322" s="101"/>
    </row>
    <row r="1323" spans="1:1" ht="9.75" customHeight="1">
      <c r="A1323" s="101"/>
    </row>
    <row r="1324" spans="1:1" ht="9.75" customHeight="1">
      <c r="A1324" s="101"/>
    </row>
    <row r="1325" spans="1:1" ht="9.75" customHeight="1">
      <c r="A1325" s="101"/>
    </row>
    <row r="1326" spans="1:1" ht="9.75" customHeight="1">
      <c r="A1326" s="101"/>
    </row>
    <row r="1327" spans="1:1" ht="9.75" customHeight="1">
      <c r="A1327" s="101"/>
    </row>
    <row r="1328" spans="1:1" ht="9.75" customHeight="1">
      <c r="A1328" s="101"/>
    </row>
    <row r="1329" spans="1:1" ht="9.75" customHeight="1">
      <c r="A1329" s="101"/>
    </row>
    <row r="1330" spans="1:1" ht="9.75" customHeight="1">
      <c r="A1330" s="101"/>
    </row>
    <row r="1331" spans="1:1" ht="9.75" customHeight="1">
      <c r="A1331" s="101"/>
    </row>
    <row r="1332" spans="1:1" ht="9.75" customHeight="1">
      <c r="A1332" s="101"/>
    </row>
    <row r="1333" spans="1:1" ht="9.75" customHeight="1">
      <c r="A1333" s="101"/>
    </row>
    <row r="1334" spans="1:1" ht="9.75" customHeight="1">
      <c r="A1334" s="101"/>
    </row>
    <row r="1335" spans="1:1" ht="9.75" customHeight="1">
      <c r="A1335" s="101"/>
    </row>
    <row r="1336" spans="1:1" ht="9.75" customHeight="1">
      <c r="A1336" s="101"/>
    </row>
    <row r="1337" spans="1:1" ht="9.75" customHeight="1">
      <c r="A1337" s="101"/>
    </row>
    <row r="1338" spans="1:1" ht="9.75" customHeight="1">
      <c r="A1338" s="101"/>
    </row>
    <row r="1339" spans="1:1" ht="9.75" customHeight="1">
      <c r="A1339" s="101"/>
    </row>
    <row r="1340" spans="1:1" ht="9.75" customHeight="1">
      <c r="A1340" s="101"/>
    </row>
    <row r="1341" spans="1:1" ht="9.75" customHeight="1">
      <c r="A1341" s="101"/>
    </row>
    <row r="1342" spans="1:1" ht="9.75" customHeight="1">
      <c r="A1342" s="101"/>
    </row>
    <row r="1343" spans="1:1" ht="9.75" customHeight="1">
      <c r="A1343" s="101"/>
    </row>
    <row r="1344" spans="1:1" ht="9.75" customHeight="1">
      <c r="A1344" s="101"/>
    </row>
    <row r="1345" spans="1:1" ht="9.75" customHeight="1">
      <c r="A1345" s="101"/>
    </row>
    <row r="1346" spans="1:1" ht="9.75" customHeight="1">
      <c r="A1346" s="101"/>
    </row>
    <row r="1347" spans="1:1" ht="9.75" customHeight="1">
      <c r="A1347" s="101"/>
    </row>
    <row r="1348" spans="1:1" ht="9.75" customHeight="1">
      <c r="A1348" s="101"/>
    </row>
    <row r="1349" spans="1:1" ht="9.75" customHeight="1">
      <c r="A1349" s="101"/>
    </row>
    <row r="1350" spans="1:1" ht="9.75" customHeight="1">
      <c r="A1350" s="101"/>
    </row>
    <row r="1351" spans="1:1" ht="9.75" customHeight="1">
      <c r="A1351" s="101"/>
    </row>
    <row r="1352" spans="1:1" ht="9.75" customHeight="1">
      <c r="A1352" s="101"/>
    </row>
    <row r="1353" spans="1:1" ht="9.75" customHeight="1">
      <c r="A1353" s="101"/>
    </row>
    <row r="1354" spans="1:1" ht="9.75" customHeight="1">
      <c r="A1354" s="101"/>
    </row>
    <row r="1355" spans="1:1" ht="9.75" customHeight="1">
      <c r="A1355" s="101"/>
    </row>
    <row r="1356" spans="1:1" ht="9.75" customHeight="1">
      <c r="A1356" s="101"/>
    </row>
    <row r="1357" spans="1:1" ht="9.75" customHeight="1">
      <c r="A1357" s="101"/>
    </row>
    <row r="1358" spans="1:1" ht="9.75" customHeight="1">
      <c r="A1358" s="101"/>
    </row>
    <row r="1359" spans="1:1" ht="9.75" customHeight="1">
      <c r="A1359" s="101"/>
    </row>
    <row r="1360" spans="1:1" ht="9.75" customHeight="1">
      <c r="A1360" s="101"/>
    </row>
    <row r="1361" spans="1:1" ht="9.75" customHeight="1">
      <c r="A1361" s="101"/>
    </row>
    <row r="1362" spans="1:1" ht="9.75" customHeight="1">
      <c r="A1362" s="101"/>
    </row>
    <row r="1363" spans="1:1" ht="9.75" customHeight="1">
      <c r="A1363" s="101"/>
    </row>
    <row r="1364" spans="1:1" ht="9.75" customHeight="1">
      <c r="A1364" s="101"/>
    </row>
    <row r="1365" spans="1:1" ht="9.75" customHeight="1">
      <c r="A1365" s="101"/>
    </row>
    <row r="1366" spans="1:1" ht="9.75" customHeight="1">
      <c r="A1366" s="101"/>
    </row>
    <row r="1367" spans="1:1" ht="9.75" customHeight="1">
      <c r="A1367" s="101"/>
    </row>
    <row r="1368" spans="1:1" ht="9.75" customHeight="1">
      <c r="A1368" s="101"/>
    </row>
    <row r="1369" spans="1:1" ht="9.75" customHeight="1">
      <c r="A1369" s="101"/>
    </row>
    <row r="1370" spans="1:1" ht="9.75" customHeight="1">
      <c r="A1370" s="101"/>
    </row>
    <row r="1371" spans="1:1" ht="9.75" customHeight="1">
      <c r="A1371" s="101"/>
    </row>
    <row r="1372" spans="1:1" ht="9.75" customHeight="1">
      <c r="A1372" s="101"/>
    </row>
    <row r="1373" spans="1:1" ht="9.75" customHeight="1">
      <c r="A1373" s="101"/>
    </row>
    <row r="1374" spans="1:1" ht="9.75" customHeight="1">
      <c r="A1374" s="101"/>
    </row>
    <row r="1375" spans="1:1" ht="9.75" customHeight="1">
      <c r="A1375" s="101"/>
    </row>
    <row r="1376" spans="1:1" ht="9.75" customHeight="1">
      <c r="A1376" s="101"/>
    </row>
    <row r="1377" spans="1:1" ht="9.75" customHeight="1">
      <c r="A1377" s="101"/>
    </row>
    <row r="1378" spans="1:1" ht="9.75" customHeight="1">
      <c r="A1378" s="101"/>
    </row>
    <row r="1379" spans="1:1" ht="9.75" customHeight="1">
      <c r="A1379" s="101"/>
    </row>
    <row r="1380" spans="1:1" ht="9.75" customHeight="1">
      <c r="A1380" s="101"/>
    </row>
    <row r="1381" spans="1:1" ht="9.75" customHeight="1">
      <c r="A1381" s="101"/>
    </row>
    <row r="1382" spans="1:1" ht="9.75" customHeight="1">
      <c r="A1382" s="101"/>
    </row>
    <row r="1383" spans="1:1" ht="9.75" customHeight="1">
      <c r="A1383" s="101"/>
    </row>
    <row r="1384" spans="1:1" ht="9.75" customHeight="1">
      <c r="A1384" s="101"/>
    </row>
    <row r="1385" spans="1:1" ht="9.75" customHeight="1">
      <c r="A1385" s="101"/>
    </row>
    <row r="1386" spans="1:1" ht="9.75" customHeight="1">
      <c r="A1386" s="101"/>
    </row>
    <row r="1387" spans="1:1" ht="9.75" customHeight="1">
      <c r="A1387" s="101"/>
    </row>
    <row r="1388" spans="1:1" ht="9.75" customHeight="1">
      <c r="A1388" s="101"/>
    </row>
    <row r="1389" spans="1:1" ht="9.75" customHeight="1">
      <c r="A1389" s="101"/>
    </row>
    <row r="1390" spans="1:1" ht="9.75" customHeight="1">
      <c r="A1390" s="101"/>
    </row>
    <row r="1391" spans="1:1" ht="9.75" customHeight="1">
      <c r="A1391" s="101"/>
    </row>
    <row r="1392" spans="1:1" ht="9.75" customHeight="1">
      <c r="A1392" s="101"/>
    </row>
    <row r="1393" spans="1:1" ht="9.75" customHeight="1">
      <c r="A1393" s="101"/>
    </row>
    <row r="1394" spans="1:1" ht="9.75" customHeight="1">
      <c r="A1394" s="101"/>
    </row>
    <row r="1395" spans="1:1" ht="9.75" customHeight="1">
      <c r="A1395" s="101"/>
    </row>
    <row r="1396" spans="1:1" ht="9.75" customHeight="1">
      <c r="A1396" s="101"/>
    </row>
    <row r="1397" spans="1:1" ht="9.75" customHeight="1">
      <c r="A1397" s="101"/>
    </row>
    <row r="1398" spans="1:1" ht="9.75" customHeight="1">
      <c r="A1398" s="101"/>
    </row>
    <row r="1399" spans="1:1" ht="9.75" customHeight="1">
      <c r="A1399" s="101"/>
    </row>
    <row r="1400" spans="1:1" ht="9.75" customHeight="1">
      <c r="A1400" s="101"/>
    </row>
    <row r="1401" spans="1:1" ht="9.75" customHeight="1">
      <c r="A1401" s="101"/>
    </row>
    <row r="1402" spans="1:1" ht="9.75" customHeight="1">
      <c r="A1402" s="101"/>
    </row>
    <row r="1403" spans="1:1" ht="9.75" customHeight="1">
      <c r="A1403" s="101"/>
    </row>
    <row r="1404" spans="1:1" ht="9.75" customHeight="1">
      <c r="A1404" s="101"/>
    </row>
    <row r="1405" spans="1:1" ht="9.75" customHeight="1">
      <c r="A1405" s="101"/>
    </row>
    <row r="1406" spans="1:1" ht="9.75" customHeight="1">
      <c r="A1406" s="101"/>
    </row>
    <row r="1407" spans="1:1" ht="9.75" customHeight="1">
      <c r="A1407" s="101"/>
    </row>
    <row r="1408" spans="1:1" ht="9.75" customHeight="1">
      <c r="A1408" s="101"/>
    </row>
    <row r="1409" spans="1:1" ht="9.75" customHeight="1">
      <c r="A1409" s="101"/>
    </row>
    <row r="1410" spans="1:1" ht="9.75" customHeight="1">
      <c r="A1410" s="101"/>
    </row>
    <row r="1411" spans="1:1" ht="9.75" customHeight="1">
      <c r="A1411" s="101"/>
    </row>
    <row r="1412" spans="1:1" ht="9.75" customHeight="1">
      <c r="A1412" s="101"/>
    </row>
    <row r="1413" spans="1:1" ht="9.75" customHeight="1">
      <c r="A1413" s="101"/>
    </row>
    <row r="1414" spans="1:1" ht="9.75" customHeight="1">
      <c r="A1414" s="101"/>
    </row>
    <row r="1415" spans="1:1" ht="9.75" customHeight="1">
      <c r="A1415" s="101"/>
    </row>
    <row r="1416" spans="1:1" ht="9.75" customHeight="1">
      <c r="A1416" s="101"/>
    </row>
    <row r="1417" spans="1:1" ht="9.75" customHeight="1">
      <c r="A1417" s="101"/>
    </row>
    <row r="1418" spans="1:1" ht="9.75" customHeight="1">
      <c r="A1418" s="101"/>
    </row>
    <row r="1419" spans="1:1" ht="9.75" customHeight="1">
      <c r="A1419" s="101"/>
    </row>
    <row r="1420" spans="1:1" ht="9.75" customHeight="1">
      <c r="A1420" s="101"/>
    </row>
    <row r="1421" spans="1:1" ht="9.75" customHeight="1">
      <c r="A1421" s="101"/>
    </row>
    <row r="1422" spans="1:1" ht="9.75" customHeight="1">
      <c r="A1422" s="101"/>
    </row>
    <row r="1423" spans="1:1" ht="9.75" customHeight="1">
      <c r="A1423" s="101"/>
    </row>
    <row r="1424" spans="1:1" ht="9.75" customHeight="1">
      <c r="A1424" s="101"/>
    </row>
    <row r="1425" spans="1:1" ht="9.75" customHeight="1">
      <c r="A1425" s="101"/>
    </row>
    <row r="1426" spans="1:1" ht="9.75" customHeight="1">
      <c r="A1426" s="101"/>
    </row>
    <row r="1427" spans="1:1" ht="9.75" customHeight="1">
      <c r="A1427" s="101"/>
    </row>
    <row r="1428" spans="1:1" ht="9.75" customHeight="1">
      <c r="A1428" s="101"/>
    </row>
    <row r="1429" spans="1:1" ht="9.75" customHeight="1">
      <c r="A1429" s="101"/>
    </row>
    <row r="1430" spans="1:1" ht="9.75" customHeight="1">
      <c r="A1430" s="101"/>
    </row>
    <row r="1431" spans="1:1" ht="9.75" customHeight="1">
      <c r="A1431" s="101"/>
    </row>
    <row r="1432" spans="1:1" ht="9.75" customHeight="1">
      <c r="A1432" s="101"/>
    </row>
    <row r="1433" spans="1:1" ht="9.75" customHeight="1">
      <c r="A1433" s="101"/>
    </row>
    <row r="1434" spans="1:1" ht="9.75" customHeight="1">
      <c r="A1434" s="101"/>
    </row>
    <row r="1435" spans="1:1" ht="9.75" customHeight="1">
      <c r="A1435" s="101"/>
    </row>
    <row r="1436" spans="1:1" ht="9.75" customHeight="1">
      <c r="A1436" s="101"/>
    </row>
    <row r="1437" spans="1:1" ht="9.75" customHeight="1">
      <c r="A1437" s="101"/>
    </row>
    <row r="1438" spans="1:1" ht="9.75" customHeight="1">
      <c r="A1438" s="101"/>
    </row>
    <row r="1439" spans="1:1" ht="9.75" customHeight="1">
      <c r="A1439" s="101"/>
    </row>
    <row r="1440" spans="1:1" ht="9.75" customHeight="1">
      <c r="A1440" s="101"/>
    </row>
    <row r="1441" spans="1:1" ht="9.75" customHeight="1">
      <c r="A1441" s="101"/>
    </row>
    <row r="1442" spans="1:1" ht="9.75" customHeight="1">
      <c r="A1442" s="101"/>
    </row>
    <row r="1443" spans="1:1" ht="9.75" customHeight="1">
      <c r="A1443" s="101"/>
    </row>
    <row r="1444" spans="1:1" ht="9.75" customHeight="1">
      <c r="A1444" s="101"/>
    </row>
    <row r="1445" spans="1:1" ht="9.75" customHeight="1">
      <c r="A1445" s="101"/>
    </row>
    <row r="1446" spans="1:1" ht="9.75" customHeight="1">
      <c r="A1446" s="101"/>
    </row>
    <row r="1447" spans="1:1" ht="9.75" customHeight="1">
      <c r="A1447" s="101"/>
    </row>
    <row r="1448" spans="1:1" ht="9.75" customHeight="1">
      <c r="A1448" s="101"/>
    </row>
    <row r="1449" spans="1:1" ht="9.75" customHeight="1">
      <c r="A1449" s="101"/>
    </row>
    <row r="1450" spans="1:1" ht="9.75" customHeight="1">
      <c r="A1450" s="101"/>
    </row>
    <row r="1451" spans="1:1" ht="9.75" customHeight="1">
      <c r="A1451" s="101"/>
    </row>
    <row r="1452" spans="1:1" ht="9.75" customHeight="1">
      <c r="A1452" s="101"/>
    </row>
    <row r="1453" spans="1:1" ht="9.75" customHeight="1">
      <c r="A1453" s="101"/>
    </row>
    <row r="1454" spans="1:1" ht="9.75" customHeight="1">
      <c r="A1454" s="101"/>
    </row>
    <row r="1455" spans="1:1" ht="9.75" customHeight="1">
      <c r="A1455" s="101"/>
    </row>
    <row r="1456" spans="1:1" ht="9.75" customHeight="1">
      <c r="A1456" s="101"/>
    </row>
    <row r="1457" spans="1:1" ht="9.75" customHeight="1">
      <c r="A1457" s="101"/>
    </row>
    <row r="1458" spans="1:1" ht="9.75" customHeight="1">
      <c r="A1458" s="101"/>
    </row>
    <row r="1459" spans="1:1" ht="9.75" customHeight="1">
      <c r="A1459" s="101"/>
    </row>
    <row r="1460" spans="1:1" ht="9.75" customHeight="1">
      <c r="A1460" s="101"/>
    </row>
    <row r="1461" spans="1:1" ht="9.75" customHeight="1">
      <c r="A1461" s="101"/>
    </row>
    <row r="1462" spans="1:1" ht="9.75" customHeight="1">
      <c r="A1462" s="101"/>
    </row>
    <row r="1463" spans="1:1" ht="9.75" customHeight="1">
      <c r="A1463" s="101"/>
    </row>
    <row r="1464" spans="1:1" ht="9.75" customHeight="1">
      <c r="A1464" s="101"/>
    </row>
    <row r="1465" spans="1:1" ht="9.75" customHeight="1">
      <c r="A1465" s="101"/>
    </row>
    <row r="1466" spans="1:1" ht="9.75" customHeight="1">
      <c r="A1466" s="101"/>
    </row>
    <row r="1467" spans="1:1" ht="9.75" customHeight="1">
      <c r="A1467" s="101"/>
    </row>
    <row r="1468" spans="1:1" ht="9.75" customHeight="1">
      <c r="A1468" s="101"/>
    </row>
    <row r="1469" spans="1:1" ht="9.75" customHeight="1">
      <c r="A1469" s="101"/>
    </row>
    <row r="1470" spans="1:1" ht="9.75" customHeight="1">
      <c r="A1470" s="101"/>
    </row>
    <row r="1471" spans="1:1" ht="9.75" customHeight="1">
      <c r="A1471" s="101"/>
    </row>
    <row r="1472" spans="1:1" ht="9.75" customHeight="1">
      <c r="A1472" s="101"/>
    </row>
    <row r="1473" spans="1:1" ht="9.75" customHeight="1">
      <c r="A1473" s="101"/>
    </row>
    <row r="1474" spans="1:1" ht="9.75" customHeight="1">
      <c r="A1474" s="101"/>
    </row>
    <row r="1475" spans="1:1" ht="9.75" customHeight="1">
      <c r="A1475" s="101"/>
    </row>
    <row r="1476" spans="1:1" ht="9.75" customHeight="1">
      <c r="A1476" s="101"/>
    </row>
    <row r="1477" spans="1:1" ht="9.75" customHeight="1">
      <c r="A1477" s="101"/>
    </row>
    <row r="1478" spans="1:1" ht="9.75" customHeight="1">
      <c r="A1478" s="101"/>
    </row>
    <row r="1479" spans="1:1" ht="9.75" customHeight="1">
      <c r="A1479" s="101"/>
    </row>
    <row r="1480" spans="1:1" ht="9.75" customHeight="1">
      <c r="A1480" s="101"/>
    </row>
    <row r="1481" spans="1:1" ht="9.75" customHeight="1">
      <c r="A1481" s="101"/>
    </row>
    <row r="1482" spans="1:1" ht="9.75" customHeight="1">
      <c r="A1482" s="101"/>
    </row>
    <row r="1483" spans="1:1" ht="9.75" customHeight="1">
      <c r="A1483" s="101"/>
    </row>
    <row r="1484" spans="1:1" ht="9.75" customHeight="1">
      <c r="A1484" s="101"/>
    </row>
    <row r="1485" spans="1:1" ht="9.75" customHeight="1">
      <c r="A1485" s="101"/>
    </row>
    <row r="1486" spans="1:1" ht="9.75" customHeight="1">
      <c r="A1486" s="101"/>
    </row>
    <row r="1487" spans="1:1" ht="9.75" customHeight="1">
      <c r="A1487" s="101"/>
    </row>
    <row r="1488" spans="1:1" ht="9.75" customHeight="1">
      <c r="A1488" s="101"/>
    </row>
    <row r="1489" spans="1:1" ht="9.75" customHeight="1">
      <c r="A1489" s="101"/>
    </row>
    <row r="1490" spans="1:1" ht="9.75" customHeight="1">
      <c r="A1490" s="101"/>
    </row>
    <row r="1491" spans="1:1" ht="9.75" customHeight="1">
      <c r="A1491" s="101"/>
    </row>
    <row r="1492" spans="1:1" ht="9.75" customHeight="1">
      <c r="A1492" s="101"/>
    </row>
    <row r="1493" spans="1:1" ht="9.75" customHeight="1">
      <c r="A1493" s="101"/>
    </row>
    <row r="1494" spans="1:1" ht="9.75" customHeight="1">
      <c r="A1494" s="101"/>
    </row>
    <row r="1495" spans="1:1" ht="9.75" customHeight="1">
      <c r="A1495" s="101"/>
    </row>
    <row r="1496" spans="1:1" ht="9.75" customHeight="1">
      <c r="A1496" s="101"/>
    </row>
    <row r="1497" spans="1:1" ht="9.75" customHeight="1">
      <c r="A1497" s="101"/>
    </row>
    <row r="1498" spans="1:1" ht="9.75" customHeight="1">
      <c r="A1498" s="101"/>
    </row>
    <row r="1499" spans="1:1" ht="9.75" customHeight="1">
      <c r="A1499" s="101"/>
    </row>
    <row r="1500" spans="1:1" ht="9.75" customHeight="1">
      <c r="A1500" s="101"/>
    </row>
    <row r="1501" spans="1:1" ht="9.75" customHeight="1">
      <c r="A1501" s="101"/>
    </row>
    <row r="1502" spans="1:1" ht="9.75" customHeight="1">
      <c r="A1502" s="101"/>
    </row>
    <row r="1503" spans="1:1" ht="9.75" customHeight="1">
      <c r="A1503" s="101"/>
    </row>
    <row r="1504" spans="1:1" ht="9.75" customHeight="1">
      <c r="A1504" s="101"/>
    </row>
    <row r="1505" spans="1:1" ht="9.75" customHeight="1">
      <c r="A1505" s="101"/>
    </row>
    <row r="1506" spans="1:1" ht="9.75" customHeight="1">
      <c r="A1506" s="101"/>
    </row>
    <row r="1507" spans="1:1" ht="9.75" customHeight="1">
      <c r="A1507" s="101"/>
    </row>
    <row r="1508" spans="1:1" ht="9.75" customHeight="1">
      <c r="A1508" s="101"/>
    </row>
    <row r="1509" spans="1:1" ht="9.75" customHeight="1">
      <c r="A1509" s="101"/>
    </row>
    <row r="1510" spans="1:1" ht="9.75" customHeight="1">
      <c r="A1510" s="101"/>
    </row>
    <row r="1511" spans="1:1" ht="9.75" customHeight="1">
      <c r="A1511" s="101"/>
    </row>
    <row r="1512" spans="1:1" ht="9.75" customHeight="1">
      <c r="A1512" s="101"/>
    </row>
    <row r="1513" spans="1:1" ht="9.75" customHeight="1">
      <c r="A1513" s="101"/>
    </row>
    <row r="1514" spans="1:1" ht="9.75" customHeight="1">
      <c r="A1514" s="101"/>
    </row>
    <row r="1515" spans="1:1" ht="9.75" customHeight="1">
      <c r="A1515" s="101"/>
    </row>
    <row r="1516" spans="1:1" ht="9.75" customHeight="1">
      <c r="A1516" s="101"/>
    </row>
    <row r="1517" spans="1:1" ht="9.75" customHeight="1">
      <c r="A1517" s="101"/>
    </row>
    <row r="1518" spans="1:1" ht="9.75" customHeight="1">
      <c r="A1518" s="101"/>
    </row>
    <row r="1519" spans="1:1" ht="9.75" customHeight="1">
      <c r="A1519" s="101"/>
    </row>
    <row r="1520" spans="1:1" ht="9.75" customHeight="1">
      <c r="A1520" s="101"/>
    </row>
    <row r="1521" spans="1:1" ht="9.75" customHeight="1">
      <c r="A1521" s="101"/>
    </row>
    <row r="1522" spans="1:1" ht="9.75" customHeight="1">
      <c r="A1522" s="101"/>
    </row>
    <row r="1523" spans="1:1" ht="9.75" customHeight="1">
      <c r="A1523" s="101"/>
    </row>
    <row r="1524" spans="1:1" ht="9.75" customHeight="1">
      <c r="A1524" s="101"/>
    </row>
    <row r="1525" spans="1:1" ht="9.75" customHeight="1">
      <c r="A1525" s="101"/>
    </row>
    <row r="1526" spans="1:1" ht="9.75" customHeight="1">
      <c r="A1526" s="101"/>
    </row>
    <row r="1527" spans="1:1" ht="9.75" customHeight="1">
      <c r="A1527" s="101"/>
    </row>
    <row r="1528" spans="1:1" ht="9.75" customHeight="1">
      <c r="A1528" s="101"/>
    </row>
    <row r="1529" spans="1:1" ht="9.75" customHeight="1">
      <c r="A1529" s="101"/>
    </row>
    <row r="1530" spans="1:1" ht="9.75" customHeight="1">
      <c r="A1530" s="101"/>
    </row>
    <row r="1531" spans="1:1" ht="9.75" customHeight="1">
      <c r="A1531" s="101"/>
    </row>
    <row r="1532" spans="1:1" ht="9.75" customHeight="1">
      <c r="A1532" s="101"/>
    </row>
    <row r="1533" spans="1:1" ht="9.75" customHeight="1">
      <c r="A1533" s="101"/>
    </row>
    <row r="1534" spans="1:1" ht="9.75" customHeight="1">
      <c r="A1534" s="101"/>
    </row>
    <row r="1535" spans="1:1" ht="9.75" customHeight="1">
      <c r="A1535" s="101"/>
    </row>
    <row r="1536" spans="1:1" ht="9.75" customHeight="1">
      <c r="A1536" s="101"/>
    </row>
    <row r="1537" spans="1:1" ht="9.75" customHeight="1">
      <c r="A1537" s="101"/>
    </row>
    <row r="1538" spans="1:1" ht="9.75" customHeight="1">
      <c r="A1538" s="101"/>
    </row>
    <row r="1539" spans="1:1" ht="9.75" customHeight="1">
      <c r="A1539" s="101"/>
    </row>
    <row r="1540" spans="1:1" ht="9.75" customHeight="1">
      <c r="A1540" s="101"/>
    </row>
    <row r="1541" spans="1:1" ht="9.75" customHeight="1">
      <c r="A1541" s="101"/>
    </row>
    <row r="1542" spans="1:1" ht="9.75" customHeight="1">
      <c r="A1542" s="101"/>
    </row>
    <row r="1543" spans="1:1" ht="9.75" customHeight="1">
      <c r="A1543" s="101"/>
    </row>
    <row r="1544" spans="1:1" ht="9.75" customHeight="1">
      <c r="A1544" s="101"/>
    </row>
    <row r="1545" spans="1:1" ht="9.75" customHeight="1">
      <c r="A1545" s="101"/>
    </row>
    <row r="1546" spans="1:1" ht="9.75" customHeight="1">
      <c r="A1546" s="101"/>
    </row>
    <row r="1547" spans="1:1" ht="9.75" customHeight="1">
      <c r="A1547" s="101"/>
    </row>
    <row r="1548" spans="1:1" ht="9.75" customHeight="1">
      <c r="A1548" s="101"/>
    </row>
    <row r="1549" spans="1:1" ht="9.75" customHeight="1">
      <c r="A1549" s="101"/>
    </row>
    <row r="1550" spans="1:1" ht="9.75" customHeight="1">
      <c r="A1550" s="101"/>
    </row>
    <row r="1551" spans="1:1" ht="9.75" customHeight="1">
      <c r="A1551" s="101"/>
    </row>
    <row r="1552" spans="1:1" ht="9.75" customHeight="1">
      <c r="A1552" s="101"/>
    </row>
    <row r="1553" spans="1:1" ht="9.75" customHeight="1">
      <c r="A1553" s="101"/>
    </row>
    <row r="1554" spans="1:1" ht="9.75" customHeight="1">
      <c r="A1554" s="101"/>
    </row>
    <row r="1555" spans="1:1" ht="9.75" customHeight="1">
      <c r="A1555" s="101"/>
    </row>
    <row r="1556" spans="1:1" ht="9.75" customHeight="1">
      <c r="A1556" s="101"/>
    </row>
    <row r="1557" spans="1:1" ht="9.75" customHeight="1">
      <c r="A1557" s="101"/>
    </row>
    <row r="1558" spans="1:1" ht="9.75" customHeight="1">
      <c r="A1558" s="101"/>
    </row>
    <row r="1559" spans="1:1" ht="9.75" customHeight="1">
      <c r="A1559" s="101"/>
    </row>
    <row r="1560" spans="1:1" ht="9.75" customHeight="1">
      <c r="A1560" s="101"/>
    </row>
    <row r="1561" spans="1:1" ht="9.75" customHeight="1">
      <c r="A1561" s="101"/>
    </row>
    <row r="1562" spans="1:1" ht="9.75" customHeight="1">
      <c r="A1562" s="101"/>
    </row>
    <row r="1563" spans="1:1" ht="9.75" customHeight="1">
      <c r="A1563" s="101"/>
    </row>
    <row r="1564" spans="1:1" ht="9.75" customHeight="1">
      <c r="A1564" s="101"/>
    </row>
    <row r="1565" spans="1:1" ht="9.75" customHeight="1">
      <c r="A1565" s="101"/>
    </row>
    <row r="1566" spans="1:1" ht="9.75" customHeight="1">
      <c r="A1566" s="101"/>
    </row>
    <row r="1567" spans="1:1" ht="9.75" customHeight="1">
      <c r="A1567" s="101"/>
    </row>
    <row r="1568" spans="1:1" ht="9.75" customHeight="1">
      <c r="A1568" s="101"/>
    </row>
    <row r="1569" spans="1:1" ht="9.75" customHeight="1">
      <c r="A1569" s="101"/>
    </row>
    <row r="1570" spans="1:1" ht="9.75" customHeight="1">
      <c r="A1570" s="101"/>
    </row>
    <row r="1571" spans="1:1" ht="9.75" customHeight="1">
      <c r="A1571" s="101"/>
    </row>
    <row r="1572" spans="1:1" ht="9.75" customHeight="1">
      <c r="A1572" s="101"/>
    </row>
    <row r="1573" spans="1:1" ht="9.75" customHeight="1">
      <c r="A1573" s="101"/>
    </row>
    <row r="1574" spans="1:1" ht="9.75" customHeight="1">
      <c r="A1574" s="101"/>
    </row>
    <row r="1575" spans="1:1" ht="9.75" customHeight="1">
      <c r="A1575" s="101"/>
    </row>
    <row r="1576" spans="1:1" ht="9.75" customHeight="1">
      <c r="A1576" s="101"/>
    </row>
    <row r="1577" spans="1:1" ht="9.75" customHeight="1">
      <c r="A1577" s="101"/>
    </row>
    <row r="1578" spans="1:1" ht="9.75" customHeight="1">
      <c r="A1578" s="101"/>
    </row>
    <row r="1579" spans="1:1" ht="9.75" customHeight="1">
      <c r="A1579" s="101"/>
    </row>
    <row r="1580" spans="1:1" ht="9.75" customHeight="1">
      <c r="A1580" s="101"/>
    </row>
    <row r="1581" spans="1:1" ht="9.75" customHeight="1">
      <c r="A1581" s="101"/>
    </row>
    <row r="1582" spans="1:1" ht="9.75" customHeight="1">
      <c r="A1582" s="101"/>
    </row>
    <row r="1583" spans="1:1" ht="9.75" customHeight="1">
      <c r="A1583" s="101"/>
    </row>
    <row r="1584" spans="1:1" ht="9.75" customHeight="1">
      <c r="A1584" s="101"/>
    </row>
    <row r="1585" spans="1:1" ht="9.75" customHeight="1">
      <c r="A1585" s="101"/>
    </row>
    <row r="1586" spans="1:1" ht="9.75" customHeight="1">
      <c r="A1586" s="101"/>
    </row>
    <row r="1587" spans="1:1" ht="9.75" customHeight="1">
      <c r="A1587" s="101"/>
    </row>
    <row r="1588" spans="1:1" ht="9.75" customHeight="1">
      <c r="A1588" s="101"/>
    </row>
    <row r="1589" spans="1:1" ht="9.75" customHeight="1">
      <c r="A1589" s="101"/>
    </row>
    <row r="1590" spans="1:1" ht="9.75" customHeight="1">
      <c r="A1590" s="101"/>
    </row>
    <row r="1591" spans="1:1" ht="9.75" customHeight="1">
      <c r="A1591" s="101"/>
    </row>
    <row r="1592" spans="1:1" ht="9.75" customHeight="1">
      <c r="A1592" s="101"/>
    </row>
    <row r="1593" spans="1:1" ht="9.75" customHeight="1">
      <c r="A1593" s="101"/>
    </row>
    <row r="1594" spans="1:1" ht="9.75" customHeight="1">
      <c r="A1594" s="101"/>
    </row>
    <row r="1595" spans="1:1" ht="9.75" customHeight="1">
      <c r="A1595" s="101"/>
    </row>
    <row r="1596" spans="1:1" ht="9.75" customHeight="1">
      <c r="A1596" s="101"/>
    </row>
    <row r="1597" spans="1:1" ht="9.75" customHeight="1">
      <c r="A1597" s="101"/>
    </row>
    <row r="1598" spans="1:1" ht="9.75" customHeight="1">
      <c r="A1598" s="101"/>
    </row>
    <row r="1599" spans="1:1" ht="9.75" customHeight="1">
      <c r="A1599" s="101"/>
    </row>
    <row r="1600" spans="1:1" ht="9.75" customHeight="1">
      <c r="A1600" s="101"/>
    </row>
    <row r="1601" spans="1:1" ht="9.75" customHeight="1">
      <c r="A1601" s="101"/>
    </row>
    <row r="1602" spans="1:1" ht="9.75" customHeight="1">
      <c r="A1602" s="101"/>
    </row>
    <row r="1603" spans="1:1" ht="9.75" customHeight="1">
      <c r="A1603" s="101"/>
    </row>
    <row r="1604" spans="1:1" ht="9.75" customHeight="1">
      <c r="A1604" s="101"/>
    </row>
    <row r="1605" spans="1:1" ht="9.75" customHeight="1">
      <c r="A1605" s="101"/>
    </row>
    <row r="1606" spans="1:1" ht="9.75" customHeight="1">
      <c r="A1606" s="101"/>
    </row>
    <row r="1607" spans="1:1" ht="9.75" customHeight="1">
      <c r="A1607" s="101"/>
    </row>
    <row r="1608" spans="1:1" ht="9.75" customHeight="1">
      <c r="A1608" s="101"/>
    </row>
    <row r="1609" spans="1:1" ht="9.75" customHeight="1">
      <c r="A1609" s="101"/>
    </row>
    <row r="1610" spans="1:1" ht="9.75" customHeight="1">
      <c r="A1610" s="101"/>
    </row>
    <row r="1611" spans="1:1" ht="9.75" customHeight="1">
      <c r="A1611" s="101"/>
    </row>
    <row r="1612" spans="1:1" ht="9.75" customHeight="1">
      <c r="A1612" s="101"/>
    </row>
    <row r="1613" spans="1:1" ht="9.75" customHeight="1">
      <c r="A1613" s="101"/>
    </row>
    <row r="1614" spans="1:1" ht="9.75" customHeight="1">
      <c r="A1614" s="101"/>
    </row>
    <row r="1615" spans="1:1" ht="9.75" customHeight="1">
      <c r="A1615" s="101"/>
    </row>
    <row r="1616" spans="1:1" ht="9.75" customHeight="1">
      <c r="A1616" s="101"/>
    </row>
    <row r="1617" spans="1:1" ht="9.75" customHeight="1">
      <c r="A1617" s="101"/>
    </row>
    <row r="1618" spans="1:1" ht="9.75" customHeight="1">
      <c r="A1618" s="101"/>
    </row>
    <row r="1619" spans="1:1" ht="9.75" customHeight="1">
      <c r="A1619" s="101"/>
    </row>
    <row r="1620" spans="1:1" ht="9.75" customHeight="1">
      <c r="A1620" s="101"/>
    </row>
    <row r="1621" spans="1:1" ht="9.75" customHeight="1">
      <c r="A1621" s="101"/>
    </row>
    <row r="1622" spans="1:1" ht="9.75" customHeight="1">
      <c r="A1622" s="101"/>
    </row>
    <row r="1623" spans="1:1" ht="9.75" customHeight="1">
      <c r="A1623" s="101"/>
    </row>
    <row r="1624" spans="1:1" ht="9.75" customHeight="1">
      <c r="A1624" s="101"/>
    </row>
    <row r="1625" spans="1:1" ht="9.75" customHeight="1">
      <c r="A1625" s="101"/>
    </row>
    <row r="1626" spans="1:1" ht="9.75" customHeight="1">
      <c r="A1626" s="101"/>
    </row>
    <row r="1627" spans="1:1" ht="9.75" customHeight="1">
      <c r="A1627" s="101"/>
    </row>
    <row r="1628" spans="1:1" ht="9.75" customHeight="1">
      <c r="A1628" s="101"/>
    </row>
    <row r="1629" spans="1:1" ht="9.75" customHeight="1">
      <c r="A1629" s="101"/>
    </row>
    <row r="1630" spans="1:1" ht="9.75" customHeight="1">
      <c r="A1630" s="101"/>
    </row>
    <row r="1631" spans="1:1" ht="9.75" customHeight="1">
      <c r="A1631" s="101"/>
    </row>
    <row r="1632" spans="1:1" ht="9.75" customHeight="1">
      <c r="A1632" s="101"/>
    </row>
    <row r="1633" spans="1:1" ht="9.75" customHeight="1">
      <c r="A1633" s="101"/>
    </row>
    <row r="1634" spans="1:1" ht="9.75" customHeight="1">
      <c r="A1634" s="101"/>
    </row>
    <row r="1635" spans="1:1" ht="9.75" customHeight="1">
      <c r="A1635" s="101"/>
    </row>
    <row r="1636" spans="1:1" ht="9.75" customHeight="1">
      <c r="A1636" s="101"/>
    </row>
    <row r="1637" spans="1:1" ht="9.75" customHeight="1">
      <c r="A1637" s="101"/>
    </row>
    <row r="1638" spans="1:1" ht="9.75" customHeight="1">
      <c r="A1638" s="101"/>
    </row>
    <row r="1639" spans="1:1" ht="9.75" customHeight="1">
      <c r="A1639" s="101"/>
    </row>
    <row r="1640" spans="1:1" ht="9.75" customHeight="1">
      <c r="A1640" s="101"/>
    </row>
    <row r="1641" spans="1:1" ht="9.75" customHeight="1">
      <c r="A1641" s="101"/>
    </row>
    <row r="1642" spans="1:1" ht="9.75" customHeight="1">
      <c r="A1642" s="101"/>
    </row>
    <row r="1643" spans="1:1" ht="9.75" customHeight="1">
      <c r="A1643" s="101"/>
    </row>
    <row r="1644" spans="1:1" ht="9.75" customHeight="1">
      <c r="A1644" s="101"/>
    </row>
    <row r="1645" spans="1:1" ht="9.75" customHeight="1">
      <c r="A1645" s="101"/>
    </row>
    <row r="1646" spans="1:1" ht="9.75" customHeight="1">
      <c r="A1646" s="101"/>
    </row>
    <row r="1647" spans="1:1" ht="9.75" customHeight="1">
      <c r="A1647" s="101"/>
    </row>
    <row r="1648" spans="1:1" ht="9.75" customHeight="1">
      <c r="A1648" s="101"/>
    </row>
    <row r="1649" spans="1:1" ht="9.75" customHeight="1">
      <c r="A1649" s="101"/>
    </row>
    <row r="1650" spans="1:1" ht="9.75" customHeight="1">
      <c r="A1650" s="101"/>
    </row>
    <row r="1651" spans="1:1" ht="9.75" customHeight="1">
      <c r="A1651" s="101"/>
    </row>
    <row r="1652" spans="1:1" ht="9.75" customHeight="1">
      <c r="A1652" s="101"/>
    </row>
    <row r="1653" spans="1:1" ht="9.75" customHeight="1">
      <c r="A1653" s="101"/>
    </row>
    <row r="1654" spans="1:1" ht="9.75" customHeight="1">
      <c r="A1654" s="101"/>
    </row>
    <row r="1655" spans="1:1" ht="9.75" customHeight="1">
      <c r="A1655" s="101"/>
    </row>
    <row r="1656" spans="1:1" ht="9.75" customHeight="1">
      <c r="A1656" s="101"/>
    </row>
    <row r="1657" spans="1:1" ht="9.75" customHeight="1">
      <c r="A1657" s="101"/>
    </row>
    <row r="1658" spans="1:1" ht="9.75" customHeight="1">
      <c r="A1658" s="101"/>
    </row>
    <row r="1659" spans="1:1" ht="9.75" customHeight="1">
      <c r="A1659" s="101"/>
    </row>
    <row r="1660" spans="1:1" ht="9.75" customHeight="1">
      <c r="A1660" s="101"/>
    </row>
    <row r="1661" spans="1:1" ht="9.75" customHeight="1">
      <c r="A1661" s="101"/>
    </row>
    <row r="1662" spans="1:1" ht="9.75" customHeight="1">
      <c r="A1662" s="101"/>
    </row>
    <row r="1663" spans="1:1" ht="9.75" customHeight="1">
      <c r="A1663" s="101"/>
    </row>
    <row r="1664" spans="1:1" ht="9.75" customHeight="1">
      <c r="A1664" s="101"/>
    </row>
    <row r="1665" spans="1:1" ht="9.75" customHeight="1">
      <c r="A1665" s="101"/>
    </row>
    <row r="1666" spans="1:1" ht="9.75" customHeight="1">
      <c r="A1666" s="101"/>
    </row>
    <row r="1667" spans="1:1" ht="9.75" customHeight="1">
      <c r="A1667" s="101"/>
    </row>
    <row r="1668" spans="1:1" ht="9.75" customHeight="1">
      <c r="A1668" s="101"/>
    </row>
    <row r="1669" spans="1:1" ht="9.75" customHeight="1">
      <c r="A1669" s="101"/>
    </row>
    <row r="1670" spans="1:1" ht="9.75" customHeight="1">
      <c r="A1670" s="101"/>
    </row>
    <row r="1671" spans="1:1" ht="9.75" customHeight="1">
      <c r="A1671" s="101"/>
    </row>
    <row r="1672" spans="1:1" ht="9.75" customHeight="1">
      <c r="A1672" s="101"/>
    </row>
    <row r="1673" spans="1:1" ht="9.75" customHeight="1">
      <c r="A1673" s="101"/>
    </row>
    <row r="1674" spans="1:1" ht="9.75" customHeight="1">
      <c r="A1674" s="101"/>
    </row>
    <row r="1675" spans="1:1" ht="9.75" customHeight="1">
      <c r="A1675" s="101"/>
    </row>
    <row r="1676" spans="1:1" ht="9.75" customHeight="1">
      <c r="A1676" s="101"/>
    </row>
    <row r="1677" spans="1:1" ht="9.75" customHeight="1">
      <c r="A1677" s="101"/>
    </row>
    <row r="1678" spans="1:1" ht="9.75" customHeight="1">
      <c r="A1678" s="101"/>
    </row>
    <row r="1679" spans="1:1" ht="9.75" customHeight="1">
      <c r="A1679" s="101"/>
    </row>
    <row r="1680" spans="1:1" ht="9.75" customHeight="1">
      <c r="A1680" s="101"/>
    </row>
    <row r="1681" spans="1:1" ht="9.75" customHeight="1">
      <c r="A1681" s="101"/>
    </row>
    <row r="1682" spans="1:1" ht="9.75" customHeight="1">
      <c r="A1682" s="101"/>
    </row>
    <row r="1683" spans="1:1" ht="9.75" customHeight="1">
      <c r="A1683" s="101"/>
    </row>
    <row r="1684" spans="1:1" ht="9.75" customHeight="1">
      <c r="A1684" s="101"/>
    </row>
    <row r="1685" spans="1:1" ht="9.75" customHeight="1">
      <c r="A1685" s="101"/>
    </row>
    <row r="1686" spans="1:1" ht="9.75" customHeight="1">
      <c r="A1686" s="101"/>
    </row>
    <row r="1687" spans="1:1" ht="9.75" customHeight="1">
      <c r="A1687" s="101"/>
    </row>
    <row r="1688" spans="1:1" ht="9.75" customHeight="1">
      <c r="A1688" s="101"/>
    </row>
    <row r="1689" spans="1:1" ht="9.75" customHeight="1">
      <c r="A1689" s="101"/>
    </row>
    <row r="1690" spans="1:1" ht="9.75" customHeight="1">
      <c r="A1690" s="101"/>
    </row>
    <row r="1691" spans="1:1" ht="9.75" customHeight="1">
      <c r="A1691" s="101"/>
    </row>
    <row r="1692" spans="1:1" ht="9.75" customHeight="1">
      <c r="A1692" s="101"/>
    </row>
    <row r="1693" spans="1:1" ht="9.75" customHeight="1">
      <c r="A1693" s="101"/>
    </row>
    <row r="1694" spans="1:1" ht="9.75" customHeight="1">
      <c r="A1694" s="101"/>
    </row>
    <row r="1695" spans="1:1" ht="9.75" customHeight="1">
      <c r="A1695" s="101"/>
    </row>
    <row r="1696" spans="1:1" ht="9.75" customHeight="1">
      <c r="A1696" s="101"/>
    </row>
    <row r="1697" spans="1:1" ht="9.75" customHeight="1">
      <c r="A1697" s="101"/>
    </row>
    <row r="1698" spans="1:1" ht="9.75" customHeight="1">
      <c r="A1698" s="101"/>
    </row>
    <row r="1699" spans="1:1" ht="9.75" customHeight="1">
      <c r="A1699" s="101"/>
    </row>
    <row r="1700" spans="1:1" ht="9.75" customHeight="1">
      <c r="A1700" s="101"/>
    </row>
    <row r="1701" spans="1:1" ht="9.75" customHeight="1">
      <c r="A1701" s="101"/>
    </row>
    <row r="1702" spans="1:1" ht="9.75" customHeight="1">
      <c r="A1702" s="101"/>
    </row>
    <row r="1703" spans="1:1" ht="9.75" customHeight="1">
      <c r="A1703" s="101"/>
    </row>
    <row r="1704" spans="1:1" ht="9.75" customHeight="1">
      <c r="A1704" s="101"/>
    </row>
    <row r="1705" spans="1:1" ht="9.75" customHeight="1">
      <c r="A1705" s="101"/>
    </row>
    <row r="1706" spans="1:1" ht="9.75" customHeight="1">
      <c r="A1706" s="101"/>
    </row>
    <row r="1707" spans="1:1" ht="9.75" customHeight="1">
      <c r="A1707" s="101"/>
    </row>
    <row r="1708" spans="1:1" ht="9.75" customHeight="1">
      <c r="A1708" s="101"/>
    </row>
    <row r="1709" spans="1:1" ht="9.75" customHeight="1">
      <c r="A1709" s="101"/>
    </row>
    <row r="1710" spans="1:1" ht="9.75" customHeight="1">
      <c r="A1710" s="101"/>
    </row>
    <row r="1711" spans="1:1" ht="9.75" customHeight="1">
      <c r="A1711" s="101"/>
    </row>
    <row r="1712" spans="1:1" ht="9.75" customHeight="1">
      <c r="A1712" s="101"/>
    </row>
    <row r="1713" spans="1:1" ht="9.75" customHeight="1">
      <c r="A1713" s="101"/>
    </row>
    <row r="1714" spans="1:1" ht="9.75" customHeight="1">
      <c r="A1714" s="101"/>
    </row>
    <row r="1715" spans="1:1" ht="9.75" customHeight="1">
      <c r="A1715" s="101"/>
    </row>
    <row r="1716" spans="1:1" ht="9.75" customHeight="1">
      <c r="A1716" s="101"/>
    </row>
    <row r="1717" spans="1:1" ht="9.75" customHeight="1">
      <c r="A1717" s="101"/>
    </row>
    <row r="1718" spans="1:1" ht="9.75" customHeight="1">
      <c r="A1718" s="101"/>
    </row>
    <row r="1719" spans="1:1" ht="9.75" customHeight="1">
      <c r="A1719" s="101"/>
    </row>
    <row r="1720" spans="1:1" ht="9.75" customHeight="1">
      <c r="A1720" s="101"/>
    </row>
    <row r="1721" spans="1:1" ht="9.75" customHeight="1">
      <c r="A1721" s="101"/>
    </row>
    <row r="1722" spans="1:1" ht="9.75" customHeight="1">
      <c r="A1722" s="101"/>
    </row>
    <row r="1723" spans="1:1" ht="9.75" customHeight="1">
      <c r="A1723" s="101"/>
    </row>
    <row r="1724" spans="1:1" ht="9.75" customHeight="1">
      <c r="A1724" s="101"/>
    </row>
    <row r="1725" spans="1:1" ht="9.75" customHeight="1">
      <c r="A1725" s="101"/>
    </row>
    <row r="1726" spans="1:1" ht="9.75" customHeight="1">
      <c r="A1726" s="101"/>
    </row>
    <row r="1727" spans="1:1" ht="9.75" customHeight="1">
      <c r="A1727" s="101"/>
    </row>
    <row r="1728" spans="1:1" ht="9.75" customHeight="1">
      <c r="A1728" s="101"/>
    </row>
    <row r="1729" spans="1:1" ht="9.75" customHeight="1">
      <c r="A1729" s="101"/>
    </row>
    <row r="1730" spans="1:1" ht="9.75" customHeight="1">
      <c r="A1730" s="101"/>
    </row>
    <row r="1731" spans="1:1" ht="9.75" customHeight="1">
      <c r="A1731" s="101"/>
    </row>
    <row r="1732" spans="1:1" ht="9.75" customHeight="1">
      <c r="A1732" s="101"/>
    </row>
    <row r="1733" spans="1:1" ht="9.75" customHeight="1">
      <c r="A1733" s="101"/>
    </row>
    <row r="1734" spans="1:1" ht="9.75" customHeight="1">
      <c r="A1734" s="101"/>
    </row>
    <row r="1735" spans="1:1" ht="9.75" customHeight="1">
      <c r="A1735" s="101"/>
    </row>
    <row r="1736" spans="1:1" ht="9.75" customHeight="1">
      <c r="A1736" s="101"/>
    </row>
    <row r="1737" spans="1:1" ht="9.75" customHeight="1">
      <c r="A1737" s="101"/>
    </row>
    <row r="1738" spans="1:1" ht="9.75" customHeight="1">
      <c r="A1738" s="101"/>
    </row>
    <row r="1739" spans="1:1" ht="9.75" customHeight="1">
      <c r="A1739" s="101"/>
    </row>
    <row r="1740" spans="1:1" ht="9.75" customHeight="1">
      <c r="A1740" s="101"/>
    </row>
    <row r="1741" spans="1:1" ht="9.75" customHeight="1">
      <c r="A1741" s="101"/>
    </row>
    <row r="1742" spans="1:1" ht="9.75" customHeight="1">
      <c r="A1742" s="101"/>
    </row>
    <row r="1743" spans="1:1" ht="9.75" customHeight="1">
      <c r="A1743" s="101"/>
    </row>
    <row r="1744" spans="1:1" ht="9.75" customHeight="1">
      <c r="A1744" s="101"/>
    </row>
    <row r="1745" spans="1:1" ht="9.75" customHeight="1">
      <c r="A1745" s="101"/>
    </row>
    <row r="1746" spans="1:1" ht="9.75" customHeight="1">
      <c r="A1746" s="101"/>
    </row>
    <row r="1747" spans="1:1" ht="9.75" customHeight="1">
      <c r="A1747" s="101"/>
    </row>
    <row r="1748" spans="1:1" ht="9.75" customHeight="1">
      <c r="A1748" s="101"/>
    </row>
    <row r="1749" spans="1:1" ht="9.75" customHeight="1">
      <c r="A1749" s="101"/>
    </row>
    <row r="1750" spans="1:1" ht="9.75" customHeight="1">
      <c r="A1750" s="101"/>
    </row>
    <row r="1751" spans="1:1" ht="9.75" customHeight="1">
      <c r="A1751" s="101"/>
    </row>
    <row r="1752" spans="1:1" ht="9.75" customHeight="1">
      <c r="A1752" s="101"/>
    </row>
    <row r="1753" spans="1:1" ht="9.75" customHeight="1">
      <c r="A1753" s="101"/>
    </row>
    <row r="1754" spans="1:1" ht="9.75" customHeight="1">
      <c r="A1754" s="101"/>
    </row>
    <row r="1755" spans="1:1" ht="9.75" customHeight="1">
      <c r="A1755" s="101"/>
    </row>
    <row r="1756" spans="1:1" ht="9.75" customHeight="1">
      <c r="A1756" s="101"/>
    </row>
    <row r="1757" spans="1:1" ht="9.75" customHeight="1">
      <c r="A1757" s="101"/>
    </row>
    <row r="1758" spans="1:1" ht="9.75" customHeight="1">
      <c r="A1758" s="101"/>
    </row>
    <row r="1759" spans="1:1" ht="9.75" customHeight="1">
      <c r="A1759" s="101"/>
    </row>
    <row r="1760" spans="1:1" ht="9.75" customHeight="1">
      <c r="A1760" s="101"/>
    </row>
    <row r="1761" spans="1:1" ht="9.75" customHeight="1">
      <c r="A1761" s="101"/>
    </row>
    <row r="1762" spans="1:1" ht="9.75" customHeight="1">
      <c r="A1762" s="101"/>
    </row>
    <row r="1763" spans="1:1" ht="9.75" customHeight="1">
      <c r="A1763" s="101"/>
    </row>
    <row r="1764" spans="1:1" ht="9.75" customHeight="1">
      <c r="A1764" s="101"/>
    </row>
    <row r="1765" spans="1:1" ht="9.75" customHeight="1">
      <c r="A1765" s="101"/>
    </row>
    <row r="1766" spans="1:1" ht="9.75" customHeight="1">
      <c r="A1766" s="101"/>
    </row>
    <row r="1767" spans="1:1" ht="9.75" customHeight="1">
      <c r="A1767" s="101"/>
    </row>
    <row r="1768" spans="1:1" ht="9.75" customHeight="1">
      <c r="A1768" s="101"/>
    </row>
    <row r="1769" spans="1:1" ht="9.75" customHeight="1">
      <c r="A1769" s="101"/>
    </row>
    <row r="1770" spans="1:1" ht="9.75" customHeight="1">
      <c r="A1770" s="101"/>
    </row>
    <row r="1771" spans="1:1" ht="9.75" customHeight="1">
      <c r="A1771" s="101"/>
    </row>
    <row r="1772" spans="1:1" ht="9.75" customHeight="1">
      <c r="A1772" s="101"/>
    </row>
    <row r="1773" spans="1:1" ht="9.75" customHeight="1">
      <c r="A1773" s="101"/>
    </row>
    <row r="1774" spans="1:1" ht="9.75" customHeight="1">
      <c r="A1774" s="101"/>
    </row>
    <row r="1775" spans="1:1" ht="9.75" customHeight="1">
      <c r="A1775" s="101"/>
    </row>
    <row r="1776" spans="1:1" ht="9.75" customHeight="1">
      <c r="A1776" s="101"/>
    </row>
    <row r="1777" spans="1:1" ht="9.75" customHeight="1">
      <c r="A1777" s="101"/>
    </row>
    <row r="1778" spans="1:1" ht="9.75" customHeight="1">
      <c r="A1778" s="101"/>
    </row>
    <row r="1779" spans="1:1" ht="9.75" customHeight="1">
      <c r="A1779" s="101"/>
    </row>
    <row r="1780" spans="1:1" ht="9.75" customHeight="1">
      <c r="A1780" s="101"/>
    </row>
    <row r="1781" spans="1:1" ht="9.75" customHeight="1">
      <c r="A1781" s="101"/>
    </row>
    <row r="1782" spans="1:1" ht="9.75" customHeight="1">
      <c r="A1782" s="101"/>
    </row>
    <row r="1783" spans="1:1" ht="9.75" customHeight="1">
      <c r="A1783" s="101"/>
    </row>
    <row r="1784" spans="1:1" ht="9.75" customHeight="1">
      <c r="A1784" s="101"/>
    </row>
    <row r="1785" spans="1:1" ht="9.75" customHeight="1">
      <c r="A1785" s="101"/>
    </row>
    <row r="1786" spans="1:1" ht="9.75" customHeight="1">
      <c r="A1786" s="101"/>
    </row>
    <row r="1787" spans="1:1" ht="9.75" customHeight="1">
      <c r="A1787" s="101"/>
    </row>
    <row r="1788" spans="1:1" ht="9.75" customHeight="1">
      <c r="A1788" s="101"/>
    </row>
    <row r="1789" spans="1:1" ht="9.75" customHeight="1">
      <c r="A1789" s="101"/>
    </row>
    <row r="1790" spans="1:1" ht="9.75" customHeight="1">
      <c r="A1790" s="101"/>
    </row>
    <row r="1791" spans="1:1" ht="9.75" customHeight="1">
      <c r="A1791" s="101"/>
    </row>
    <row r="1792" spans="1:1" ht="9.75" customHeight="1">
      <c r="A1792" s="101"/>
    </row>
    <row r="1793" spans="1:1" ht="9.75" customHeight="1">
      <c r="A1793" s="101"/>
    </row>
    <row r="1794" spans="1:1" ht="9.75" customHeight="1">
      <c r="A1794" s="101"/>
    </row>
    <row r="1795" spans="1:1" ht="9.75" customHeight="1">
      <c r="A1795" s="101"/>
    </row>
    <row r="1796" spans="1:1" ht="9.75" customHeight="1">
      <c r="A1796" s="101"/>
    </row>
    <row r="1797" spans="1:1" ht="9.75" customHeight="1">
      <c r="A1797" s="101"/>
    </row>
    <row r="1798" spans="1:1" ht="9.75" customHeight="1">
      <c r="A1798" s="101"/>
    </row>
    <row r="1799" spans="1:1" ht="9.75" customHeight="1">
      <c r="A1799" s="101"/>
    </row>
    <row r="1800" spans="1:1" ht="9.75" customHeight="1">
      <c r="A1800" s="101"/>
    </row>
    <row r="1801" spans="1:1" ht="9.75" customHeight="1">
      <c r="A1801" s="101"/>
    </row>
    <row r="1802" spans="1:1" ht="9.75" customHeight="1">
      <c r="A1802" s="101"/>
    </row>
    <row r="1803" spans="1:1" ht="9.75" customHeight="1">
      <c r="A1803" s="101"/>
    </row>
    <row r="1804" spans="1:1" ht="9.75" customHeight="1">
      <c r="A1804" s="101"/>
    </row>
    <row r="1805" spans="1:1" ht="9.75" customHeight="1">
      <c r="A1805" s="101"/>
    </row>
    <row r="1806" spans="1:1" ht="9.75" customHeight="1">
      <c r="A1806" s="101"/>
    </row>
    <row r="1807" spans="1:1" ht="9.75" customHeight="1">
      <c r="A1807" s="101"/>
    </row>
    <row r="1808" spans="1:1" ht="9.75" customHeight="1">
      <c r="A1808" s="101"/>
    </row>
    <row r="1809" spans="1:1" ht="9.75" customHeight="1">
      <c r="A1809" s="101"/>
    </row>
    <row r="1810" spans="1:1" ht="9.75" customHeight="1">
      <c r="A1810" s="101"/>
    </row>
    <row r="1811" spans="1:1" ht="9.75" customHeight="1">
      <c r="A1811" s="101"/>
    </row>
    <row r="1812" spans="1:1" ht="9.75" customHeight="1">
      <c r="A1812" s="101"/>
    </row>
    <row r="1813" spans="1:1" ht="9.75" customHeight="1">
      <c r="A1813" s="101"/>
    </row>
    <row r="1814" spans="1:1" ht="9.75" customHeight="1">
      <c r="A1814" s="101"/>
    </row>
    <row r="1815" spans="1:1" ht="9.75" customHeight="1">
      <c r="A1815" s="101"/>
    </row>
    <row r="1816" spans="1:1" ht="9.75" customHeight="1">
      <c r="A1816" s="101"/>
    </row>
    <row r="1817" spans="1:1" ht="9.75" customHeight="1">
      <c r="A1817" s="101"/>
    </row>
    <row r="1818" spans="1:1" ht="9.75" customHeight="1">
      <c r="A1818" s="101"/>
    </row>
    <row r="1819" spans="1:1" ht="9.75" customHeight="1">
      <c r="A1819" s="101"/>
    </row>
    <row r="1820" spans="1:1" ht="9.75" customHeight="1">
      <c r="A1820" s="101"/>
    </row>
    <row r="1821" spans="1:1" ht="9.75" customHeight="1">
      <c r="A1821" s="101"/>
    </row>
    <row r="1822" spans="1:1" ht="9.75" customHeight="1">
      <c r="A1822" s="101"/>
    </row>
    <row r="1823" spans="1:1" ht="9.75" customHeight="1">
      <c r="A1823" s="101"/>
    </row>
    <row r="1824" spans="1:1" ht="9.75" customHeight="1">
      <c r="A1824" s="101"/>
    </row>
    <row r="1825" spans="1:1" ht="9.75" customHeight="1">
      <c r="A1825" s="101"/>
    </row>
    <row r="1826" spans="1:1" ht="9.75" customHeight="1">
      <c r="A1826" s="101"/>
    </row>
    <row r="1827" spans="1:1" ht="9.75" customHeight="1">
      <c r="A1827" s="101"/>
    </row>
    <row r="1828" spans="1:1" ht="9.75" customHeight="1">
      <c r="A1828" s="101"/>
    </row>
    <row r="1829" spans="1:1" ht="9.75" customHeight="1">
      <c r="A1829" s="101"/>
    </row>
    <row r="1830" spans="1:1" ht="9.75" customHeight="1">
      <c r="A1830" s="101"/>
    </row>
    <row r="1831" spans="1:1" ht="9.75" customHeight="1">
      <c r="A1831" s="101"/>
    </row>
    <row r="1832" spans="1:1" ht="9.75" customHeight="1">
      <c r="A1832" s="101"/>
    </row>
    <row r="1833" spans="1:1" ht="9.75" customHeight="1">
      <c r="A1833" s="101"/>
    </row>
    <row r="1834" spans="1:1" ht="9.75" customHeight="1">
      <c r="A1834" s="101"/>
    </row>
    <row r="1835" spans="1:1" ht="9.75" customHeight="1">
      <c r="A1835" s="101"/>
    </row>
    <row r="1836" spans="1:1" ht="9.75" customHeight="1">
      <c r="A1836" s="101"/>
    </row>
    <row r="1837" spans="1:1" ht="9.75" customHeight="1">
      <c r="A1837" s="101"/>
    </row>
    <row r="1838" spans="1:1" ht="9.75" customHeight="1">
      <c r="A1838" s="101"/>
    </row>
    <row r="1839" spans="1:1" ht="9.75" customHeight="1">
      <c r="A1839" s="101"/>
    </row>
    <row r="1840" spans="1:1" ht="9.75" customHeight="1">
      <c r="A1840" s="101"/>
    </row>
    <row r="1841" spans="1:1" ht="9.75" customHeight="1">
      <c r="A1841" s="101"/>
    </row>
    <row r="1842" spans="1:1" ht="9.75" customHeight="1">
      <c r="A1842" s="101"/>
    </row>
    <row r="1843" spans="1:1" ht="9.75" customHeight="1">
      <c r="A1843" s="101"/>
    </row>
    <row r="1844" spans="1:1" ht="9.75" customHeight="1">
      <c r="A1844" s="101"/>
    </row>
    <row r="1845" spans="1:1" ht="9.75" customHeight="1">
      <c r="A1845" s="101"/>
    </row>
    <row r="1846" spans="1:1" ht="9.75" customHeight="1">
      <c r="A1846" s="101"/>
    </row>
    <row r="1847" spans="1:1" ht="9.75" customHeight="1">
      <c r="A1847" s="101"/>
    </row>
    <row r="1848" spans="1:1" ht="9.75" customHeight="1">
      <c r="A1848" s="101"/>
    </row>
    <row r="1849" spans="1:1" ht="9.75" customHeight="1">
      <c r="A1849" s="101"/>
    </row>
    <row r="1850" spans="1:1" ht="9.75" customHeight="1">
      <c r="A1850" s="101"/>
    </row>
    <row r="1851" spans="1:1" ht="9.75" customHeight="1">
      <c r="A1851" s="101"/>
    </row>
    <row r="1852" spans="1:1" ht="9.75" customHeight="1">
      <c r="A1852" s="101"/>
    </row>
    <row r="1853" spans="1:1" ht="9.75" customHeight="1">
      <c r="A1853" s="101"/>
    </row>
    <row r="1854" spans="1:1" ht="9.75" customHeight="1">
      <c r="A1854" s="101"/>
    </row>
    <row r="1855" spans="1:1" ht="9.75" customHeight="1">
      <c r="A1855" s="101"/>
    </row>
    <row r="1856" spans="1:1" ht="9.75" customHeight="1">
      <c r="A1856" s="101"/>
    </row>
    <row r="1857" spans="1:1" ht="9.75" customHeight="1">
      <c r="A1857" s="101"/>
    </row>
    <row r="1858" spans="1:1" ht="9.75" customHeight="1">
      <c r="A1858" s="101"/>
    </row>
    <row r="1859" spans="1:1" ht="9.75" customHeight="1">
      <c r="A1859" s="101"/>
    </row>
    <row r="1860" spans="1:1" ht="9.75" customHeight="1">
      <c r="A1860" s="101"/>
    </row>
    <row r="1861" spans="1:1" ht="9.75" customHeight="1">
      <c r="A1861" s="101"/>
    </row>
    <row r="1862" spans="1:1" ht="9.75" customHeight="1">
      <c r="A1862" s="101"/>
    </row>
    <row r="1863" spans="1:1" ht="9.75" customHeight="1">
      <c r="A1863" s="101"/>
    </row>
    <row r="1864" spans="1:1" ht="9.75" customHeight="1">
      <c r="A1864" s="101"/>
    </row>
    <row r="1865" spans="1:1" ht="9.75" customHeight="1">
      <c r="A1865" s="101"/>
    </row>
    <row r="1866" spans="1:1" ht="9.75" customHeight="1">
      <c r="A1866" s="101"/>
    </row>
    <row r="1867" spans="1:1" ht="9.75" customHeight="1">
      <c r="A1867" s="101"/>
    </row>
    <row r="1868" spans="1:1" ht="9.75" customHeight="1">
      <c r="A1868" s="101"/>
    </row>
    <row r="1869" spans="1:1" ht="9.75" customHeight="1">
      <c r="A1869" s="101"/>
    </row>
    <row r="1870" spans="1:1" ht="9.75" customHeight="1">
      <c r="A1870" s="101"/>
    </row>
    <row r="1871" spans="1:1" ht="9.75" customHeight="1">
      <c r="A1871" s="101"/>
    </row>
    <row r="1872" spans="1:1" ht="9.75" customHeight="1">
      <c r="A1872" s="101"/>
    </row>
    <row r="1873" spans="1:1" ht="9.75" customHeight="1">
      <c r="A1873" s="101"/>
    </row>
    <row r="1874" spans="1:1" ht="9.75" customHeight="1">
      <c r="A1874" s="101"/>
    </row>
    <row r="1875" spans="1:1" ht="9.75" customHeight="1">
      <c r="A1875" s="101"/>
    </row>
    <row r="1876" spans="1:1" ht="9.75" customHeight="1">
      <c r="A1876" s="101"/>
    </row>
    <row r="1877" spans="1:1" ht="9.75" customHeight="1">
      <c r="A1877" s="101"/>
    </row>
    <row r="1878" spans="1:1" ht="9.75" customHeight="1">
      <c r="A1878" s="101"/>
    </row>
    <row r="1879" spans="1:1" ht="9.75" customHeight="1">
      <c r="A1879" s="101"/>
    </row>
    <row r="1880" spans="1:1" ht="9.75" customHeight="1">
      <c r="A1880" s="101"/>
    </row>
    <row r="1881" spans="1:1" ht="9.75" customHeight="1">
      <c r="A1881" s="101"/>
    </row>
    <row r="1882" spans="1:1" ht="9.75" customHeight="1">
      <c r="A1882" s="101"/>
    </row>
    <row r="1883" spans="1:1" ht="9.75" customHeight="1">
      <c r="A1883" s="101"/>
    </row>
    <row r="1884" spans="1:1" ht="9.75" customHeight="1">
      <c r="A1884" s="101"/>
    </row>
    <row r="1885" spans="1:1" ht="9.75" customHeight="1">
      <c r="A1885" s="101"/>
    </row>
    <row r="1886" spans="1:1" ht="9.75" customHeight="1">
      <c r="A1886" s="101"/>
    </row>
    <row r="1887" spans="1:1" ht="9.75" customHeight="1">
      <c r="A1887" s="101"/>
    </row>
    <row r="1888" spans="1:1" ht="9.75" customHeight="1">
      <c r="A1888" s="101"/>
    </row>
    <row r="1889" spans="1:1" ht="9.75" customHeight="1">
      <c r="A1889" s="101"/>
    </row>
    <row r="1890" spans="1:1" ht="9.75" customHeight="1">
      <c r="A1890" s="101"/>
    </row>
    <row r="1891" spans="1:1" ht="9.75" customHeight="1">
      <c r="A1891" s="101"/>
    </row>
    <row r="1892" spans="1:1" ht="9.75" customHeight="1">
      <c r="A1892" s="101"/>
    </row>
    <row r="1893" spans="1:1" ht="9.75" customHeight="1">
      <c r="A1893" s="101"/>
    </row>
    <row r="1894" spans="1:1" ht="9.75" customHeight="1">
      <c r="A1894" s="101"/>
    </row>
    <row r="1895" spans="1:1" ht="9.75" customHeight="1">
      <c r="A1895" s="101"/>
    </row>
    <row r="1896" spans="1:1" ht="9.75" customHeight="1">
      <c r="A1896" s="101"/>
    </row>
    <row r="1897" spans="1:1" ht="9.75" customHeight="1">
      <c r="A1897" s="101"/>
    </row>
    <row r="1898" spans="1:1" ht="9.75" customHeight="1">
      <c r="A1898" s="101"/>
    </row>
    <row r="1899" spans="1:1" ht="9.75" customHeight="1">
      <c r="A1899" s="101"/>
    </row>
    <row r="1900" spans="1:1" ht="9.75" customHeight="1">
      <c r="A1900" s="101"/>
    </row>
    <row r="1901" spans="1:1" ht="9.75" customHeight="1">
      <c r="A1901" s="101"/>
    </row>
    <row r="1902" spans="1:1" ht="9.75" customHeight="1">
      <c r="A1902" s="101"/>
    </row>
    <row r="1903" spans="1:1" ht="9.75" customHeight="1">
      <c r="A1903" s="101"/>
    </row>
    <row r="1904" spans="1:1" ht="9.75" customHeight="1">
      <c r="A1904" s="101"/>
    </row>
    <row r="1905" spans="1:1" ht="9.75" customHeight="1">
      <c r="A1905" s="101"/>
    </row>
    <row r="1906" spans="1:1" ht="9.75" customHeight="1">
      <c r="A1906" s="101"/>
    </row>
    <row r="1907" spans="1:1" ht="9.75" customHeight="1">
      <c r="A1907" s="101"/>
    </row>
    <row r="1908" spans="1:1" ht="9.75" customHeight="1">
      <c r="A1908" s="101"/>
    </row>
    <row r="1909" spans="1:1" ht="9.75" customHeight="1">
      <c r="A1909" s="101"/>
    </row>
    <row r="1910" spans="1:1" ht="9.75" customHeight="1">
      <c r="A1910" s="101"/>
    </row>
    <row r="1911" spans="1:1" ht="9.75" customHeight="1">
      <c r="A1911" s="101"/>
    </row>
    <row r="1912" spans="1:1" ht="9.75" customHeight="1">
      <c r="A1912" s="101"/>
    </row>
    <row r="1913" spans="1:1" ht="9.75" customHeight="1">
      <c r="A1913" s="101"/>
    </row>
    <row r="1914" spans="1:1" ht="9.75" customHeight="1">
      <c r="A1914" s="101"/>
    </row>
    <row r="1915" spans="1:1" ht="9.75" customHeight="1">
      <c r="A1915" s="101"/>
    </row>
    <row r="1916" spans="1:1" ht="9.75" customHeight="1">
      <c r="A1916" s="101"/>
    </row>
    <row r="1917" spans="1:1" ht="9.75" customHeight="1">
      <c r="A1917" s="101"/>
    </row>
    <row r="1918" spans="1:1" ht="9.75" customHeight="1">
      <c r="A1918" s="101"/>
    </row>
    <row r="1919" spans="1:1" ht="9.75" customHeight="1">
      <c r="A1919" s="101"/>
    </row>
    <row r="1920" spans="1:1" ht="9.75" customHeight="1">
      <c r="A1920" s="101"/>
    </row>
    <row r="1921" spans="1:1" ht="9.75" customHeight="1">
      <c r="A1921" s="101"/>
    </row>
    <row r="1922" spans="1:1" ht="9.75" customHeight="1">
      <c r="A1922" s="101"/>
    </row>
    <row r="1923" spans="1:1" ht="9.75" customHeight="1">
      <c r="A1923" s="101"/>
    </row>
    <row r="1924" spans="1:1" ht="9.75" customHeight="1">
      <c r="A1924" s="101"/>
    </row>
    <row r="1925" spans="1:1" ht="9.75" customHeight="1">
      <c r="A1925" s="101"/>
    </row>
    <row r="1926" spans="1:1" ht="9.75" customHeight="1">
      <c r="A1926" s="101"/>
    </row>
    <row r="1927" spans="1:1" ht="9.75" customHeight="1">
      <c r="A1927" s="101"/>
    </row>
    <row r="1928" spans="1:1" ht="9.75" customHeight="1">
      <c r="A1928" s="101"/>
    </row>
    <row r="1929" spans="1:1" ht="9.75" customHeight="1">
      <c r="A1929" s="101"/>
    </row>
    <row r="1930" spans="1:1" ht="9.75" customHeight="1">
      <c r="A1930" s="101"/>
    </row>
    <row r="1931" spans="1:1" ht="9.75" customHeight="1">
      <c r="A1931" s="101"/>
    </row>
    <row r="1932" spans="1:1" ht="9.75" customHeight="1">
      <c r="A1932" s="101"/>
    </row>
    <row r="1933" spans="1:1" ht="9.75" customHeight="1">
      <c r="A1933" s="101"/>
    </row>
    <row r="1934" spans="1:1" ht="9.75" customHeight="1">
      <c r="A1934" s="101"/>
    </row>
    <row r="1935" spans="1:1" ht="9.75" customHeight="1">
      <c r="A1935" s="101"/>
    </row>
    <row r="1936" spans="1:1" ht="9.75" customHeight="1">
      <c r="A1936" s="101"/>
    </row>
    <row r="1937" spans="1:1" ht="9.75" customHeight="1">
      <c r="A1937" s="101"/>
    </row>
    <row r="1938" spans="1:1" ht="9.75" customHeight="1">
      <c r="A1938" s="101"/>
    </row>
    <row r="1939" spans="1:1" ht="9.75" customHeight="1">
      <c r="A1939" s="101"/>
    </row>
    <row r="1940" spans="1:1" ht="9.75" customHeight="1">
      <c r="A1940" s="101"/>
    </row>
    <row r="1941" spans="1:1" ht="9.75" customHeight="1">
      <c r="A1941" s="101"/>
    </row>
    <row r="1942" spans="1:1" ht="9.75" customHeight="1">
      <c r="A1942" s="101"/>
    </row>
    <row r="1943" spans="1:1" ht="9.75" customHeight="1">
      <c r="A1943" s="101"/>
    </row>
    <row r="1944" spans="1:1" ht="9.75" customHeight="1">
      <c r="A1944" s="101"/>
    </row>
    <row r="1945" spans="1:1" ht="9.75" customHeight="1">
      <c r="A1945" s="101"/>
    </row>
    <row r="1946" spans="1:1" ht="9.75" customHeight="1">
      <c r="A1946" s="101"/>
    </row>
    <row r="1947" spans="1:1" ht="9.75" customHeight="1">
      <c r="A1947" s="101"/>
    </row>
    <row r="1948" spans="1:1" ht="9.75" customHeight="1">
      <c r="A1948" s="101"/>
    </row>
    <row r="1949" spans="1:1" ht="9.75" customHeight="1">
      <c r="A1949" s="101"/>
    </row>
    <row r="1950" spans="1:1" ht="9.75" customHeight="1">
      <c r="A1950" s="101"/>
    </row>
    <row r="1951" spans="1:1" ht="9.75" customHeight="1">
      <c r="A1951" s="101"/>
    </row>
    <row r="1952" spans="1:1" ht="9.75" customHeight="1">
      <c r="A1952" s="101"/>
    </row>
    <row r="1953" spans="1:1" ht="9.75" customHeight="1">
      <c r="A1953" s="101"/>
    </row>
    <row r="1954" spans="1:1" ht="9.75" customHeight="1">
      <c r="A1954" s="101"/>
    </row>
    <row r="1955" spans="1:1" ht="9.75" customHeight="1">
      <c r="A1955" s="101"/>
    </row>
    <row r="1956" spans="1:1" ht="9.75" customHeight="1">
      <c r="A1956" s="101"/>
    </row>
    <row r="1957" spans="1:1" ht="9.75" customHeight="1">
      <c r="A1957" s="101"/>
    </row>
    <row r="1958" spans="1:1" ht="9.75" customHeight="1">
      <c r="A1958" s="101"/>
    </row>
    <row r="1959" spans="1:1" ht="9.75" customHeight="1">
      <c r="A1959" s="101"/>
    </row>
    <row r="1960" spans="1:1" ht="9.75" customHeight="1">
      <c r="A1960" s="101"/>
    </row>
    <row r="1961" spans="1:1" ht="9.75" customHeight="1">
      <c r="A1961" s="101"/>
    </row>
    <row r="1962" spans="1:1" ht="9.75" customHeight="1">
      <c r="A1962" s="101"/>
    </row>
    <row r="1963" spans="1:1" ht="9.75" customHeight="1">
      <c r="A1963" s="101"/>
    </row>
    <row r="1964" spans="1:1" ht="9.75" customHeight="1">
      <c r="A1964" s="101"/>
    </row>
    <row r="1965" spans="1:1" ht="9.75" customHeight="1">
      <c r="A1965" s="101"/>
    </row>
    <row r="1966" spans="1:1" ht="9.75" customHeight="1">
      <c r="A1966" s="101"/>
    </row>
    <row r="1967" spans="1:1" ht="9.75" customHeight="1">
      <c r="A1967" s="101"/>
    </row>
    <row r="1968" spans="1:1" ht="9.75" customHeight="1">
      <c r="A1968" s="101"/>
    </row>
    <row r="1969" spans="1:1" ht="9.75" customHeight="1">
      <c r="A1969" s="101"/>
    </row>
    <row r="1970" spans="1:1" ht="9.75" customHeight="1">
      <c r="A1970" s="101"/>
    </row>
    <row r="1971" spans="1:1" ht="9.75" customHeight="1">
      <c r="A1971" s="101"/>
    </row>
    <row r="1972" spans="1:1" ht="9.75" customHeight="1">
      <c r="A1972" s="101"/>
    </row>
    <row r="1973" spans="1:1" ht="9.75" customHeight="1">
      <c r="A1973" s="101"/>
    </row>
    <row r="1974" spans="1:1" ht="9.75" customHeight="1">
      <c r="A1974" s="101"/>
    </row>
    <row r="1975" spans="1:1" ht="9.75" customHeight="1">
      <c r="A1975" s="101"/>
    </row>
    <row r="1976" spans="1:1" ht="9.75" customHeight="1">
      <c r="A1976" s="101"/>
    </row>
    <row r="1977" spans="1:1" ht="9.75" customHeight="1">
      <c r="A1977" s="101"/>
    </row>
    <row r="1978" spans="1:1" ht="9.75" customHeight="1">
      <c r="A1978" s="101"/>
    </row>
    <row r="1979" spans="1:1" ht="9.75" customHeight="1">
      <c r="A1979" s="101"/>
    </row>
    <row r="1980" spans="1:1" ht="9.75" customHeight="1">
      <c r="A1980" s="101"/>
    </row>
    <row r="1981" spans="1:1" ht="9.75" customHeight="1">
      <c r="A1981" s="101"/>
    </row>
    <row r="1982" spans="1:1" ht="9.75" customHeight="1">
      <c r="A1982" s="101"/>
    </row>
    <row r="1983" spans="1:1" ht="9.75" customHeight="1">
      <c r="A1983" s="101"/>
    </row>
    <row r="1984" spans="1:1" ht="9.75" customHeight="1">
      <c r="A1984" s="101"/>
    </row>
    <row r="1985" spans="1:1" ht="9.75" customHeight="1">
      <c r="A1985" s="101"/>
    </row>
    <row r="1986" spans="1:1" ht="9.75" customHeight="1">
      <c r="A1986" s="101"/>
    </row>
    <row r="1987" spans="1:1" ht="9.75" customHeight="1">
      <c r="A1987" s="101"/>
    </row>
    <row r="1988" spans="1:1" ht="9.75" customHeight="1">
      <c r="A1988" s="101"/>
    </row>
    <row r="1989" spans="1:1" ht="9.75" customHeight="1">
      <c r="A1989" s="101"/>
    </row>
    <row r="1990" spans="1:1" ht="9.75" customHeight="1">
      <c r="A1990" s="101"/>
    </row>
    <row r="1991" spans="1:1" ht="9.75" customHeight="1">
      <c r="A1991" s="101"/>
    </row>
    <row r="1992" spans="1:1" ht="9.75" customHeight="1">
      <c r="A1992" s="101"/>
    </row>
    <row r="1993" spans="1:1" ht="9.75" customHeight="1">
      <c r="A1993" s="101"/>
    </row>
    <row r="1994" spans="1:1" ht="9.75" customHeight="1">
      <c r="A1994" s="101"/>
    </row>
    <row r="1995" spans="1:1" ht="9.75" customHeight="1">
      <c r="A1995" s="101"/>
    </row>
    <row r="1996" spans="1:1" ht="9.75" customHeight="1">
      <c r="A1996" s="101"/>
    </row>
    <row r="1997" spans="1:1" ht="9.75" customHeight="1">
      <c r="A1997" s="101"/>
    </row>
    <row r="1998" spans="1:1" ht="9.75" customHeight="1">
      <c r="A1998" s="101"/>
    </row>
    <row r="1999" spans="1:1" ht="9.75" customHeight="1">
      <c r="A1999" s="101"/>
    </row>
    <row r="2000" spans="1:1" ht="9.75" customHeight="1">
      <c r="A2000" s="101"/>
    </row>
    <row r="2001" spans="1:1" ht="9.75" customHeight="1">
      <c r="A2001" s="101"/>
    </row>
    <row r="2002" spans="1:1" ht="9.75" customHeight="1">
      <c r="A2002" s="101"/>
    </row>
    <row r="2003" spans="1:1" ht="9.75" customHeight="1">
      <c r="A2003" s="101"/>
    </row>
    <row r="2004" spans="1:1" ht="9.75" customHeight="1">
      <c r="A2004" s="101"/>
    </row>
    <row r="2005" spans="1:1" ht="9.75" customHeight="1">
      <c r="A2005" s="101"/>
    </row>
    <row r="2006" spans="1:1" ht="9.75" customHeight="1">
      <c r="A2006" s="101"/>
    </row>
    <row r="2007" spans="1:1" ht="9.75" customHeight="1">
      <c r="A2007" s="101"/>
    </row>
    <row r="2008" spans="1:1" ht="9.75" customHeight="1">
      <c r="A2008" s="101"/>
    </row>
    <row r="2009" spans="1:1" ht="9.75" customHeight="1">
      <c r="A2009" s="101"/>
    </row>
    <row r="2010" spans="1:1" ht="9.75" customHeight="1">
      <c r="A2010" s="101"/>
    </row>
    <row r="2011" spans="1:1" ht="9.75" customHeight="1">
      <c r="A2011" s="101"/>
    </row>
    <row r="2012" spans="1:1" ht="9.75" customHeight="1">
      <c r="A2012" s="101"/>
    </row>
    <row r="2013" spans="1:1" ht="9.75" customHeight="1">
      <c r="A2013" s="101"/>
    </row>
    <row r="2014" spans="1:1" ht="9.75" customHeight="1">
      <c r="A2014" s="101"/>
    </row>
    <row r="2015" spans="1:1" ht="9.75" customHeight="1">
      <c r="A2015" s="101"/>
    </row>
    <row r="2016" spans="1:1" ht="9.75" customHeight="1">
      <c r="A2016" s="101"/>
    </row>
    <row r="2017" spans="1:1" ht="9.75" customHeight="1">
      <c r="A2017" s="101"/>
    </row>
    <row r="2018" spans="1:1" ht="9.75" customHeight="1">
      <c r="A2018" s="101"/>
    </row>
    <row r="2019" spans="1:1" ht="9.75" customHeight="1">
      <c r="A2019" s="101"/>
    </row>
    <row r="2020" spans="1:1" ht="9.75" customHeight="1">
      <c r="A2020" s="101"/>
    </row>
    <row r="2021" spans="1:1" ht="9.75" customHeight="1">
      <c r="A2021" s="101"/>
    </row>
    <row r="2022" spans="1:1" ht="9.75" customHeight="1">
      <c r="A2022" s="101"/>
    </row>
    <row r="2023" spans="1:1" ht="9.75" customHeight="1">
      <c r="A2023" s="101"/>
    </row>
    <row r="2024" spans="1:1" ht="9.75" customHeight="1">
      <c r="A2024" s="101"/>
    </row>
    <row r="2025" spans="1:1" ht="9.75" customHeight="1">
      <c r="A2025" s="101"/>
    </row>
    <row r="2026" spans="1:1" ht="9.75" customHeight="1">
      <c r="A2026" s="101"/>
    </row>
    <row r="2027" spans="1:1" ht="9.75" customHeight="1">
      <c r="A2027" s="101"/>
    </row>
    <row r="2028" spans="1:1" ht="9.75" customHeight="1">
      <c r="A2028" s="101"/>
    </row>
    <row r="2029" spans="1:1" ht="9.75" customHeight="1">
      <c r="A2029" s="101"/>
    </row>
    <row r="2030" spans="1:1" ht="9.75" customHeight="1">
      <c r="A2030" s="101"/>
    </row>
    <row r="2031" spans="1:1" ht="9.75" customHeight="1">
      <c r="A2031" s="101"/>
    </row>
    <row r="2032" spans="1:1" ht="9.75" customHeight="1">
      <c r="A2032" s="101"/>
    </row>
    <row r="2033" spans="1:1" ht="9.75" customHeight="1">
      <c r="A2033" s="101"/>
    </row>
    <row r="2034" spans="1:1" ht="9.75" customHeight="1">
      <c r="A2034" s="101"/>
    </row>
    <row r="2035" spans="1:1" ht="9.75" customHeight="1">
      <c r="A2035" s="101"/>
    </row>
    <row r="2036" spans="1:1" ht="9.75" customHeight="1">
      <c r="A2036" s="101"/>
    </row>
    <row r="2037" spans="1:1" ht="9.75" customHeight="1">
      <c r="A2037" s="101"/>
    </row>
    <row r="2038" spans="1:1" ht="9.75" customHeight="1">
      <c r="A2038" s="101"/>
    </row>
    <row r="2039" spans="1:1" ht="9.75" customHeight="1">
      <c r="A2039" s="101"/>
    </row>
    <row r="2040" spans="1:1" ht="9.75" customHeight="1">
      <c r="A2040" s="101"/>
    </row>
    <row r="2041" spans="1:1" ht="9.75" customHeight="1">
      <c r="A2041" s="101"/>
    </row>
    <row r="2042" spans="1:1" ht="9.75" customHeight="1">
      <c r="A2042" s="101"/>
    </row>
    <row r="2043" spans="1:1" ht="9.75" customHeight="1">
      <c r="A2043" s="101"/>
    </row>
    <row r="2044" spans="1:1" ht="9.75" customHeight="1">
      <c r="A2044" s="101"/>
    </row>
    <row r="2045" spans="1:1" ht="9.75" customHeight="1">
      <c r="A2045" s="101"/>
    </row>
    <row r="2046" spans="1:1" ht="9.75" customHeight="1">
      <c r="A2046" s="101"/>
    </row>
    <row r="2047" spans="1:1" ht="9.75" customHeight="1">
      <c r="A2047" s="101"/>
    </row>
    <row r="2048" spans="1:1" ht="9.75" customHeight="1">
      <c r="A2048" s="101"/>
    </row>
    <row r="2049" spans="1:1" ht="9.75" customHeight="1">
      <c r="A2049" s="101"/>
    </row>
    <row r="2050" spans="1:1" ht="9.75" customHeight="1">
      <c r="A2050" s="101"/>
    </row>
    <row r="2051" spans="1:1" ht="9.75" customHeight="1">
      <c r="A2051" s="101"/>
    </row>
    <row r="2052" spans="1:1" ht="9.75" customHeight="1">
      <c r="A2052" s="101"/>
    </row>
    <row r="2053" spans="1:1" ht="9.75" customHeight="1">
      <c r="A2053" s="101"/>
    </row>
    <row r="2054" spans="1:1" ht="9.75" customHeight="1">
      <c r="A2054" s="101"/>
    </row>
    <row r="2055" spans="1:1" ht="9.75" customHeight="1">
      <c r="A2055" s="101"/>
    </row>
    <row r="2056" spans="1:1" ht="9.75" customHeight="1">
      <c r="A2056" s="101"/>
    </row>
    <row r="2057" spans="1:1" ht="9.75" customHeight="1">
      <c r="A2057" s="101"/>
    </row>
    <row r="2058" spans="1:1" ht="9.75" customHeight="1">
      <c r="A2058" s="101"/>
    </row>
    <row r="2059" spans="1:1" ht="9.75" customHeight="1">
      <c r="A2059" s="101"/>
    </row>
    <row r="2060" spans="1:1" ht="9.75" customHeight="1">
      <c r="A2060" s="101"/>
    </row>
    <row r="2061" spans="1:1" ht="9.75" customHeight="1">
      <c r="A2061" s="101"/>
    </row>
    <row r="2062" spans="1:1" ht="9.75" customHeight="1">
      <c r="A2062" s="101"/>
    </row>
    <row r="2063" spans="1:1" ht="9.75" customHeight="1">
      <c r="A2063" s="101"/>
    </row>
    <row r="2064" spans="1:1" ht="9.75" customHeight="1">
      <c r="A2064" s="101"/>
    </row>
    <row r="2065" spans="1:1" ht="9.75" customHeight="1">
      <c r="A2065" s="101"/>
    </row>
    <row r="2066" spans="1:1" ht="9.75" customHeight="1">
      <c r="A2066" s="101"/>
    </row>
    <row r="2067" spans="1:1" ht="9.75" customHeight="1">
      <c r="A2067" s="101"/>
    </row>
    <row r="2068" spans="1:1" ht="9.75" customHeight="1">
      <c r="A2068" s="101"/>
    </row>
    <row r="2069" spans="1:1" ht="9.75" customHeight="1">
      <c r="A2069" s="101"/>
    </row>
    <row r="2070" spans="1:1" ht="9.75" customHeight="1">
      <c r="A2070" s="101"/>
    </row>
    <row r="2071" spans="1:1" ht="9.75" customHeight="1">
      <c r="A2071" s="101"/>
    </row>
    <row r="2072" spans="1:1" ht="9.75" customHeight="1">
      <c r="A2072" s="101"/>
    </row>
    <row r="2073" spans="1:1" ht="9.75" customHeight="1">
      <c r="A2073" s="101"/>
    </row>
    <row r="2074" spans="1:1" ht="9.75" customHeight="1">
      <c r="A2074" s="101"/>
    </row>
    <row r="2075" spans="1:1" ht="9.75" customHeight="1">
      <c r="A2075" s="101"/>
    </row>
    <row r="2076" spans="1:1" ht="9.75" customHeight="1">
      <c r="A2076" s="101"/>
    </row>
    <row r="2077" spans="1:1" ht="9.75" customHeight="1">
      <c r="A2077" s="101"/>
    </row>
    <row r="2078" spans="1:1" ht="9.75" customHeight="1">
      <c r="A2078" s="101"/>
    </row>
    <row r="2079" spans="1:1" ht="9.75" customHeight="1">
      <c r="A2079" s="101"/>
    </row>
    <row r="2080" spans="1:1" ht="9.75" customHeight="1">
      <c r="A2080" s="101"/>
    </row>
    <row r="2081" spans="1:1" ht="9.75" customHeight="1">
      <c r="A2081" s="101"/>
    </row>
    <row r="2082" spans="1:1" ht="9.75" customHeight="1">
      <c r="A2082" s="101"/>
    </row>
    <row r="2083" spans="1:1" ht="9.75" customHeight="1">
      <c r="A2083" s="101"/>
    </row>
    <row r="2084" spans="1:1" ht="9.75" customHeight="1">
      <c r="A2084" s="101"/>
    </row>
    <row r="2085" spans="1:1" ht="9.75" customHeight="1">
      <c r="A2085" s="101"/>
    </row>
    <row r="2086" spans="1:1" ht="9.75" customHeight="1">
      <c r="A2086" s="101"/>
    </row>
    <row r="2087" spans="1:1" ht="9.75" customHeight="1">
      <c r="A2087" s="101"/>
    </row>
    <row r="2088" spans="1:1" ht="9.75" customHeight="1">
      <c r="A2088" s="101"/>
    </row>
    <row r="2089" spans="1:1" ht="9.75" customHeight="1">
      <c r="A2089" s="101"/>
    </row>
    <row r="2090" spans="1:1" ht="9.75" customHeight="1">
      <c r="A2090" s="101"/>
    </row>
    <row r="2091" spans="1:1" ht="9.75" customHeight="1">
      <c r="A2091" s="101"/>
    </row>
    <row r="2092" spans="1:1" ht="9.75" customHeight="1">
      <c r="A2092" s="101"/>
    </row>
    <row r="2093" spans="1:1" ht="9.75" customHeight="1">
      <c r="A2093" s="101"/>
    </row>
    <row r="2094" spans="1:1" ht="9.75" customHeight="1">
      <c r="A2094" s="101"/>
    </row>
    <row r="2095" spans="1:1" ht="9.75" customHeight="1">
      <c r="A2095" s="101"/>
    </row>
    <row r="2096" spans="1:1" ht="9.75" customHeight="1">
      <c r="A2096" s="101"/>
    </row>
    <row r="2097" spans="1:1" ht="9.75" customHeight="1">
      <c r="A2097" s="101"/>
    </row>
    <row r="2098" spans="1:1" ht="9.75" customHeight="1">
      <c r="A2098" s="101"/>
    </row>
    <row r="2099" spans="1:1" ht="9.75" customHeight="1">
      <c r="A2099" s="101"/>
    </row>
    <row r="2100" spans="1:1" ht="9.75" customHeight="1">
      <c r="A2100" s="101"/>
    </row>
    <row r="2101" spans="1:1" ht="9.75" customHeight="1">
      <c r="A2101" s="101"/>
    </row>
    <row r="2102" spans="1:1" ht="9.75" customHeight="1">
      <c r="A2102" s="101"/>
    </row>
    <row r="2103" spans="1:1" ht="9.75" customHeight="1">
      <c r="A2103" s="101"/>
    </row>
    <row r="2104" spans="1:1" ht="9.75" customHeight="1">
      <c r="A2104" s="101"/>
    </row>
    <row r="2105" spans="1:1" ht="9.75" customHeight="1">
      <c r="A2105" s="101"/>
    </row>
    <row r="2106" spans="1:1" ht="9.75" customHeight="1">
      <c r="A2106" s="101"/>
    </row>
    <row r="2107" spans="1:1" ht="9.75" customHeight="1">
      <c r="A2107" s="101"/>
    </row>
    <row r="2108" spans="1:1" ht="9.75" customHeight="1">
      <c r="A2108" s="101"/>
    </row>
    <row r="2109" spans="1:1" ht="9.75" customHeight="1">
      <c r="A2109" s="101"/>
    </row>
    <row r="2110" spans="1:1" ht="9.75" customHeight="1">
      <c r="A2110" s="101"/>
    </row>
    <row r="2111" spans="1:1" ht="9.75" customHeight="1">
      <c r="A2111" s="101"/>
    </row>
    <row r="2112" spans="1:1" ht="9.75" customHeight="1">
      <c r="A2112" s="101"/>
    </row>
    <row r="2113" spans="1:1" ht="9.75" customHeight="1">
      <c r="A2113" s="101"/>
    </row>
    <row r="2114" spans="1:1" ht="9.75" customHeight="1">
      <c r="A2114" s="101"/>
    </row>
    <row r="2115" spans="1:1" ht="9.75" customHeight="1">
      <c r="A2115" s="101"/>
    </row>
    <row r="2116" spans="1:1" ht="9.75" customHeight="1">
      <c r="A2116" s="101"/>
    </row>
    <row r="2117" spans="1:1" ht="9.75" customHeight="1">
      <c r="A2117" s="101"/>
    </row>
    <row r="2118" spans="1:1" ht="9.75" customHeight="1">
      <c r="A2118" s="101"/>
    </row>
    <row r="2119" spans="1:1" ht="9.75" customHeight="1">
      <c r="A2119" s="101"/>
    </row>
    <row r="2120" spans="1:1" ht="9.75" customHeight="1">
      <c r="A2120" s="101"/>
    </row>
    <row r="2121" spans="1:1" ht="9.75" customHeight="1">
      <c r="A2121" s="101"/>
    </row>
    <row r="2122" spans="1:1" ht="9.75" customHeight="1">
      <c r="A2122" s="101"/>
    </row>
    <row r="2123" spans="1:1" ht="9.75" customHeight="1">
      <c r="A2123" s="101"/>
    </row>
    <row r="2124" spans="1:1" ht="9.75" customHeight="1">
      <c r="A2124" s="101"/>
    </row>
    <row r="2125" spans="1:1" ht="9.75" customHeight="1">
      <c r="A2125" s="101"/>
    </row>
    <row r="2126" spans="1:1" ht="9.75" customHeight="1">
      <c r="A2126" s="101"/>
    </row>
    <row r="2127" spans="1:1" ht="9.75" customHeight="1">
      <c r="A2127" s="101"/>
    </row>
    <row r="2128" spans="1:1" ht="9.75" customHeight="1">
      <c r="A2128" s="101"/>
    </row>
    <row r="2129" spans="1:1" ht="9.75" customHeight="1">
      <c r="A2129" s="101"/>
    </row>
    <row r="2130" spans="1:1" ht="9.75" customHeight="1">
      <c r="A2130" s="101"/>
    </row>
    <row r="2131" spans="1:1" ht="9.75" customHeight="1">
      <c r="A2131" s="101"/>
    </row>
    <row r="2132" spans="1:1" ht="9.75" customHeight="1">
      <c r="A2132" s="101"/>
    </row>
    <row r="2133" spans="1:1" ht="9.75" customHeight="1">
      <c r="A2133" s="101"/>
    </row>
    <row r="2134" spans="1:1" ht="9.75" customHeight="1">
      <c r="A2134" s="101"/>
    </row>
    <row r="2135" spans="1:1" ht="9.75" customHeight="1">
      <c r="A2135" s="101"/>
    </row>
    <row r="2136" spans="1:1" ht="9.75" customHeight="1">
      <c r="A2136" s="101"/>
    </row>
    <row r="2137" spans="1:1" ht="9.75" customHeight="1">
      <c r="A2137" s="101"/>
    </row>
    <row r="2138" spans="1:1" ht="9.75" customHeight="1">
      <c r="A2138" s="101"/>
    </row>
    <row r="2139" spans="1:1" ht="9.75" customHeight="1">
      <c r="A2139" s="101"/>
    </row>
    <row r="2140" spans="1:1" ht="9.75" customHeight="1">
      <c r="A2140" s="101"/>
    </row>
    <row r="2141" spans="1:1" ht="9.75" customHeight="1">
      <c r="A2141" s="101"/>
    </row>
    <row r="2142" spans="1:1" ht="9.75" customHeight="1">
      <c r="A2142" s="101"/>
    </row>
    <row r="2143" spans="1:1" ht="9.75" customHeight="1">
      <c r="A2143" s="101"/>
    </row>
    <row r="2144" spans="1:1" ht="9.75" customHeight="1">
      <c r="A2144" s="101"/>
    </row>
    <row r="2145" spans="1:1" ht="9.75" customHeight="1">
      <c r="A2145" s="101"/>
    </row>
    <row r="2146" spans="1:1" ht="9.75" customHeight="1">
      <c r="A2146" s="101"/>
    </row>
    <row r="2147" spans="1:1" ht="9.75" customHeight="1">
      <c r="A2147" s="101"/>
    </row>
    <row r="2148" spans="1:1" ht="9.75" customHeight="1">
      <c r="A2148" s="101"/>
    </row>
    <row r="2149" spans="1:1" ht="9.75" customHeight="1">
      <c r="A2149" s="101"/>
    </row>
    <row r="2150" spans="1:1" ht="9.75" customHeight="1">
      <c r="A2150" s="101"/>
    </row>
    <row r="2151" spans="1:1" ht="9.75" customHeight="1">
      <c r="A2151" s="101"/>
    </row>
    <row r="2152" spans="1:1" ht="9.75" customHeight="1">
      <c r="A2152" s="101"/>
    </row>
    <row r="2153" spans="1:1" ht="9.75" customHeight="1">
      <c r="A2153" s="101"/>
    </row>
    <row r="2154" spans="1:1" ht="9.75" customHeight="1">
      <c r="A2154" s="101"/>
    </row>
    <row r="2155" spans="1:1" ht="9.75" customHeight="1">
      <c r="A2155" s="101"/>
    </row>
    <row r="2156" spans="1:1" ht="9.75" customHeight="1">
      <c r="A2156" s="101"/>
    </row>
    <row r="2157" spans="1:1" ht="9.75" customHeight="1">
      <c r="A2157" s="101"/>
    </row>
    <row r="2158" spans="1:1" ht="9.75" customHeight="1">
      <c r="A2158" s="101"/>
    </row>
    <row r="2159" spans="1:1" ht="9.75" customHeight="1">
      <c r="A2159" s="101"/>
    </row>
    <row r="2160" spans="1:1" ht="9.75" customHeight="1">
      <c r="A2160" s="101"/>
    </row>
    <row r="2161" spans="1:1" ht="9.75" customHeight="1">
      <c r="A2161" s="101"/>
    </row>
    <row r="2162" spans="1:1" ht="9.75" customHeight="1">
      <c r="A2162" s="101"/>
    </row>
    <row r="2163" spans="1:1" ht="9.75" customHeight="1">
      <c r="A2163" s="101"/>
    </row>
    <row r="2164" spans="1:1" ht="9.75" customHeight="1">
      <c r="A2164" s="101"/>
    </row>
    <row r="2165" spans="1:1" ht="9.75" customHeight="1">
      <c r="A2165" s="101"/>
    </row>
    <row r="2166" spans="1:1" ht="9.75" customHeight="1">
      <c r="A2166" s="101"/>
    </row>
    <row r="2167" spans="1:1" ht="9.75" customHeight="1">
      <c r="A2167" s="101"/>
    </row>
    <row r="2168" spans="1:1" ht="9.75" customHeight="1">
      <c r="A2168" s="101"/>
    </row>
    <row r="2169" spans="1:1" ht="9.75" customHeight="1">
      <c r="A2169" s="101"/>
    </row>
    <row r="2170" spans="1:1" ht="9.75" customHeight="1">
      <c r="A2170" s="101"/>
    </row>
    <row r="2171" spans="1:1" ht="9.75" customHeight="1">
      <c r="A2171" s="101"/>
    </row>
    <row r="2172" spans="1:1" ht="9.75" customHeight="1">
      <c r="A2172" s="101"/>
    </row>
    <row r="2173" spans="1:1" ht="9.75" customHeight="1">
      <c r="A2173" s="101"/>
    </row>
    <row r="2174" spans="1:1" ht="9.75" customHeight="1">
      <c r="A2174" s="101"/>
    </row>
    <row r="2175" spans="1:1" ht="9.75" customHeight="1">
      <c r="A2175" s="101"/>
    </row>
    <row r="2176" spans="1:1" ht="9.75" customHeight="1">
      <c r="A2176" s="101"/>
    </row>
    <row r="2177" spans="1:1" ht="9.75" customHeight="1">
      <c r="A2177" s="101"/>
    </row>
    <row r="2178" spans="1:1" ht="9.75" customHeight="1">
      <c r="A2178" s="101"/>
    </row>
    <row r="2179" spans="1:1" ht="9.75" customHeight="1">
      <c r="A2179" s="101"/>
    </row>
    <row r="2180" spans="1:1" ht="9.75" customHeight="1">
      <c r="A2180" s="101"/>
    </row>
    <row r="2181" spans="1:1" ht="9.75" customHeight="1">
      <c r="A2181" s="101"/>
    </row>
    <row r="2182" spans="1:1" ht="9.75" customHeight="1">
      <c r="A2182" s="101"/>
    </row>
    <row r="2183" spans="1:1" ht="9.75" customHeight="1">
      <c r="A2183" s="101"/>
    </row>
    <row r="2184" spans="1:1" ht="9.75" customHeight="1">
      <c r="A2184" s="101"/>
    </row>
    <row r="2185" spans="1:1" ht="9.75" customHeight="1">
      <c r="A2185" s="101"/>
    </row>
    <row r="2186" spans="1:1" ht="9.75" customHeight="1">
      <c r="A2186" s="101"/>
    </row>
    <row r="2187" spans="1:1" ht="9.75" customHeight="1">
      <c r="A2187" s="101"/>
    </row>
    <row r="2188" spans="1:1" ht="9.75" customHeight="1">
      <c r="A2188" s="101"/>
    </row>
    <row r="2189" spans="1:1" ht="9.75" customHeight="1">
      <c r="A2189" s="101"/>
    </row>
    <row r="2190" spans="1:1" ht="9.75" customHeight="1">
      <c r="A2190" s="101"/>
    </row>
    <row r="2191" spans="1:1" ht="9.75" customHeight="1">
      <c r="A2191" s="101"/>
    </row>
    <row r="2192" spans="1:1" ht="9.75" customHeight="1">
      <c r="A2192" s="101"/>
    </row>
    <row r="2193" spans="1:1" ht="9.75" customHeight="1">
      <c r="A2193" s="101"/>
    </row>
    <row r="2194" spans="1:1" ht="9.75" customHeight="1">
      <c r="A2194" s="101"/>
    </row>
    <row r="2195" spans="1:1" ht="9.75" customHeight="1">
      <c r="A2195" s="101"/>
    </row>
    <row r="2196" spans="1:1" ht="9.75" customHeight="1">
      <c r="A2196" s="101"/>
    </row>
    <row r="2197" spans="1:1" ht="9.75" customHeight="1">
      <c r="A2197" s="101"/>
    </row>
    <row r="2198" spans="1:1" ht="9.75" customHeight="1">
      <c r="A2198" s="101"/>
    </row>
    <row r="2199" spans="1:1" ht="9.75" customHeight="1">
      <c r="A2199" s="101"/>
    </row>
    <row r="2200" spans="1:1" ht="9.75" customHeight="1">
      <c r="A2200" s="101"/>
    </row>
    <row r="2201" spans="1:1" ht="9.75" customHeight="1">
      <c r="A2201" s="101"/>
    </row>
    <row r="2202" spans="1:1" ht="9.75" customHeight="1">
      <c r="A2202" s="101"/>
    </row>
    <row r="2203" spans="1:1" ht="9.75" customHeight="1">
      <c r="A2203" s="101"/>
    </row>
    <row r="2204" spans="1:1" ht="9.75" customHeight="1">
      <c r="A2204" s="101"/>
    </row>
    <row r="2205" spans="1:1" ht="9.75" customHeight="1">
      <c r="A2205" s="101"/>
    </row>
    <row r="2206" spans="1:1" ht="9.75" customHeight="1">
      <c r="A2206" s="101"/>
    </row>
    <row r="2207" spans="1:1" ht="9.75" customHeight="1">
      <c r="A2207" s="101"/>
    </row>
    <row r="2208" spans="1:1" ht="9.75" customHeight="1">
      <c r="A2208" s="101"/>
    </row>
    <row r="2209" spans="1:1" ht="9.75" customHeight="1">
      <c r="A2209" s="101"/>
    </row>
    <row r="2210" spans="1:1" ht="9.75" customHeight="1">
      <c r="A2210" s="101"/>
    </row>
    <row r="2211" spans="1:1" ht="9.75" customHeight="1">
      <c r="A2211" s="101"/>
    </row>
    <row r="2212" spans="1:1" ht="9.75" customHeight="1">
      <c r="A2212" s="101"/>
    </row>
    <row r="2213" spans="1:1" ht="9.75" customHeight="1">
      <c r="A2213" s="101"/>
    </row>
    <row r="2214" spans="1:1" ht="9.75" customHeight="1">
      <c r="A2214" s="101"/>
    </row>
    <row r="2215" spans="1:1" ht="9.75" customHeight="1">
      <c r="A2215" s="101"/>
    </row>
    <row r="2216" spans="1:1" ht="9.75" customHeight="1">
      <c r="A2216" s="101"/>
    </row>
    <row r="2217" spans="1:1" ht="9.75" customHeight="1">
      <c r="A2217" s="101"/>
    </row>
    <row r="2218" spans="1:1" ht="9.75" customHeight="1">
      <c r="A2218" s="101"/>
    </row>
    <row r="2219" spans="1:1" ht="9.75" customHeight="1">
      <c r="A2219" s="101"/>
    </row>
    <row r="2220" spans="1:1" ht="9.75" customHeight="1">
      <c r="A2220" s="101"/>
    </row>
    <row r="2221" spans="1:1" ht="9.75" customHeight="1">
      <c r="A2221" s="101"/>
    </row>
    <row r="2222" spans="1:1" ht="9.75" customHeight="1">
      <c r="A2222" s="101"/>
    </row>
    <row r="2223" spans="1:1" ht="9.75" customHeight="1">
      <c r="A2223" s="101"/>
    </row>
    <row r="2224" spans="1:1" ht="9.75" customHeight="1">
      <c r="A2224" s="101"/>
    </row>
    <row r="2225" spans="1:1" ht="9.75" customHeight="1">
      <c r="A2225" s="101"/>
    </row>
    <row r="2226" spans="1:1" ht="9.75" customHeight="1">
      <c r="A2226" s="101"/>
    </row>
    <row r="2227" spans="1:1" ht="9.75" customHeight="1">
      <c r="A2227" s="101"/>
    </row>
    <row r="2228" spans="1:1" ht="9.75" customHeight="1">
      <c r="A2228" s="101"/>
    </row>
    <row r="2229" spans="1:1" ht="9.75" customHeight="1">
      <c r="A2229" s="101"/>
    </row>
    <row r="2230" spans="1:1" ht="9.75" customHeight="1">
      <c r="A2230" s="101"/>
    </row>
    <row r="2231" spans="1:1" ht="9.75" customHeight="1">
      <c r="A2231" s="101"/>
    </row>
    <row r="2232" spans="1:1" ht="9.75" customHeight="1">
      <c r="A2232" s="101"/>
    </row>
    <row r="2233" spans="1:1" ht="9.75" customHeight="1">
      <c r="A2233" s="101"/>
    </row>
    <row r="2234" spans="1:1" ht="9.75" customHeight="1">
      <c r="A2234" s="101"/>
    </row>
    <row r="2235" spans="1:1" ht="9.75" customHeight="1">
      <c r="A2235" s="101"/>
    </row>
    <row r="2236" spans="1:1" ht="9.75" customHeight="1">
      <c r="A2236" s="101"/>
    </row>
    <row r="2237" spans="1:1" ht="9.75" customHeight="1">
      <c r="A2237" s="101"/>
    </row>
    <row r="2238" spans="1:1" ht="9.75" customHeight="1">
      <c r="A2238" s="101"/>
    </row>
    <row r="2239" spans="1:1" ht="9.75" customHeight="1">
      <c r="A2239" s="101"/>
    </row>
    <row r="2240" spans="1:1" ht="9.75" customHeight="1">
      <c r="A2240" s="101"/>
    </row>
    <row r="2241" spans="1:1" ht="9.75" customHeight="1">
      <c r="A2241" s="101"/>
    </row>
    <row r="2242" spans="1:1" ht="9.75" customHeight="1">
      <c r="A2242" s="101"/>
    </row>
    <row r="2243" spans="1:1" ht="9.75" customHeight="1">
      <c r="A2243" s="101"/>
    </row>
    <row r="2244" spans="1:1" ht="9.75" customHeight="1">
      <c r="A2244" s="101"/>
    </row>
    <row r="2245" spans="1:1" ht="9.75" customHeight="1">
      <c r="A2245" s="101"/>
    </row>
    <row r="2246" spans="1:1" ht="9.75" customHeight="1">
      <c r="A2246" s="101"/>
    </row>
    <row r="2247" spans="1:1" ht="9.75" customHeight="1">
      <c r="A2247" s="101"/>
    </row>
    <row r="2248" spans="1:1" ht="9.75" customHeight="1">
      <c r="A2248" s="101"/>
    </row>
    <row r="2249" spans="1:1" ht="9.75" customHeight="1">
      <c r="A2249" s="101"/>
    </row>
    <row r="2250" spans="1:1" ht="9.75" customHeight="1">
      <c r="A2250" s="101"/>
    </row>
    <row r="2251" spans="1:1" ht="9.75" customHeight="1">
      <c r="A2251" s="101"/>
    </row>
    <row r="2252" spans="1:1" ht="9.75" customHeight="1">
      <c r="A2252" s="101"/>
    </row>
    <row r="2253" spans="1:1" ht="9.75" customHeight="1">
      <c r="A2253" s="101"/>
    </row>
    <row r="2254" spans="1:1" ht="9.75" customHeight="1">
      <c r="A2254" s="101"/>
    </row>
    <row r="2255" spans="1:1" ht="9.75" customHeight="1">
      <c r="A2255" s="101"/>
    </row>
    <row r="2256" spans="1:1" ht="9.75" customHeight="1">
      <c r="A2256" s="101"/>
    </row>
    <row r="2257" spans="1:1" ht="9.75" customHeight="1">
      <c r="A2257" s="101"/>
    </row>
    <row r="2258" spans="1:1" ht="9.75" customHeight="1">
      <c r="A2258" s="101"/>
    </row>
    <row r="2259" spans="1:1" ht="9.75" customHeight="1">
      <c r="A2259" s="101"/>
    </row>
    <row r="2260" spans="1:1" ht="9.75" customHeight="1">
      <c r="A2260" s="101"/>
    </row>
    <row r="2261" spans="1:1" ht="9.75" customHeight="1">
      <c r="A2261" s="101"/>
    </row>
    <row r="2262" spans="1:1" ht="9.75" customHeight="1">
      <c r="A2262" s="101"/>
    </row>
    <row r="2263" spans="1:1" ht="9.75" customHeight="1">
      <c r="A2263" s="101"/>
    </row>
    <row r="2264" spans="1:1" ht="9.75" customHeight="1">
      <c r="A2264" s="101"/>
    </row>
    <row r="2265" spans="1:1" ht="9.75" customHeight="1">
      <c r="A2265" s="101"/>
    </row>
    <row r="2266" spans="1:1" ht="9.75" customHeight="1">
      <c r="A2266" s="101"/>
    </row>
    <row r="2267" spans="1:1" ht="9.75" customHeight="1">
      <c r="A2267" s="101"/>
    </row>
    <row r="2268" spans="1:1" ht="9.75" customHeight="1">
      <c r="A2268" s="101"/>
    </row>
    <row r="2269" spans="1:1" ht="9.75" customHeight="1">
      <c r="A2269" s="101"/>
    </row>
    <row r="2270" spans="1:1" ht="9.75" customHeight="1">
      <c r="A2270" s="101"/>
    </row>
    <row r="2271" spans="1:1" ht="9.75" customHeight="1">
      <c r="A2271" s="101"/>
    </row>
    <row r="2272" spans="1:1" ht="9.75" customHeight="1">
      <c r="A2272" s="101"/>
    </row>
    <row r="2273" spans="1:1" ht="9.75" customHeight="1">
      <c r="A2273" s="101"/>
    </row>
    <row r="2274" spans="1:1" ht="9.75" customHeight="1">
      <c r="A2274" s="101"/>
    </row>
    <row r="2275" spans="1:1" ht="9.75" customHeight="1">
      <c r="A2275" s="101"/>
    </row>
    <row r="2276" spans="1:1" ht="9.75" customHeight="1">
      <c r="A2276" s="101"/>
    </row>
    <row r="2277" spans="1:1" ht="9.75" customHeight="1">
      <c r="A2277" s="101"/>
    </row>
    <row r="2278" spans="1:1" ht="9.75" customHeight="1">
      <c r="A2278" s="101"/>
    </row>
    <row r="2279" spans="1:1" ht="9.75" customHeight="1">
      <c r="A2279" s="101"/>
    </row>
    <row r="2280" spans="1:1" ht="9.75" customHeight="1">
      <c r="A2280" s="101"/>
    </row>
    <row r="2281" spans="1:1" ht="9.75" customHeight="1">
      <c r="A2281" s="101"/>
    </row>
    <row r="2282" spans="1:1" ht="9.75" customHeight="1">
      <c r="A2282" s="101"/>
    </row>
    <row r="2283" spans="1:1" ht="9.75" customHeight="1">
      <c r="A2283" s="101"/>
    </row>
    <row r="2284" spans="1:1" ht="9.75" customHeight="1">
      <c r="A2284" s="101"/>
    </row>
    <row r="2285" spans="1:1" ht="9.75" customHeight="1">
      <c r="A2285" s="101"/>
    </row>
    <row r="2286" spans="1:1" ht="9.75" customHeight="1">
      <c r="A2286" s="101"/>
    </row>
    <row r="2287" spans="1:1" ht="9.75" customHeight="1">
      <c r="A2287" s="101"/>
    </row>
    <row r="2288" spans="1:1" ht="9.75" customHeight="1">
      <c r="A2288" s="101"/>
    </row>
    <row r="2289" spans="1:1" ht="9.75" customHeight="1">
      <c r="A2289" s="101"/>
    </row>
    <row r="2290" spans="1:1" ht="9.75" customHeight="1">
      <c r="A2290" s="101"/>
    </row>
    <row r="2291" spans="1:1" ht="9.75" customHeight="1">
      <c r="A2291" s="101"/>
    </row>
    <row r="2292" spans="1:1" ht="9.75" customHeight="1">
      <c r="A2292" s="101"/>
    </row>
    <row r="2293" spans="1:1" ht="9.75" customHeight="1">
      <c r="A2293" s="101"/>
    </row>
    <row r="2294" spans="1:1" ht="9.75" customHeight="1">
      <c r="A2294" s="101"/>
    </row>
    <row r="2295" spans="1:1" ht="9.75" customHeight="1">
      <c r="A2295" s="101"/>
    </row>
    <row r="2296" spans="1:1" ht="9.75" customHeight="1">
      <c r="A2296" s="101"/>
    </row>
    <row r="2297" spans="1:1" ht="9.75" customHeight="1">
      <c r="A2297" s="101"/>
    </row>
    <row r="2298" spans="1:1" ht="9.75" customHeight="1">
      <c r="A2298" s="101"/>
    </row>
    <row r="2299" spans="1:1" ht="9.75" customHeight="1">
      <c r="A2299" s="101"/>
    </row>
    <row r="2300" spans="1:1" ht="9.75" customHeight="1">
      <c r="A2300" s="101"/>
    </row>
    <row r="2301" spans="1:1" ht="9.75" customHeight="1">
      <c r="A2301" s="101"/>
    </row>
    <row r="2302" spans="1:1" ht="9.75" customHeight="1">
      <c r="A2302" s="101"/>
    </row>
    <row r="2303" spans="1:1" ht="9.75" customHeight="1">
      <c r="A2303" s="101"/>
    </row>
    <row r="2304" spans="1:1" ht="9.75" customHeight="1">
      <c r="A2304" s="101"/>
    </row>
    <row r="2305" spans="1:1" ht="9.75" customHeight="1">
      <c r="A2305" s="101"/>
    </row>
    <row r="2306" spans="1:1" ht="9.75" customHeight="1">
      <c r="A2306" s="101"/>
    </row>
    <row r="2307" spans="1:1" ht="9.75" customHeight="1">
      <c r="A2307" s="101"/>
    </row>
    <row r="2308" spans="1:1" ht="9.75" customHeight="1">
      <c r="A2308" s="101"/>
    </row>
    <row r="2309" spans="1:1" ht="9.75" customHeight="1">
      <c r="A2309" s="101"/>
    </row>
    <row r="2310" spans="1:1" ht="9.75" customHeight="1">
      <c r="A2310" s="101"/>
    </row>
    <row r="2311" spans="1:1" ht="9.75" customHeight="1">
      <c r="A2311" s="101"/>
    </row>
    <row r="2312" spans="1:1" ht="9.75" customHeight="1">
      <c r="A2312" s="101"/>
    </row>
    <row r="2313" spans="1:1" ht="9.75" customHeight="1">
      <c r="A2313" s="101"/>
    </row>
    <row r="2314" spans="1:1" ht="9.75" customHeight="1">
      <c r="A2314" s="101"/>
    </row>
    <row r="2315" spans="1:1" ht="9.75" customHeight="1">
      <c r="A2315" s="101"/>
    </row>
    <row r="2316" spans="1:1" ht="9.75" customHeight="1">
      <c r="A2316" s="101"/>
    </row>
    <row r="2317" spans="1:1" ht="9.75" customHeight="1">
      <c r="A2317" s="101"/>
    </row>
    <row r="2318" spans="1:1" ht="9.75" customHeight="1">
      <c r="A2318" s="101"/>
    </row>
    <row r="2319" spans="1:1" ht="9.75" customHeight="1">
      <c r="A2319" s="101"/>
    </row>
    <row r="2320" spans="1:1" ht="9.75" customHeight="1">
      <c r="A2320" s="101"/>
    </row>
    <row r="2321" spans="1:1" ht="9.75" customHeight="1">
      <c r="A2321" s="101"/>
    </row>
    <row r="2322" spans="1:1" ht="9.75" customHeight="1">
      <c r="A2322" s="101"/>
    </row>
    <row r="2323" spans="1:1" ht="9.75" customHeight="1">
      <c r="A2323" s="101"/>
    </row>
    <row r="2324" spans="1:1" ht="9.75" customHeight="1">
      <c r="A2324" s="101"/>
    </row>
    <row r="2325" spans="1:1" ht="9.75" customHeight="1">
      <c r="A2325" s="101"/>
    </row>
    <row r="2326" spans="1:1" ht="9.75" customHeight="1">
      <c r="A2326" s="101"/>
    </row>
    <row r="2327" spans="1:1" ht="9.75" customHeight="1">
      <c r="A2327" s="101"/>
    </row>
    <row r="2328" spans="1:1" ht="9.75" customHeight="1">
      <c r="A2328" s="101"/>
    </row>
    <row r="2329" spans="1:1" ht="9.75" customHeight="1">
      <c r="A2329" s="101"/>
    </row>
    <row r="2330" spans="1:1" ht="9.75" customHeight="1">
      <c r="A2330" s="101"/>
    </row>
    <row r="2331" spans="1:1" ht="9.75" customHeight="1">
      <c r="A2331" s="101"/>
    </row>
    <row r="2332" spans="1:1" ht="9.75" customHeight="1">
      <c r="A2332" s="101"/>
    </row>
    <row r="2333" spans="1:1" ht="9.75" customHeight="1">
      <c r="A2333" s="101"/>
    </row>
    <row r="2334" spans="1:1" ht="9.75" customHeight="1">
      <c r="A2334" s="101"/>
    </row>
    <row r="2335" spans="1:1" ht="9.75" customHeight="1">
      <c r="A2335" s="101"/>
    </row>
    <row r="2336" spans="1:1" ht="9.75" customHeight="1">
      <c r="A2336" s="101"/>
    </row>
    <row r="2337" spans="1:1" ht="9.75" customHeight="1">
      <c r="A2337" s="101"/>
    </row>
    <row r="2338" spans="1:1" ht="9.75" customHeight="1">
      <c r="A2338" s="101"/>
    </row>
    <row r="2339" spans="1:1" ht="9.75" customHeight="1">
      <c r="A2339" s="101"/>
    </row>
    <row r="2340" spans="1:1" ht="9.75" customHeight="1">
      <c r="A2340" s="101"/>
    </row>
    <row r="2341" spans="1:1" ht="9.75" customHeight="1">
      <c r="A2341" s="101"/>
    </row>
    <row r="2342" spans="1:1" ht="9.75" customHeight="1">
      <c r="A2342" s="101"/>
    </row>
    <row r="2343" spans="1:1" ht="9.75" customHeight="1">
      <c r="A2343" s="101"/>
    </row>
    <row r="2344" spans="1:1" ht="9.75" customHeight="1">
      <c r="A2344" s="101"/>
    </row>
    <row r="2345" spans="1:1" ht="9.75" customHeight="1">
      <c r="A2345" s="101"/>
    </row>
    <row r="2346" spans="1:1" ht="9.75" customHeight="1">
      <c r="A2346" s="101"/>
    </row>
    <row r="2347" spans="1:1" ht="9.75" customHeight="1">
      <c r="A2347" s="101"/>
    </row>
    <row r="2348" spans="1:1" ht="9.75" customHeight="1">
      <c r="A2348" s="101"/>
    </row>
    <row r="2349" spans="1:1" ht="9.75" customHeight="1">
      <c r="A2349" s="101"/>
    </row>
    <row r="2350" spans="1:1" ht="9.75" customHeight="1">
      <c r="A2350" s="101"/>
    </row>
    <row r="2351" spans="1:1" ht="9.75" customHeight="1">
      <c r="A2351" s="101"/>
    </row>
    <row r="2352" spans="1:1" ht="9.75" customHeight="1">
      <c r="A2352" s="101"/>
    </row>
    <row r="2353" spans="1:1" ht="9.75" customHeight="1">
      <c r="A2353" s="101"/>
    </row>
    <row r="2354" spans="1:1" ht="9.75" customHeight="1">
      <c r="A2354" s="101"/>
    </row>
    <row r="2355" spans="1:1" ht="9.75" customHeight="1">
      <c r="A2355" s="101"/>
    </row>
    <row r="2356" spans="1:1" ht="9.75" customHeight="1">
      <c r="A2356" s="101"/>
    </row>
    <row r="2357" spans="1:1" ht="9.75" customHeight="1">
      <c r="A2357" s="101"/>
    </row>
    <row r="2358" spans="1:1" ht="9.75" customHeight="1">
      <c r="A2358" s="101"/>
    </row>
    <row r="2359" spans="1:1" ht="9.75" customHeight="1">
      <c r="A2359" s="101"/>
    </row>
    <row r="2360" spans="1:1" ht="9.75" customHeight="1">
      <c r="A2360" s="101"/>
    </row>
    <row r="2361" spans="1:1" ht="9.75" customHeight="1">
      <c r="A2361" s="101"/>
    </row>
    <row r="2362" spans="1:1" ht="9.75" customHeight="1">
      <c r="A2362" s="101"/>
    </row>
    <row r="2363" spans="1:1" ht="9.75" customHeight="1">
      <c r="A2363" s="101"/>
    </row>
    <row r="2364" spans="1:1" ht="9.75" customHeight="1">
      <c r="A2364" s="101"/>
    </row>
    <row r="2365" spans="1:1" ht="9.75" customHeight="1">
      <c r="A2365" s="101"/>
    </row>
    <row r="2366" spans="1:1" ht="9.75" customHeight="1">
      <c r="A2366" s="101"/>
    </row>
    <row r="2367" spans="1:1" ht="9.75" customHeight="1">
      <c r="A2367" s="101"/>
    </row>
    <row r="2368" spans="1:1" ht="9.75" customHeight="1">
      <c r="A2368" s="101"/>
    </row>
    <row r="2369" spans="1:1" ht="9.75" customHeight="1">
      <c r="A2369" s="101"/>
    </row>
    <row r="2370" spans="1:1" ht="9.75" customHeight="1">
      <c r="A2370" s="101"/>
    </row>
    <row r="2371" spans="1:1" ht="9.75" customHeight="1">
      <c r="A2371" s="101"/>
    </row>
    <row r="2372" spans="1:1" ht="9.75" customHeight="1">
      <c r="A2372" s="101"/>
    </row>
    <row r="2373" spans="1:1" ht="9.75" customHeight="1">
      <c r="A2373" s="101"/>
    </row>
    <row r="2374" spans="1:1" ht="9.75" customHeight="1">
      <c r="A2374" s="101"/>
    </row>
    <row r="2375" spans="1:1" ht="9.75" customHeight="1">
      <c r="A2375" s="101"/>
    </row>
    <row r="2376" spans="1:1" ht="9.75" customHeight="1">
      <c r="A2376" s="101"/>
    </row>
    <row r="2377" spans="1:1" ht="9.75" customHeight="1">
      <c r="A2377" s="101"/>
    </row>
    <row r="2378" spans="1:1" ht="9.75" customHeight="1">
      <c r="A2378" s="101"/>
    </row>
    <row r="2379" spans="1:1" ht="9.75" customHeight="1">
      <c r="A2379" s="101"/>
    </row>
    <row r="2380" spans="1:1" ht="9.75" customHeight="1">
      <c r="A2380" s="101"/>
    </row>
    <row r="2381" spans="1:1" ht="9.75" customHeight="1">
      <c r="A2381" s="101"/>
    </row>
    <row r="2382" spans="1:1" ht="9.75" customHeight="1">
      <c r="A2382" s="101"/>
    </row>
    <row r="2383" spans="1:1" ht="9.75" customHeight="1">
      <c r="A2383" s="101"/>
    </row>
    <row r="2384" spans="1:1" ht="9.75" customHeight="1">
      <c r="A2384" s="101"/>
    </row>
    <row r="2385" spans="1:1" ht="9.75" customHeight="1">
      <c r="A2385" s="101"/>
    </row>
    <row r="2386" spans="1:1" ht="9.75" customHeight="1">
      <c r="A2386" s="101"/>
    </row>
    <row r="2387" spans="1:1" ht="9.75" customHeight="1">
      <c r="A2387" s="101"/>
    </row>
    <row r="2388" spans="1:1" ht="9.75" customHeight="1">
      <c r="A2388" s="101"/>
    </row>
    <row r="2389" spans="1:1" ht="9.75" customHeight="1">
      <c r="A2389" s="101"/>
    </row>
    <row r="2390" spans="1:1" ht="9.75" customHeight="1">
      <c r="A2390" s="101"/>
    </row>
    <row r="2391" spans="1:1" ht="9.75" customHeight="1">
      <c r="A2391" s="101"/>
    </row>
    <row r="2392" spans="1:1" ht="9.75" customHeight="1">
      <c r="A2392" s="101"/>
    </row>
    <row r="2393" spans="1:1" ht="9.75" customHeight="1">
      <c r="A2393" s="101"/>
    </row>
    <row r="2394" spans="1:1" ht="9.75" customHeight="1">
      <c r="A2394" s="101"/>
    </row>
    <row r="2395" spans="1:1" ht="9.75" customHeight="1">
      <c r="A2395" s="101"/>
    </row>
    <row r="2396" spans="1:1" ht="9.75" customHeight="1">
      <c r="A2396" s="101"/>
    </row>
    <row r="2397" spans="1:1" ht="9.75" customHeight="1">
      <c r="A2397" s="101"/>
    </row>
    <row r="2398" spans="1:1" ht="9.75" customHeight="1">
      <c r="A2398" s="101"/>
    </row>
    <row r="2399" spans="1:1" ht="9.75" customHeight="1">
      <c r="A2399" s="101"/>
    </row>
    <row r="2400" spans="1:1" ht="9.75" customHeight="1">
      <c r="A2400" s="101"/>
    </row>
    <row r="2401" spans="1:1" ht="9.75" customHeight="1">
      <c r="A2401" s="101"/>
    </row>
    <row r="2402" spans="1:1" ht="9.75" customHeight="1">
      <c r="A2402" s="101"/>
    </row>
    <row r="2403" spans="1:1" ht="9.75" customHeight="1">
      <c r="A2403" s="101"/>
    </row>
    <row r="2404" spans="1:1" ht="9.75" customHeight="1">
      <c r="A2404" s="101"/>
    </row>
    <row r="2405" spans="1:1" ht="9.75" customHeight="1">
      <c r="A2405" s="101"/>
    </row>
    <row r="2406" spans="1:1" ht="9.75" customHeight="1">
      <c r="A2406" s="101"/>
    </row>
    <row r="2407" spans="1:1" ht="9.75" customHeight="1">
      <c r="A2407" s="101"/>
    </row>
    <row r="2408" spans="1:1" ht="9.75" customHeight="1">
      <c r="A2408" s="101"/>
    </row>
    <row r="2409" spans="1:1" ht="9.75" customHeight="1">
      <c r="A2409" s="101"/>
    </row>
    <row r="2410" spans="1:1" ht="9.75" customHeight="1">
      <c r="A2410" s="101"/>
    </row>
    <row r="2411" spans="1:1" ht="9.75" customHeight="1">
      <c r="A2411" s="101"/>
    </row>
    <row r="2412" spans="1:1" ht="9.75" customHeight="1">
      <c r="A2412" s="101"/>
    </row>
    <row r="2413" spans="1:1" ht="9.75" customHeight="1">
      <c r="A2413" s="101"/>
    </row>
    <row r="2414" spans="1:1" ht="9.75" customHeight="1">
      <c r="A2414" s="101"/>
    </row>
    <row r="2415" spans="1:1" ht="9.75" customHeight="1">
      <c r="A2415" s="101"/>
    </row>
    <row r="2416" spans="1:1" ht="9.75" customHeight="1">
      <c r="A2416" s="101"/>
    </row>
    <row r="2417" spans="1:1" ht="9.75" customHeight="1">
      <c r="A2417" s="101"/>
    </row>
    <row r="2418" spans="1:1" ht="9.75" customHeight="1">
      <c r="A2418" s="101"/>
    </row>
    <row r="2419" spans="1:1" ht="9.75" customHeight="1">
      <c r="A2419" s="101"/>
    </row>
    <row r="2420" spans="1:1" ht="9.75" customHeight="1">
      <c r="A2420" s="101"/>
    </row>
    <row r="2421" spans="1:1" ht="9.75" customHeight="1">
      <c r="A2421" s="101"/>
    </row>
    <row r="2422" spans="1:1" ht="9.75" customHeight="1">
      <c r="A2422" s="101"/>
    </row>
    <row r="2423" spans="1:1" ht="9.75" customHeight="1">
      <c r="A2423" s="101"/>
    </row>
    <row r="2424" spans="1:1" ht="9.75" customHeight="1">
      <c r="A2424" s="101"/>
    </row>
    <row r="2425" spans="1:1" ht="9.75" customHeight="1">
      <c r="A2425" s="101"/>
    </row>
    <row r="2426" spans="1:1" ht="9.75" customHeight="1">
      <c r="A2426" s="101"/>
    </row>
    <row r="2427" spans="1:1" ht="9.75" customHeight="1">
      <c r="A2427" s="101"/>
    </row>
    <row r="2428" spans="1:1" ht="9.75" customHeight="1">
      <c r="A2428" s="101"/>
    </row>
    <row r="2429" spans="1:1" ht="9.75" customHeight="1">
      <c r="A2429" s="101"/>
    </row>
    <row r="2430" spans="1:1" ht="9.75" customHeight="1">
      <c r="A2430" s="101"/>
    </row>
    <row r="2431" spans="1:1" ht="9.75" customHeight="1">
      <c r="A2431" s="101"/>
    </row>
    <row r="2432" spans="1:1" ht="9.75" customHeight="1">
      <c r="A2432" s="101"/>
    </row>
    <row r="2433" spans="1:1" ht="9.75" customHeight="1">
      <c r="A2433" s="101"/>
    </row>
    <row r="2434" spans="1:1" ht="9.75" customHeight="1">
      <c r="A2434" s="101"/>
    </row>
    <row r="2435" spans="1:1" ht="9.75" customHeight="1">
      <c r="A2435" s="101"/>
    </row>
    <row r="2436" spans="1:1" ht="9.75" customHeight="1">
      <c r="A2436" s="101"/>
    </row>
    <row r="2437" spans="1:1" ht="9.75" customHeight="1">
      <c r="A2437" s="101"/>
    </row>
    <row r="2438" spans="1:1" ht="9.75" customHeight="1">
      <c r="A2438" s="101"/>
    </row>
    <row r="2439" spans="1:1" ht="9.75" customHeight="1">
      <c r="A2439" s="101"/>
    </row>
    <row r="2440" spans="1:1" ht="9.75" customHeight="1">
      <c r="A2440" s="101"/>
    </row>
    <row r="2441" spans="1:1" ht="9.75" customHeight="1">
      <c r="A2441" s="101"/>
    </row>
    <row r="2442" spans="1:1" ht="9.75" customHeight="1">
      <c r="A2442" s="101"/>
    </row>
    <row r="2443" spans="1:1" ht="9.75" customHeight="1">
      <c r="A2443" s="101"/>
    </row>
    <row r="2444" spans="1:1" ht="9.75" customHeight="1">
      <c r="A2444" s="101"/>
    </row>
    <row r="2445" spans="1:1" ht="9.75" customHeight="1">
      <c r="A2445" s="101"/>
    </row>
    <row r="2446" spans="1:1" ht="9.75" customHeight="1">
      <c r="A2446" s="101"/>
    </row>
    <row r="2447" spans="1:1" ht="9.75" customHeight="1">
      <c r="A2447" s="101"/>
    </row>
    <row r="2448" spans="1:1" ht="9.75" customHeight="1">
      <c r="A2448" s="101"/>
    </row>
    <row r="2449" spans="1:1" ht="9.75" customHeight="1">
      <c r="A2449" s="101"/>
    </row>
    <row r="2450" spans="1:1" ht="9.75" customHeight="1">
      <c r="A2450" s="101"/>
    </row>
    <row r="2451" spans="1:1" ht="9.75" customHeight="1">
      <c r="A2451" s="101"/>
    </row>
    <row r="2452" spans="1:1" ht="9.75" customHeight="1">
      <c r="A2452" s="101"/>
    </row>
    <row r="2453" spans="1:1" ht="9.75" customHeight="1">
      <c r="A2453" s="101"/>
    </row>
    <row r="2454" spans="1:1" ht="9.75" customHeight="1">
      <c r="A2454" s="101"/>
    </row>
    <row r="2455" spans="1:1" ht="9.75" customHeight="1">
      <c r="A2455" s="101"/>
    </row>
    <row r="2456" spans="1:1" ht="9.75" customHeight="1">
      <c r="A2456" s="101"/>
    </row>
    <row r="2457" spans="1:1" ht="9.75" customHeight="1">
      <c r="A2457" s="101"/>
    </row>
    <row r="2458" spans="1:1" ht="9.75" customHeight="1">
      <c r="A2458" s="101"/>
    </row>
    <row r="2459" spans="1:1" ht="9.75" customHeight="1">
      <c r="A2459" s="101"/>
    </row>
    <row r="2460" spans="1:1" ht="9.75" customHeight="1">
      <c r="A2460" s="101"/>
    </row>
    <row r="2461" spans="1:1" ht="9.75" customHeight="1">
      <c r="A2461" s="101"/>
    </row>
    <row r="2462" spans="1:1" ht="9.75" customHeight="1">
      <c r="A2462" s="101"/>
    </row>
    <row r="2463" spans="1:1" ht="9.75" customHeight="1">
      <c r="A2463" s="101"/>
    </row>
    <row r="2464" spans="1:1" ht="9.75" customHeight="1">
      <c r="A2464" s="101"/>
    </row>
    <row r="2465" spans="1:1" ht="9.75" customHeight="1">
      <c r="A2465" s="101"/>
    </row>
    <row r="2466" spans="1:1" ht="9.75" customHeight="1">
      <c r="A2466" s="101"/>
    </row>
    <row r="2467" spans="1:1" ht="9.75" customHeight="1">
      <c r="A2467" s="101"/>
    </row>
    <row r="2468" spans="1:1" ht="9.75" customHeight="1">
      <c r="A2468" s="101"/>
    </row>
    <row r="2469" spans="1:1" ht="9.75" customHeight="1">
      <c r="A2469" s="101"/>
    </row>
    <row r="2470" spans="1:1" ht="9.75" customHeight="1">
      <c r="A2470" s="101"/>
    </row>
    <row r="2471" spans="1:1" ht="9.75" customHeight="1">
      <c r="A2471" s="101"/>
    </row>
    <row r="2472" spans="1:1" ht="9.75" customHeight="1">
      <c r="A2472" s="101"/>
    </row>
    <row r="2473" spans="1:1" ht="9.75" customHeight="1">
      <c r="A2473" s="101"/>
    </row>
    <row r="2474" spans="1:1" ht="9.75" customHeight="1">
      <c r="A2474" s="101"/>
    </row>
    <row r="2475" spans="1:1" ht="9.75" customHeight="1">
      <c r="A2475" s="101"/>
    </row>
    <row r="2476" spans="1:1" ht="9.75" customHeight="1">
      <c r="A2476" s="101"/>
    </row>
    <row r="2477" spans="1:1" ht="9.75" customHeight="1">
      <c r="A2477" s="101"/>
    </row>
    <row r="2478" spans="1:1" ht="9.75" customHeight="1">
      <c r="A2478" s="101"/>
    </row>
    <row r="2479" spans="1:1" ht="9.75" customHeight="1">
      <c r="A2479" s="101"/>
    </row>
    <row r="2480" spans="1:1" ht="9.75" customHeight="1">
      <c r="A2480" s="101"/>
    </row>
    <row r="2481" spans="1:1" ht="9.75" customHeight="1">
      <c r="A2481" s="101"/>
    </row>
    <row r="2482" spans="1:1" ht="9.75" customHeight="1">
      <c r="A2482" s="101"/>
    </row>
    <row r="2483" spans="1:1" ht="9.75" customHeight="1">
      <c r="A2483" s="101"/>
    </row>
    <row r="2484" spans="1:1" ht="9.75" customHeight="1">
      <c r="A2484" s="101"/>
    </row>
    <row r="2485" spans="1:1" ht="9.75" customHeight="1">
      <c r="A2485" s="101"/>
    </row>
    <row r="2486" spans="1:1" ht="9.75" customHeight="1">
      <c r="A2486" s="101"/>
    </row>
    <row r="2487" spans="1:1" ht="9.75" customHeight="1">
      <c r="A2487" s="101"/>
    </row>
    <row r="2488" spans="1:1" ht="9.75" customHeight="1">
      <c r="A2488" s="101"/>
    </row>
    <row r="2489" spans="1:1" ht="9.75" customHeight="1">
      <c r="A2489" s="101"/>
    </row>
    <row r="2490" spans="1:1" ht="9.75" customHeight="1">
      <c r="A2490" s="101"/>
    </row>
    <row r="2491" spans="1:1" ht="9.75" customHeight="1">
      <c r="A2491" s="101"/>
    </row>
    <row r="2492" spans="1:1" ht="9.75" customHeight="1">
      <c r="A2492" s="101"/>
    </row>
    <row r="2493" spans="1:1" ht="9.75" customHeight="1">
      <c r="A2493" s="101"/>
    </row>
    <row r="2494" spans="1:1" ht="9.75" customHeight="1">
      <c r="A2494" s="101"/>
    </row>
    <row r="2495" spans="1:1" ht="9.75" customHeight="1">
      <c r="A2495" s="101"/>
    </row>
    <row r="2496" spans="1:1" ht="9.75" customHeight="1">
      <c r="A2496" s="101"/>
    </row>
    <row r="2497" spans="1:1" ht="9.75" customHeight="1">
      <c r="A2497" s="101"/>
    </row>
    <row r="2498" spans="1:1" ht="9.75" customHeight="1">
      <c r="A2498" s="101"/>
    </row>
    <row r="2499" spans="1:1" ht="9.75" customHeight="1">
      <c r="A2499" s="101"/>
    </row>
    <row r="2500" spans="1:1" ht="9.75" customHeight="1">
      <c r="A2500" s="101"/>
    </row>
    <row r="2501" spans="1:1" ht="9.75" customHeight="1">
      <c r="A2501" s="101"/>
    </row>
    <row r="2502" spans="1:1" ht="9.75" customHeight="1">
      <c r="A2502" s="101"/>
    </row>
    <row r="2503" spans="1:1" ht="9.75" customHeight="1">
      <c r="A2503" s="101"/>
    </row>
    <row r="2504" spans="1:1" ht="9.75" customHeight="1">
      <c r="A2504" s="101"/>
    </row>
    <row r="2505" spans="1:1" ht="9.75" customHeight="1">
      <c r="A2505" s="101"/>
    </row>
    <row r="2506" spans="1:1" ht="9.75" customHeight="1">
      <c r="A2506" s="101"/>
    </row>
    <row r="2507" spans="1:1" ht="9.75" customHeight="1">
      <c r="A2507" s="101"/>
    </row>
    <row r="2508" spans="1:1" ht="9.75" customHeight="1">
      <c r="A2508" s="101"/>
    </row>
    <row r="2509" spans="1:1" ht="9.75" customHeight="1">
      <c r="A2509" s="101"/>
    </row>
    <row r="2510" spans="1:1" ht="9.75" customHeight="1">
      <c r="A2510" s="101"/>
    </row>
    <row r="2511" spans="1:1" ht="9.75" customHeight="1">
      <c r="A2511" s="101"/>
    </row>
    <row r="2512" spans="1:1" ht="9.75" customHeight="1">
      <c r="A2512" s="101"/>
    </row>
    <row r="2513" spans="1:1" ht="9.75" customHeight="1">
      <c r="A2513" s="101"/>
    </row>
    <row r="2514" spans="1:1" ht="9.75" customHeight="1">
      <c r="A2514" s="101"/>
    </row>
    <row r="2515" spans="1:1" ht="9.75" customHeight="1">
      <c r="A2515" s="101"/>
    </row>
    <row r="2516" spans="1:1" ht="9.75" customHeight="1">
      <c r="A2516" s="101"/>
    </row>
    <row r="2517" spans="1:1" ht="9.75" customHeight="1">
      <c r="A2517" s="101"/>
    </row>
    <row r="2518" spans="1:1" ht="9.75" customHeight="1">
      <c r="A2518" s="101"/>
    </row>
    <row r="2519" spans="1:1" ht="9.75" customHeight="1">
      <c r="A2519" s="101"/>
    </row>
    <row r="2520" spans="1:1" ht="9.75" customHeight="1">
      <c r="A2520" s="101"/>
    </row>
    <row r="2521" spans="1:1" ht="9.75" customHeight="1">
      <c r="A2521" s="101"/>
    </row>
    <row r="2522" spans="1:1" ht="9.75" customHeight="1">
      <c r="A2522" s="101"/>
    </row>
    <row r="2523" spans="1:1" ht="9.75" customHeight="1">
      <c r="A2523" s="101"/>
    </row>
    <row r="2524" spans="1:1" ht="9.75" customHeight="1">
      <c r="A2524" s="101"/>
    </row>
    <row r="2525" spans="1:1" ht="9.75" customHeight="1">
      <c r="A2525" s="101"/>
    </row>
    <row r="2526" spans="1:1" ht="9.75" customHeight="1">
      <c r="A2526" s="101"/>
    </row>
    <row r="2527" spans="1:1" ht="9.75" customHeight="1">
      <c r="A2527" s="101"/>
    </row>
    <row r="2528" spans="1:1" ht="9.75" customHeight="1">
      <c r="A2528" s="101"/>
    </row>
    <row r="2529" spans="1:1" ht="9.75" customHeight="1">
      <c r="A2529" s="101"/>
    </row>
    <row r="2530" spans="1:1" ht="9.75" customHeight="1">
      <c r="A2530" s="101"/>
    </row>
    <row r="2531" spans="1:1" ht="9.75" customHeight="1">
      <c r="A2531" s="101"/>
    </row>
    <row r="2532" spans="1:1" ht="9.75" customHeight="1">
      <c r="A2532" s="101"/>
    </row>
    <row r="2533" spans="1:1" ht="9.75" customHeight="1">
      <c r="A2533" s="101"/>
    </row>
    <row r="2534" spans="1:1" ht="9.75" customHeight="1">
      <c r="A2534" s="101"/>
    </row>
    <row r="2535" spans="1:1" ht="9.75" customHeight="1">
      <c r="A2535" s="101"/>
    </row>
    <row r="2536" spans="1:1" ht="9.75" customHeight="1">
      <c r="A2536" s="101"/>
    </row>
    <row r="2537" spans="1:1" ht="9.75" customHeight="1">
      <c r="A2537" s="101"/>
    </row>
    <row r="2538" spans="1:1" ht="9.75" customHeight="1">
      <c r="A2538" s="101"/>
    </row>
    <row r="2539" spans="1:1" ht="9.75" customHeight="1">
      <c r="A2539" s="101"/>
    </row>
    <row r="2540" spans="1:1" ht="9.75" customHeight="1">
      <c r="A2540" s="101"/>
    </row>
    <row r="2541" spans="1:1" ht="9.75" customHeight="1">
      <c r="A2541" s="101"/>
    </row>
    <row r="2542" spans="1:1" ht="9.75" customHeight="1">
      <c r="A2542" s="101"/>
    </row>
    <row r="2543" spans="1:1" ht="9.75" customHeight="1">
      <c r="A2543" s="101"/>
    </row>
    <row r="2544" spans="1:1" ht="9.75" customHeight="1">
      <c r="A2544" s="101"/>
    </row>
    <row r="2545" spans="1:1" ht="9.75" customHeight="1">
      <c r="A2545" s="101"/>
    </row>
    <row r="2546" spans="1:1" ht="9.75" customHeight="1">
      <c r="A2546" s="101"/>
    </row>
    <row r="2547" spans="1:1" ht="9.75" customHeight="1">
      <c r="A2547" s="101"/>
    </row>
    <row r="2548" spans="1:1" ht="9.75" customHeight="1">
      <c r="A2548" s="101"/>
    </row>
    <row r="2549" spans="1:1" ht="9.75" customHeight="1">
      <c r="A2549" s="101"/>
    </row>
    <row r="2550" spans="1:1" ht="9.75" customHeight="1">
      <c r="A2550" s="101"/>
    </row>
    <row r="2551" spans="1:1" ht="9.75" customHeight="1">
      <c r="A2551" s="101"/>
    </row>
    <row r="2552" spans="1:1" ht="9.75" customHeight="1">
      <c r="A2552" s="101"/>
    </row>
    <row r="2553" spans="1:1" ht="9.75" customHeight="1">
      <c r="A2553" s="101"/>
    </row>
    <row r="2554" spans="1:1" ht="9.75" customHeight="1">
      <c r="A2554" s="101"/>
    </row>
    <row r="2555" spans="1:1" ht="9.75" customHeight="1">
      <c r="A2555" s="101"/>
    </row>
    <row r="2556" spans="1:1" ht="9.75" customHeight="1">
      <c r="A2556" s="101"/>
    </row>
    <row r="2557" spans="1:1" ht="9.75" customHeight="1">
      <c r="A2557" s="101"/>
    </row>
    <row r="2558" spans="1:1" ht="9.75" customHeight="1">
      <c r="A2558" s="101"/>
    </row>
    <row r="2559" spans="1:1" ht="9.75" customHeight="1">
      <c r="A2559" s="101"/>
    </row>
    <row r="2560" spans="1:1" ht="9.75" customHeight="1">
      <c r="A2560" s="101"/>
    </row>
    <row r="2561" spans="1:1" ht="9.75" customHeight="1">
      <c r="A2561" s="101"/>
    </row>
    <row r="2562" spans="1:1" ht="9.75" customHeight="1">
      <c r="A2562" s="101"/>
    </row>
    <row r="2563" spans="1:1" ht="9.75" customHeight="1">
      <c r="A2563" s="101"/>
    </row>
    <row r="2564" spans="1:1" ht="9.75" customHeight="1">
      <c r="A2564" s="101"/>
    </row>
    <row r="2565" spans="1:1" ht="9.75" customHeight="1">
      <c r="A2565" s="101"/>
    </row>
    <row r="2566" spans="1:1" ht="9.75" customHeight="1">
      <c r="A2566" s="101"/>
    </row>
    <row r="2567" spans="1:1" ht="9.75" customHeight="1">
      <c r="A2567" s="101"/>
    </row>
    <row r="2568" spans="1:1" ht="9.75" customHeight="1">
      <c r="A2568" s="101"/>
    </row>
    <row r="2569" spans="1:1" ht="9.75" customHeight="1">
      <c r="A2569" s="101"/>
    </row>
    <row r="2570" spans="1:1" ht="9.75" customHeight="1">
      <c r="A2570" s="101"/>
    </row>
    <row r="2571" spans="1:1" ht="9.75" customHeight="1">
      <c r="A2571" s="101"/>
    </row>
    <row r="2572" spans="1:1" ht="9.75" customHeight="1">
      <c r="A2572" s="101"/>
    </row>
    <row r="2573" spans="1:1" ht="9.75" customHeight="1">
      <c r="A2573" s="101"/>
    </row>
    <row r="2574" spans="1:1" ht="9.75" customHeight="1">
      <c r="A2574" s="101"/>
    </row>
    <row r="2575" spans="1:1" ht="9.75" customHeight="1">
      <c r="A2575" s="101"/>
    </row>
    <row r="2576" spans="1:1" ht="9.75" customHeight="1">
      <c r="A2576" s="101"/>
    </row>
    <row r="2577" spans="1:1" ht="9.75" customHeight="1">
      <c r="A2577" s="101"/>
    </row>
    <row r="2578" spans="1:1" ht="9.75" customHeight="1">
      <c r="A2578" s="101"/>
    </row>
    <row r="2579" spans="1:1" ht="9.75" customHeight="1">
      <c r="A2579" s="101"/>
    </row>
    <row r="2580" spans="1:1" ht="9.75" customHeight="1">
      <c r="A2580" s="101"/>
    </row>
    <row r="2581" spans="1:1" ht="9.75" customHeight="1">
      <c r="A2581" s="101"/>
    </row>
    <row r="2582" spans="1:1" ht="9.75" customHeight="1">
      <c r="A2582" s="101"/>
    </row>
    <row r="2583" spans="1:1" ht="9.75" customHeight="1">
      <c r="A2583" s="101"/>
    </row>
    <row r="2584" spans="1:1" ht="9.75" customHeight="1">
      <c r="A2584" s="101"/>
    </row>
    <row r="2585" spans="1:1" ht="9.75" customHeight="1">
      <c r="A2585" s="101"/>
    </row>
    <row r="2586" spans="1:1" ht="9.75" customHeight="1">
      <c r="A2586" s="101"/>
    </row>
    <row r="2587" spans="1:1" ht="9.75" customHeight="1">
      <c r="A2587" s="101"/>
    </row>
    <row r="2588" spans="1:1" ht="9.75" customHeight="1">
      <c r="A2588" s="101"/>
    </row>
    <row r="2589" spans="1:1" ht="9.75" customHeight="1">
      <c r="A2589" s="101"/>
    </row>
    <row r="2590" spans="1:1" ht="9.75" customHeight="1">
      <c r="A2590" s="101"/>
    </row>
    <row r="2591" spans="1:1" ht="9.75" customHeight="1">
      <c r="A2591" s="101"/>
    </row>
    <row r="2592" spans="1:1" ht="9.75" customHeight="1">
      <c r="A2592" s="101"/>
    </row>
    <row r="2593" spans="1:1" ht="9.75" customHeight="1">
      <c r="A2593" s="101"/>
    </row>
    <row r="2594" spans="1:1" ht="9.75" customHeight="1">
      <c r="A2594" s="101"/>
    </row>
    <row r="2595" spans="1:1" ht="9.75" customHeight="1">
      <c r="A2595" s="101"/>
    </row>
    <row r="2596" spans="1:1" ht="9.75" customHeight="1">
      <c r="A2596" s="101"/>
    </row>
    <row r="2597" spans="1:1" ht="9.75" customHeight="1">
      <c r="A2597" s="101"/>
    </row>
    <row r="2598" spans="1:1" ht="9.75" customHeight="1">
      <c r="A2598" s="101"/>
    </row>
    <row r="2599" spans="1:1" ht="9.75" customHeight="1">
      <c r="A2599" s="101"/>
    </row>
    <row r="2600" spans="1:1" ht="9.75" customHeight="1">
      <c r="A2600" s="101"/>
    </row>
    <row r="2601" spans="1:1" ht="9.75" customHeight="1">
      <c r="A2601" s="101"/>
    </row>
    <row r="2602" spans="1:1" ht="9.75" customHeight="1">
      <c r="A2602" s="101"/>
    </row>
    <row r="2603" spans="1:1" ht="9.75" customHeight="1">
      <c r="A2603" s="101"/>
    </row>
    <row r="2604" spans="1:1" ht="9.75" customHeight="1">
      <c r="A2604" s="101"/>
    </row>
    <row r="2605" spans="1:1" ht="9.75" customHeight="1">
      <c r="A2605" s="101"/>
    </row>
    <row r="2606" spans="1:1" ht="9.75" customHeight="1">
      <c r="A2606" s="101"/>
    </row>
    <row r="2607" spans="1:1" ht="9.75" customHeight="1">
      <c r="A2607" s="101"/>
    </row>
    <row r="2608" spans="1:1" ht="9.75" customHeight="1">
      <c r="A2608" s="101"/>
    </row>
    <row r="2609" spans="1:1" ht="9.75" customHeight="1">
      <c r="A2609" s="101"/>
    </row>
    <row r="2610" spans="1:1" ht="9.75" customHeight="1">
      <c r="A2610" s="101"/>
    </row>
    <row r="2611" spans="1:1" ht="9.75" customHeight="1">
      <c r="A2611" s="101"/>
    </row>
    <row r="2612" spans="1:1" ht="9.75" customHeight="1">
      <c r="A2612" s="101"/>
    </row>
    <row r="2613" spans="1:1" ht="9.75" customHeight="1">
      <c r="A2613" s="101"/>
    </row>
    <row r="2614" spans="1:1" ht="9.75" customHeight="1">
      <c r="A2614" s="101"/>
    </row>
    <row r="2615" spans="1:1" ht="9.75" customHeight="1">
      <c r="A2615" s="101"/>
    </row>
    <row r="2616" spans="1:1" ht="9.75" customHeight="1">
      <c r="A2616" s="101"/>
    </row>
    <row r="2617" spans="1:1" ht="9.75" customHeight="1">
      <c r="A2617" s="101"/>
    </row>
    <row r="2618" spans="1:1" ht="9.75" customHeight="1">
      <c r="A2618" s="101"/>
    </row>
    <row r="2619" spans="1:1" ht="9.75" customHeight="1">
      <c r="A2619" s="101"/>
    </row>
    <row r="2620" spans="1:1" ht="9.75" customHeight="1">
      <c r="A2620" s="101"/>
    </row>
    <row r="2621" spans="1:1" ht="9.75" customHeight="1">
      <c r="A2621" s="101"/>
    </row>
    <row r="2622" spans="1:1" ht="9.75" customHeight="1">
      <c r="A2622" s="101"/>
    </row>
    <row r="2623" spans="1:1" ht="9.75" customHeight="1">
      <c r="A2623" s="101"/>
    </row>
    <row r="2624" spans="1:1" ht="9.75" customHeight="1">
      <c r="A2624" s="101"/>
    </row>
    <row r="2625" spans="1:1" ht="9.75" customHeight="1">
      <c r="A2625" s="101"/>
    </row>
    <row r="2626" spans="1:1" ht="9.75" customHeight="1">
      <c r="A2626" s="101"/>
    </row>
    <row r="2627" spans="1:1" ht="9.75" customHeight="1">
      <c r="A2627" s="101"/>
    </row>
    <row r="2628" spans="1:1" ht="9.75" customHeight="1">
      <c r="A2628" s="101"/>
    </row>
    <row r="2629" spans="1:1" ht="9.75" customHeight="1">
      <c r="A2629" s="101"/>
    </row>
    <row r="2630" spans="1:1" ht="9.75" customHeight="1">
      <c r="A2630" s="101"/>
    </row>
    <row r="2631" spans="1:1" ht="9.75" customHeight="1">
      <c r="A2631" s="101"/>
    </row>
    <row r="2632" spans="1:1" ht="9.75" customHeight="1">
      <c r="A2632" s="101"/>
    </row>
    <row r="2633" spans="1:1" ht="9.75" customHeight="1">
      <c r="A2633" s="101"/>
    </row>
    <row r="2634" spans="1:1" ht="9.75" customHeight="1">
      <c r="A2634" s="101"/>
    </row>
    <row r="2635" spans="1:1" ht="9.75" customHeight="1">
      <c r="A2635" s="101"/>
    </row>
    <row r="2636" spans="1:1" ht="9.75" customHeight="1">
      <c r="A2636" s="101"/>
    </row>
    <row r="2637" spans="1:1" ht="9.75" customHeight="1">
      <c r="A2637" s="101"/>
    </row>
    <row r="2638" spans="1:1" ht="9.75" customHeight="1">
      <c r="A2638" s="101"/>
    </row>
    <row r="2639" spans="1:1" ht="9.75" customHeight="1">
      <c r="A2639" s="101"/>
    </row>
    <row r="2640" spans="1:1" ht="9.75" customHeight="1">
      <c r="A2640" s="101"/>
    </row>
    <row r="2641" spans="1:1" ht="9.75" customHeight="1">
      <c r="A2641" s="101"/>
    </row>
    <row r="2642" spans="1:1" ht="9.75" customHeight="1">
      <c r="A2642" s="101"/>
    </row>
    <row r="2643" spans="1:1" ht="9.75" customHeight="1">
      <c r="A2643" s="101"/>
    </row>
    <row r="2644" spans="1:1" ht="9.75" customHeight="1">
      <c r="A2644" s="101"/>
    </row>
    <row r="2645" spans="1:1" ht="9.75" customHeight="1">
      <c r="A2645" s="101"/>
    </row>
    <row r="2646" spans="1:1" ht="9.75" customHeight="1">
      <c r="A2646" s="101"/>
    </row>
    <row r="2647" spans="1:1" ht="9.75" customHeight="1">
      <c r="A2647" s="101"/>
    </row>
    <row r="2648" spans="1:1" ht="9.75" customHeight="1">
      <c r="A2648" s="101"/>
    </row>
    <row r="2649" spans="1:1" ht="9.75" customHeight="1">
      <c r="A2649" s="101"/>
    </row>
    <row r="2650" spans="1:1" ht="9.75" customHeight="1">
      <c r="A2650" s="101"/>
    </row>
    <row r="2651" spans="1:1" ht="9.75" customHeight="1">
      <c r="A2651" s="101"/>
    </row>
    <row r="2652" spans="1:1" ht="9.75" customHeight="1">
      <c r="A2652" s="101"/>
    </row>
    <row r="2653" spans="1:1" ht="9.75" customHeight="1">
      <c r="A2653" s="101"/>
    </row>
    <row r="2654" spans="1:1" ht="9.75" customHeight="1">
      <c r="A2654" s="101"/>
    </row>
    <row r="2655" spans="1:1" ht="9.75" customHeight="1">
      <c r="A2655" s="101"/>
    </row>
    <row r="2656" spans="1:1" ht="9.75" customHeight="1">
      <c r="A2656" s="101"/>
    </row>
    <row r="2657" spans="1:1" ht="9.75" customHeight="1">
      <c r="A2657" s="101"/>
    </row>
    <row r="2658" spans="1:1" ht="9.75" customHeight="1">
      <c r="A2658" s="101"/>
    </row>
    <row r="2659" spans="1:1" ht="9.75" customHeight="1">
      <c r="A2659" s="101"/>
    </row>
    <row r="2660" spans="1:1" ht="9.75" customHeight="1">
      <c r="A2660" s="101"/>
    </row>
    <row r="2661" spans="1:1" ht="9.75" customHeight="1">
      <c r="A2661" s="101"/>
    </row>
    <row r="2662" spans="1:1" ht="9.75" customHeight="1">
      <c r="A2662" s="101"/>
    </row>
    <row r="2663" spans="1:1" ht="9.75" customHeight="1">
      <c r="A2663" s="101"/>
    </row>
    <row r="2664" spans="1:1" ht="9.75" customHeight="1">
      <c r="A2664" s="101"/>
    </row>
    <row r="2665" spans="1:1" ht="9.75" customHeight="1">
      <c r="A2665" s="101"/>
    </row>
    <row r="2666" spans="1:1" ht="9.75" customHeight="1">
      <c r="A2666" s="101"/>
    </row>
    <row r="2667" spans="1:1" ht="9.75" customHeight="1">
      <c r="A2667" s="101"/>
    </row>
    <row r="2668" spans="1:1" ht="9.75" customHeight="1">
      <c r="A2668" s="101"/>
    </row>
    <row r="2669" spans="1:1" ht="9.75" customHeight="1">
      <c r="A2669" s="101"/>
    </row>
    <row r="2670" spans="1:1" ht="9.75" customHeight="1">
      <c r="A2670" s="101"/>
    </row>
    <row r="2671" spans="1:1" ht="9.75" customHeight="1">
      <c r="A2671" s="101"/>
    </row>
    <row r="2672" spans="1:1" ht="9.75" customHeight="1">
      <c r="A2672" s="101"/>
    </row>
    <row r="2673" spans="1:1" ht="9.75" customHeight="1">
      <c r="A2673" s="101"/>
    </row>
    <row r="2674" spans="1:1" ht="9.75" customHeight="1">
      <c r="A2674" s="101"/>
    </row>
    <row r="2675" spans="1:1" ht="9.75" customHeight="1">
      <c r="A2675" s="101"/>
    </row>
    <row r="2676" spans="1:1" ht="9.75" customHeight="1">
      <c r="A2676" s="101"/>
    </row>
    <row r="2677" spans="1:1" ht="9.75" customHeight="1">
      <c r="A2677" s="101"/>
    </row>
    <row r="2678" spans="1:1" ht="9.75" customHeight="1">
      <c r="A2678" s="101"/>
    </row>
    <row r="2679" spans="1:1" ht="9.75" customHeight="1">
      <c r="A2679" s="101"/>
    </row>
    <row r="2680" spans="1:1" ht="9.75" customHeight="1">
      <c r="A2680" s="101"/>
    </row>
    <row r="2681" spans="1:1" ht="9.75" customHeight="1">
      <c r="A2681" s="101"/>
    </row>
    <row r="2682" spans="1:1" ht="9.75" customHeight="1">
      <c r="A2682" s="101"/>
    </row>
    <row r="2683" spans="1:1" ht="9.75" customHeight="1">
      <c r="A2683" s="101"/>
    </row>
    <row r="2684" spans="1:1" ht="9.75" customHeight="1">
      <c r="A2684" s="101"/>
    </row>
    <row r="2685" spans="1:1" ht="9.75" customHeight="1">
      <c r="A2685" s="101"/>
    </row>
    <row r="2686" spans="1:1" ht="9.75" customHeight="1">
      <c r="A2686" s="101"/>
    </row>
    <row r="2687" spans="1:1" ht="9.75" customHeight="1">
      <c r="A2687" s="101"/>
    </row>
    <row r="2688" spans="1:1" ht="9.75" customHeight="1">
      <c r="A2688" s="101"/>
    </row>
    <row r="2689" spans="1:1" ht="9.75" customHeight="1">
      <c r="A2689" s="101"/>
    </row>
    <row r="2690" spans="1:1" ht="9.75" customHeight="1">
      <c r="A2690" s="101"/>
    </row>
    <row r="2691" spans="1:1" ht="9.75" customHeight="1">
      <c r="A2691" s="101"/>
    </row>
    <row r="2692" spans="1:1" ht="9.75" customHeight="1">
      <c r="A2692" s="101"/>
    </row>
    <row r="2693" spans="1:1" ht="9.75" customHeight="1">
      <c r="A2693" s="101"/>
    </row>
    <row r="2694" spans="1:1" ht="9.75" customHeight="1">
      <c r="A2694" s="101"/>
    </row>
    <row r="2695" spans="1:1" ht="9.75" customHeight="1">
      <c r="A2695" s="101"/>
    </row>
    <row r="2696" spans="1:1" ht="9.75" customHeight="1">
      <c r="A2696" s="101"/>
    </row>
    <row r="2697" spans="1:1" ht="9.75" customHeight="1">
      <c r="A2697" s="101"/>
    </row>
    <row r="2698" spans="1:1" ht="9.75" customHeight="1">
      <c r="A2698" s="101"/>
    </row>
    <row r="2699" spans="1:1" ht="9.75" customHeight="1">
      <c r="A2699" s="101"/>
    </row>
    <row r="2700" spans="1:1" ht="9.75" customHeight="1">
      <c r="A2700" s="101"/>
    </row>
    <row r="2701" spans="1:1" ht="9.75" customHeight="1">
      <c r="A2701" s="101"/>
    </row>
    <row r="2702" spans="1:1" ht="9.75" customHeight="1">
      <c r="A2702" s="101"/>
    </row>
    <row r="2703" spans="1:1" ht="9.75" customHeight="1">
      <c r="A2703" s="101"/>
    </row>
    <row r="2704" spans="1:1" ht="9.75" customHeight="1">
      <c r="A2704" s="101"/>
    </row>
    <row r="2705" spans="1:1" ht="9.75" customHeight="1">
      <c r="A2705" s="101"/>
    </row>
    <row r="2706" spans="1:1" ht="9.75" customHeight="1">
      <c r="A2706" s="101"/>
    </row>
    <row r="2707" spans="1:1" ht="9.75" customHeight="1">
      <c r="A2707" s="101"/>
    </row>
    <row r="2708" spans="1:1" ht="9.75" customHeight="1">
      <c r="A2708" s="101"/>
    </row>
    <row r="2709" spans="1:1" ht="9.75" customHeight="1">
      <c r="A2709" s="101"/>
    </row>
    <row r="2710" spans="1:1" ht="9.75" customHeight="1">
      <c r="A2710" s="101"/>
    </row>
    <row r="2711" spans="1:1" ht="9.75" customHeight="1">
      <c r="A2711" s="101"/>
    </row>
    <row r="2712" spans="1:1" ht="9.75" customHeight="1">
      <c r="A2712" s="101"/>
    </row>
    <row r="2713" spans="1:1" ht="9.75" customHeight="1">
      <c r="A2713" s="101"/>
    </row>
    <row r="2714" spans="1:1" ht="9.75" customHeight="1">
      <c r="A2714" s="101"/>
    </row>
    <row r="2715" spans="1:1" ht="9.75" customHeight="1">
      <c r="A2715" s="101"/>
    </row>
    <row r="2716" spans="1:1" ht="9.75" customHeight="1">
      <c r="A2716" s="101"/>
    </row>
    <row r="2717" spans="1:1" ht="9.75" customHeight="1">
      <c r="A2717" s="101"/>
    </row>
    <row r="2718" spans="1:1" ht="9.75" customHeight="1">
      <c r="A2718" s="101"/>
    </row>
    <row r="2719" spans="1:1" ht="9.75" customHeight="1">
      <c r="A2719" s="101"/>
    </row>
    <row r="2720" spans="1:1" ht="9.75" customHeight="1">
      <c r="A2720" s="101"/>
    </row>
    <row r="2721" spans="1:1" ht="9.75" customHeight="1">
      <c r="A2721" s="101"/>
    </row>
    <row r="2722" spans="1:1" ht="9.75" customHeight="1">
      <c r="A2722" s="101"/>
    </row>
    <row r="2723" spans="1:1" ht="9.75" customHeight="1">
      <c r="A2723" s="101"/>
    </row>
    <row r="2724" spans="1:1" ht="9.75" customHeight="1">
      <c r="A2724" s="101"/>
    </row>
    <row r="2725" spans="1:1" ht="9.75" customHeight="1">
      <c r="A2725" s="101"/>
    </row>
    <row r="2726" spans="1:1" ht="9.75" customHeight="1">
      <c r="A2726" s="101"/>
    </row>
    <row r="2727" spans="1:1" ht="9.75" customHeight="1">
      <c r="A2727" s="101"/>
    </row>
    <row r="2728" spans="1:1" ht="9.75" customHeight="1">
      <c r="A2728" s="101"/>
    </row>
    <row r="2729" spans="1:1" ht="9.75" customHeight="1">
      <c r="A2729" s="101"/>
    </row>
    <row r="2730" spans="1:1" ht="9.75" customHeight="1">
      <c r="A2730" s="101"/>
    </row>
    <row r="2731" spans="1:1" ht="9.75" customHeight="1">
      <c r="A2731" s="101"/>
    </row>
    <row r="2732" spans="1:1" ht="9.75" customHeight="1">
      <c r="A2732" s="101"/>
    </row>
    <row r="2733" spans="1:1" ht="9.75" customHeight="1">
      <c r="A2733" s="101"/>
    </row>
    <row r="2734" spans="1:1" ht="9.75" customHeight="1">
      <c r="A2734" s="101"/>
    </row>
    <row r="2735" spans="1:1" ht="9.75" customHeight="1">
      <c r="A2735" s="101"/>
    </row>
    <row r="2736" spans="1:1" ht="9.75" customHeight="1">
      <c r="A2736" s="101"/>
    </row>
    <row r="2737" spans="1:1" ht="9.75" customHeight="1">
      <c r="A2737" s="101"/>
    </row>
    <row r="2738" spans="1:1" ht="9.75" customHeight="1">
      <c r="A2738" s="101"/>
    </row>
    <row r="2739" spans="1:1" ht="9.75" customHeight="1">
      <c r="A2739" s="101"/>
    </row>
    <row r="2740" spans="1:1" ht="9.75" customHeight="1">
      <c r="A2740" s="101"/>
    </row>
    <row r="2741" spans="1:1" ht="9.75" customHeight="1">
      <c r="A2741" s="101"/>
    </row>
    <row r="2742" spans="1:1" ht="9.75" customHeight="1">
      <c r="A2742" s="101"/>
    </row>
    <row r="2743" spans="1:1" ht="9.75" customHeight="1">
      <c r="A2743" s="101"/>
    </row>
    <row r="2744" spans="1:1" ht="9.75" customHeight="1">
      <c r="A2744" s="101"/>
    </row>
    <row r="2745" spans="1:1" ht="9.75" customHeight="1">
      <c r="A2745" s="101"/>
    </row>
    <row r="2746" spans="1:1" ht="9.75" customHeight="1">
      <c r="A2746" s="101"/>
    </row>
    <row r="2747" spans="1:1" ht="9.75" customHeight="1">
      <c r="A2747" s="101"/>
    </row>
    <row r="2748" spans="1:1" ht="9.75" customHeight="1">
      <c r="A2748" s="101"/>
    </row>
    <row r="2749" spans="1:1" ht="9.75" customHeight="1">
      <c r="A2749" s="101"/>
    </row>
    <row r="2750" spans="1:1" ht="9.75" customHeight="1">
      <c r="A2750" s="101"/>
    </row>
    <row r="2751" spans="1:1" ht="9.75" customHeight="1">
      <c r="A2751" s="101"/>
    </row>
    <row r="2752" spans="1:1" ht="9.75" customHeight="1">
      <c r="A2752" s="101"/>
    </row>
    <row r="2753" spans="1:1" ht="9.75" customHeight="1">
      <c r="A2753" s="101"/>
    </row>
    <row r="2754" spans="1:1" ht="9.75" customHeight="1">
      <c r="A2754" s="101"/>
    </row>
    <row r="2755" spans="1:1" ht="9.75" customHeight="1">
      <c r="A2755" s="101"/>
    </row>
    <row r="2756" spans="1:1" ht="9.75" customHeight="1">
      <c r="A2756" s="101"/>
    </row>
    <row r="2757" spans="1:1" ht="9.75" customHeight="1">
      <c r="A2757" s="101"/>
    </row>
    <row r="2758" spans="1:1" ht="9.75" customHeight="1">
      <c r="A2758" s="101"/>
    </row>
    <row r="2759" spans="1:1" ht="9.75" customHeight="1">
      <c r="A2759" s="101"/>
    </row>
    <row r="2760" spans="1:1" ht="9.75" customHeight="1">
      <c r="A2760" s="101"/>
    </row>
    <row r="2761" spans="1:1" ht="9.75" customHeight="1">
      <c r="A2761" s="101"/>
    </row>
    <row r="2762" spans="1:1" ht="9.75" customHeight="1">
      <c r="A2762" s="101"/>
    </row>
    <row r="2763" spans="1:1" ht="9.75" customHeight="1">
      <c r="A2763" s="101"/>
    </row>
    <row r="2764" spans="1:1" ht="9.75" customHeight="1">
      <c r="A2764" s="101"/>
    </row>
    <row r="2765" spans="1:1" ht="9.75" customHeight="1">
      <c r="A2765" s="101"/>
    </row>
    <row r="2766" spans="1:1" ht="9.75" customHeight="1">
      <c r="A2766" s="101"/>
    </row>
    <row r="2767" spans="1:1" ht="9.75" customHeight="1">
      <c r="A2767" s="101"/>
    </row>
    <row r="2768" spans="1:1" ht="9.75" customHeight="1">
      <c r="A2768" s="101"/>
    </row>
    <row r="2769" spans="1:1" ht="9.75" customHeight="1">
      <c r="A2769" s="101"/>
    </row>
    <row r="2770" spans="1:1" ht="9.75" customHeight="1">
      <c r="A2770" s="101"/>
    </row>
    <row r="2771" spans="1:1" ht="9.75" customHeight="1">
      <c r="A2771" s="101"/>
    </row>
    <row r="2772" spans="1:1" ht="9.75" customHeight="1">
      <c r="A2772" s="101"/>
    </row>
    <row r="2773" spans="1:1" ht="9.75" customHeight="1">
      <c r="A2773" s="101"/>
    </row>
    <row r="2774" spans="1:1" ht="9.75" customHeight="1">
      <c r="A2774" s="101"/>
    </row>
    <row r="2775" spans="1:1" ht="9.75" customHeight="1">
      <c r="A2775" s="101"/>
    </row>
    <row r="2776" spans="1:1" ht="9.75" customHeight="1">
      <c r="A2776" s="101"/>
    </row>
    <row r="2777" spans="1:1" ht="9.75" customHeight="1">
      <c r="A2777" s="101"/>
    </row>
    <row r="2778" spans="1:1" ht="9.75" customHeight="1">
      <c r="A2778" s="101"/>
    </row>
    <row r="2779" spans="1:1" ht="9.75" customHeight="1">
      <c r="A2779" s="101"/>
    </row>
    <row r="2780" spans="1:1" ht="9.75" customHeight="1">
      <c r="A2780" s="101"/>
    </row>
    <row r="2781" spans="1:1" ht="9.75" customHeight="1">
      <c r="A2781" s="101"/>
    </row>
    <row r="2782" spans="1:1" ht="9.75" customHeight="1">
      <c r="A2782" s="101"/>
    </row>
    <row r="2783" spans="1:1" ht="9.75" customHeight="1">
      <c r="A2783" s="101"/>
    </row>
    <row r="2784" spans="1:1" ht="9.75" customHeight="1">
      <c r="A2784" s="101"/>
    </row>
    <row r="2785" spans="1:1" ht="9.75" customHeight="1">
      <c r="A2785" s="101"/>
    </row>
    <row r="2786" spans="1:1" ht="9.75" customHeight="1">
      <c r="A2786" s="101"/>
    </row>
    <row r="2787" spans="1:1" ht="9.75" customHeight="1">
      <c r="A2787" s="101"/>
    </row>
    <row r="2788" spans="1:1" ht="9.75" customHeight="1">
      <c r="A2788" s="101"/>
    </row>
    <row r="2789" spans="1:1" ht="9.75" customHeight="1">
      <c r="A2789" s="101"/>
    </row>
    <row r="2790" spans="1:1" ht="9.75" customHeight="1">
      <c r="A2790" s="101"/>
    </row>
    <row r="2791" spans="1:1" ht="9.75" customHeight="1">
      <c r="A2791" s="101"/>
    </row>
    <row r="2792" spans="1:1" ht="9.75" customHeight="1">
      <c r="A2792" s="101"/>
    </row>
    <row r="2793" spans="1:1" ht="9.75" customHeight="1">
      <c r="A2793" s="101"/>
    </row>
    <row r="2794" spans="1:1" ht="9.75" customHeight="1">
      <c r="A2794" s="101"/>
    </row>
    <row r="2795" spans="1:1" ht="9.75" customHeight="1">
      <c r="A2795" s="101"/>
    </row>
    <row r="2796" spans="1:1" ht="9.75" customHeight="1">
      <c r="A2796" s="101"/>
    </row>
    <row r="2797" spans="1:1" ht="9.75" customHeight="1">
      <c r="A2797" s="101"/>
    </row>
    <row r="2798" spans="1:1" ht="9.75" customHeight="1">
      <c r="A2798" s="101"/>
    </row>
    <row r="2799" spans="1:1" ht="9.75" customHeight="1">
      <c r="A2799" s="101"/>
    </row>
    <row r="2800" spans="1:1" ht="9.75" customHeight="1">
      <c r="A2800" s="101"/>
    </row>
    <row r="2801" spans="1:1" ht="9.75" customHeight="1">
      <c r="A2801" s="101"/>
    </row>
    <row r="2802" spans="1:1" ht="9.75" customHeight="1">
      <c r="A2802" s="101"/>
    </row>
    <row r="2803" spans="1:1" ht="9.75" customHeight="1">
      <c r="A2803" s="101"/>
    </row>
    <row r="2804" spans="1:1" ht="9.75" customHeight="1">
      <c r="A2804" s="101"/>
    </row>
    <row r="2805" spans="1:1" ht="9.75" customHeight="1">
      <c r="A2805" s="101"/>
    </row>
    <row r="2806" spans="1:1" ht="9.75" customHeight="1">
      <c r="A2806" s="101"/>
    </row>
    <row r="2807" spans="1:1" ht="9.75" customHeight="1">
      <c r="A2807" s="101"/>
    </row>
    <row r="2808" spans="1:1" ht="9.75" customHeight="1">
      <c r="A2808" s="101"/>
    </row>
    <row r="2809" spans="1:1" ht="9.75" customHeight="1">
      <c r="A2809" s="101"/>
    </row>
    <row r="2810" spans="1:1" ht="9.75" customHeight="1">
      <c r="A2810" s="101"/>
    </row>
    <row r="2811" spans="1:1" ht="9.75" customHeight="1">
      <c r="A2811" s="101"/>
    </row>
    <row r="2812" spans="1:1" ht="9.75" customHeight="1">
      <c r="A2812" s="101"/>
    </row>
    <row r="2813" spans="1:1" ht="9.75" customHeight="1">
      <c r="A2813" s="101"/>
    </row>
    <row r="2814" spans="1:1" ht="9.75" customHeight="1">
      <c r="A2814" s="101"/>
    </row>
    <row r="2815" spans="1:1" ht="9.75" customHeight="1">
      <c r="A2815" s="101"/>
    </row>
    <row r="2816" spans="1:1" ht="9.75" customHeight="1">
      <c r="A2816" s="101"/>
    </row>
    <row r="2817" spans="1:1" ht="9.75" customHeight="1">
      <c r="A2817" s="101"/>
    </row>
    <row r="2818" spans="1:1" ht="9.75" customHeight="1">
      <c r="A2818" s="101"/>
    </row>
    <row r="2819" spans="1:1" ht="9.75" customHeight="1">
      <c r="A2819" s="101"/>
    </row>
    <row r="2820" spans="1:1" ht="9.75" customHeight="1">
      <c r="A2820" s="101"/>
    </row>
    <row r="2821" spans="1:1" ht="9.75" customHeight="1">
      <c r="A2821" s="101"/>
    </row>
    <row r="2822" spans="1:1" ht="9.75" customHeight="1">
      <c r="A2822" s="101"/>
    </row>
    <row r="2823" spans="1:1" ht="9.75" customHeight="1">
      <c r="A2823" s="101"/>
    </row>
    <row r="2824" spans="1:1" ht="9.75" customHeight="1">
      <c r="A2824" s="101"/>
    </row>
    <row r="2825" spans="1:1" ht="9.75" customHeight="1">
      <c r="A2825" s="101"/>
    </row>
    <row r="2826" spans="1:1" ht="9.75" customHeight="1">
      <c r="A2826" s="101"/>
    </row>
    <row r="2827" spans="1:1" ht="9.75" customHeight="1">
      <c r="A2827" s="101"/>
    </row>
    <row r="2828" spans="1:1" ht="9.75" customHeight="1">
      <c r="A2828" s="101"/>
    </row>
    <row r="2829" spans="1:1" ht="9.75" customHeight="1">
      <c r="A2829" s="101"/>
    </row>
    <row r="2830" spans="1:1" ht="9.75" customHeight="1">
      <c r="A2830" s="101"/>
    </row>
    <row r="2831" spans="1:1" ht="9.75" customHeight="1">
      <c r="A2831" s="101"/>
    </row>
    <row r="2832" spans="1:1" ht="9.75" customHeight="1">
      <c r="A2832" s="101"/>
    </row>
    <row r="2833" spans="1:1" ht="9.75" customHeight="1">
      <c r="A2833" s="101"/>
    </row>
    <row r="2834" spans="1:1" ht="9.75" customHeight="1">
      <c r="A2834" s="101"/>
    </row>
    <row r="2835" spans="1:1" ht="9.75" customHeight="1">
      <c r="A2835" s="101"/>
    </row>
    <row r="2836" spans="1:1" ht="9.75" customHeight="1">
      <c r="A2836" s="101"/>
    </row>
    <row r="2837" spans="1:1" ht="9.75" customHeight="1">
      <c r="A2837" s="101"/>
    </row>
    <row r="2838" spans="1:1" ht="9.75" customHeight="1">
      <c r="A2838" s="101"/>
    </row>
    <row r="2839" spans="1:1" ht="9.75" customHeight="1">
      <c r="A2839" s="101"/>
    </row>
    <row r="2840" spans="1:1" ht="9.75" customHeight="1">
      <c r="A2840" s="101"/>
    </row>
    <row r="2841" spans="1:1" ht="9.75" customHeight="1">
      <c r="A2841" s="101"/>
    </row>
    <row r="2842" spans="1:1" ht="9.75" customHeight="1">
      <c r="A2842" s="101"/>
    </row>
    <row r="2843" spans="1:1" ht="9.75" customHeight="1">
      <c r="A2843" s="101"/>
    </row>
    <row r="2844" spans="1:1" ht="9.75" customHeight="1">
      <c r="A2844" s="101"/>
    </row>
    <row r="2845" spans="1:1" ht="9.75" customHeight="1">
      <c r="A2845" s="101"/>
    </row>
    <row r="2846" spans="1:1" ht="9.75" customHeight="1">
      <c r="A2846" s="101"/>
    </row>
    <row r="2847" spans="1:1" ht="9.75" customHeight="1">
      <c r="A2847" s="101"/>
    </row>
    <row r="2848" spans="1:1" ht="9.75" customHeight="1">
      <c r="A2848" s="101"/>
    </row>
    <row r="2849" spans="1:1" ht="9.75" customHeight="1">
      <c r="A2849" s="101"/>
    </row>
    <row r="2850" spans="1:1" ht="9.75" customHeight="1">
      <c r="A2850" s="101"/>
    </row>
    <row r="2851" spans="1:1" ht="9.75" customHeight="1">
      <c r="A2851" s="101"/>
    </row>
    <row r="2852" spans="1:1" ht="9.75" customHeight="1">
      <c r="A2852" s="101"/>
    </row>
    <row r="2853" spans="1:1" ht="9.75" customHeight="1">
      <c r="A2853" s="101"/>
    </row>
    <row r="2854" spans="1:1" ht="9.75" customHeight="1">
      <c r="A2854" s="101"/>
    </row>
    <row r="2855" spans="1:1" ht="9.75" customHeight="1">
      <c r="A2855" s="101"/>
    </row>
    <row r="2856" spans="1:1" ht="9.75" customHeight="1">
      <c r="A2856" s="101"/>
    </row>
    <row r="2857" spans="1:1" ht="9.75" customHeight="1">
      <c r="A2857" s="101"/>
    </row>
    <row r="2858" spans="1:1" ht="9.75" customHeight="1">
      <c r="A2858" s="101"/>
    </row>
    <row r="2859" spans="1:1" ht="9.75" customHeight="1">
      <c r="A2859" s="101"/>
    </row>
    <row r="2860" spans="1:1" ht="9.75" customHeight="1">
      <c r="A2860" s="101"/>
    </row>
    <row r="2861" spans="1:1" ht="9.75" customHeight="1">
      <c r="A2861" s="101"/>
    </row>
    <row r="2862" spans="1:1" ht="9.75" customHeight="1">
      <c r="A2862" s="101"/>
    </row>
    <row r="2863" spans="1:1" ht="9.75" customHeight="1">
      <c r="A2863" s="101"/>
    </row>
    <row r="2864" spans="1:1" ht="9.75" customHeight="1">
      <c r="A2864" s="101"/>
    </row>
    <row r="2865" spans="1:1" ht="9.75" customHeight="1">
      <c r="A2865" s="101"/>
    </row>
    <row r="2866" spans="1:1" ht="9.75" customHeight="1">
      <c r="A2866" s="101"/>
    </row>
    <row r="2867" spans="1:1" ht="9.75" customHeight="1">
      <c r="A2867" s="101"/>
    </row>
    <row r="2868" spans="1:1" ht="9.75" customHeight="1">
      <c r="A2868" s="101"/>
    </row>
    <row r="2869" spans="1:1" ht="9.75" customHeight="1">
      <c r="A2869" s="101"/>
    </row>
    <row r="2870" spans="1:1" ht="9.75" customHeight="1">
      <c r="A2870" s="101"/>
    </row>
    <row r="2871" spans="1:1" ht="9.75" customHeight="1">
      <c r="A2871" s="101"/>
    </row>
    <row r="2872" spans="1:1" ht="9.75" customHeight="1">
      <c r="A2872" s="101"/>
    </row>
    <row r="2873" spans="1:1" ht="9.75" customHeight="1">
      <c r="A2873" s="101"/>
    </row>
    <row r="2874" spans="1:1" ht="9.75" customHeight="1">
      <c r="A2874" s="101"/>
    </row>
    <row r="2875" spans="1:1" ht="9.75" customHeight="1">
      <c r="A2875" s="101"/>
    </row>
    <row r="2876" spans="1:1" ht="9.75" customHeight="1">
      <c r="A2876" s="101"/>
    </row>
    <row r="2877" spans="1:1" ht="9.75" customHeight="1">
      <c r="A2877" s="101"/>
    </row>
    <row r="2878" spans="1:1" ht="9.75" customHeight="1">
      <c r="A2878" s="101"/>
    </row>
    <row r="2879" spans="1:1" ht="9.75" customHeight="1">
      <c r="A2879" s="101"/>
    </row>
    <row r="2880" spans="1:1" ht="9.75" customHeight="1">
      <c r="A2880" s="101"/>
    </row>
    <row r="2881" spans="1:1" ht="9.75" customHeight="1">
      <c r="A2881" s="101"/>
    </row>
    <row r="2882" spans="1:1" ht="9.75" customHeight="1">
      <c r="A2882" s="101"/>
    </row>
    <row r="2883" spans="1:1" ht="9.75" customHeight="1">
      <c r="A2883" s="101"/>
    </row>
    <row r="2884" spans="1:1" ht="9.75" customHeight="1">
      <c r="A2884" s="101"/>
    </row>
    <row r="2885" spans="1:1" ht="9.75" customHeight="1">
      <c r="A2885" s="101"/>
    </row>
    <row r="2886" spans="1:1" ht="9.75" customHeight="1">
      <c r="A2886" s="101"/>
    </row>
    <row r="2887" spans="1:1" ht="9.75" customHeight="1">
      <c r="A2887" s="101"/>
    </row>
    <row r="2888" spans="1:1" ht="9.75" customHeight="1">
      <c r="A2888" s="101"/>
    </row>
    <row r="2889" spans="1:1" ht="9.75" customHeight="1">
      <c r="A2889" s="101"/>
    </row>
    <row r="2890" spans="1:1" ht="9.75" customHeight="1">
      <c r="A2890" s="101"/>
    </row>
    <row r="2891" spans="1:1" ht="9.75" customHeight="1">
      <c r="A2891" s="101"/>
    </row>
    <row r="2892" spans="1:1" ht="9.75" customHeight="1">
      <c r="A2892" s="101"/>
    </row>
    <row r="2893" spans="1:1" ht="9.75" customHeight="1">
      <c r="A2893" s="101"/>
    </row>
    <row r="2894" spans="1:1" ht="9.75" customHeight="1">
      <c r="A2894" s="101"/>
    </row>
    <row r="2895" spans="1:1" ht="9.75" customHeight="1">
      <c r="A2895" s="101"/>
    </row>
    <row r="2896" spans="1:1" ht="9.75" customHeight="1">
      <c r="A2896" s="101"/>
    </row>
    <row r="2897" spans="1:1" ht="9.75" customHeight="1">
      <c r="A2897" s="101"/>
    </row>
    <row r="2898" spans="1:1" ht="9.75" customHeight="1">
      <c r="A2898" s="101"/>
    </row>
    <row r="2899" spans="1:1" ht="9.75" customHeight="1">
      <c r="A2899" s="101"/>
    </row>
    <row r="2900" spans="1:1" ht="9.75" customHeight="1">
      <c r="A2900" s="101"/>
    </row>
    <row r="2901" spans="1:1" ht="9.75" customHeight="1">
      <c r="A2901" s="101"/>
    </row>
    <row r="2902" spans="1:1" ht="9.75" customHeight="1">
      <c r="A2902" s="101"/>
    </row>
    <row r="2903" spans="1:1" ht="9.75" customHeight="1">
      <c r="A2903" s="101"/>
    </row>
    <row r="2904" spans="1:1" ht="9.75" customHeight="1">
      <c r="A2904" s="101"/>
    </row>
    <row r="2905" spans="1:1" ht="9.75" customHeight="1">
      <c r="A2905" s="101"/>
    </row>
    <row r="2906" spans="1:1" ht="9.75" customHeight="1">
      <c r="A2906" s="101"/>
    </row>
    <row r="2907" spans="1:1" ht="9.75" customHeight="1">
      <c r="A2907" s="101"/>
    </row>
    <row r="2908" spans="1:1" ht="9.75" customHeight="1">
      <c r="A2908" s="101"/>
    </row>
    <row r="2909" spans="1:1" ht="9.75" customHeight="1">
      <c r="A2909" s="101"/>
    </row>
    <row r="2910" spans="1:1" ht="9.75" customHeight="1">
      <c r="A2910" s="101"/>
    </row>
    <row r="2911" spans="1:1" ht="9.75" customHeight="1">
      <c r="A2911" s="101"/>
    </row>
    <row r="2912" spans="1:1" ht="9.75" customHeight="1">
      <c r="A2912" s="101"/>
    </row>
    <row r="2913" spans="1:1" ht="9.75" customHeight="1">
      <c r="A2913" s="101"/>
    </row>
    <row r="2914" spans="1:1" ht="9.75" customHeight="1">
      <c r="A2914" s="101"/>
    </row>
    <row r="2915" spans="1:1" ht="9.75" customHeight="1">
      <c r="A2915" s="101"/>
    </row>
    <row r="2916" spans="1:1" ht="9.75" customHeight="1">
      <c r="A2916" s="101"/>
    </row>
    <row r="2917" spans="1:1" ht="9.75" customHeight="1">
      <c r="A2917" s="101"/>
    </row>
    <row r="2918" spans="1:1" ht="9.75" customHeight="1">
      <c r="A2918" s="101"/>
    </row>
    <row r="2919" spans="1:1" ht="9.75" customHeight="1">
      <c r="A2919" s="101"/>
    </row>
    <row r="2920" spans="1:1" ht="9.75" customHeight="1">
      <c r="A2920" s="101"/>
    </row>
    <row r="2921" spans="1:1" ht="9.75" customHeight="1">
      <c r="A2921" s="101"/>
    </row>
    <row r="2922" spans="1:1" ht="9.75" customHeight="1">
      <c r="A2922" s="101"/>
    </row>
    <row r="2923" spans="1:1" ht="9.75" customHeight="1">
      <c r="A2923" s="101"/>
    </row>
    <row r="2924" spans="1:1" ht="9.75" customHeight="1">
      <c r="A2924" s="101"/>
    </row>
    <row r="2925" spans="1:1" ht="9.75" customHeight="1">
      <c r="A2925" s="101"/>
    </row>
    <row r="2926" spans="1:1" ht="9.75" customHeight="1">
      <c r="A2926" s="101"/>
    </row>
    <row r="2927" spans="1:1" ht="9.75" customHeight="1">
      <c r="A2927" s="101"/>
    </row>
    <row r="2928" spans="1:1" ht="9.75" customHeight="1">
      <c r="A2928" s="101"/>
    </row>
    <row r="2929" spans="1:1" ht="9.75" customHeight="1">
      <c r="A2929" s="101"/>
    </row>
    <row r="2930" spans="1:1" ht="9.75" customHeight="1">
      <c r="A2930" s="101"/>
    </row>
    <row r="2931" spans="1:1" ht="9.75" customHeight="1">
      <c r="A2931" s="101"/>
    </row>
    <row r="2932" spans="1:1" ht="9.75" customHeight="1">
      <c r="A2932" s="101"/>
    </row>
    <row r="2933" spans="1:1" ht="9.75" customHeight="1">
      <c r="A2933" s="101"/>
    </row>
    <row r="2934" spans="1:1" ht="9.75" customHeight="1">
      <c r="A2934" s="101"/>
    </row>
    <row r="2935" spans="1:1" ht="9.75" customHeight="1">
      <c r="A2935" s="101"/>
    </row>
    <row r="2936" spans="1:1" ht="9.75" customHeight="1">
      <c r="A2936" s="101"/>
    </row>
    <row r="2937" spans="1:1" ht="9.75" customHeight="1">
      <c r="A2937" s="101"/>
    </row>
    <row r="2938" spans="1:1" ht="9.75" customHeight="1">
      <c r="A2938" s="101"/>
    </row>
    <row r="2939" spans="1:1" ht="9.75" customHeight="1">
      <c r="A2939" s="101"/>
    </row>
    <row r="2940" spans="1:1" ht="9.75" customHeight="1">
      <c r="A2940" s="101"/>
    </row>
    <row r="2941" spans="1:1" ht="9.75" customHeight="1">
      <c r="A2941" s="101"/>
    </row>
    <row r="2942" spans="1:1" ht="9.75" customHeight="1">
      <c r="A2942" s="101"/>
    </row>
    <row r="2943" spans="1:1" ht="9.75" customHeight="1">
      <c r="A2943" s="101"/>
    </row>
    <row r="2944" spans="1:1" ht="9.75" customHeight="1">
      <c r="A2944" s="101"/>
    </row>
    <row r="2945" spans="1:1" ht="9.75" customHeight="1">
      <c r="A2945" s="101"/>
    </row>
    <row r="2946" spans="1:1" ht="9.75" customHeight="1">
      <c r="A2946" s="101"/>
    </row>
    <row r="2947" spans="1:1" ht="9.75" customHeight="1">
      <c r="A2947" s="101"/>
    </row>
    <row r="2948" spans="1:1" ht="9.75" customHeight="1">
      <c r="A2948" s="101"/>
    </row>
    <row r="2949" spans="1:1" ht="9.75" customHeight="1">
      <c r="A2949" s="101"/>
    </row>
    <row r="2950" spans="1:1" ht="9.75" customHeight="1">
      <c r="A2950" s="101"/>
    </row>
    <row r="2951" spans="1:1" ht="9.75" customHeight="1">
      <c r="A2951" s="101"/>
    </row>
    <row r="2952" spans="1:1" ht="9.75" customHeight="1">
      <c r="A2952" s="101"/>
    </row>
    <row r="2953" spans="1:1" ht="9.75" customHeight="1">
      <c r="A2953" s="101"/>
    </row>
    <row r="2954" spans="1:1" ht="9.75" customHeight="1">
      <c r="A2954" s="101"/>
    </row>
    <row r="2955" spans="1:1" ht="9.75" customHeight="1">
      <c r="A2955" s="101"/>
    </row>
    <row r="2956" spans="1:1" ht="9.75" customHeight="1">
      <c r="A2956" s="101"/>
    </row>
    <row r="2957" spans="1:1" ht="9.75" customHeight="1">
      <c r="A2957" s="101"/>
    </row>
    <row r="2958" spans="1:1" ht="9.75" customHeight="1">
      <c r="A2958" s="101"/>
    </row>
    <row r="2959" spans="1:1" ht="9.75" customHeight="1">
      <c r="A2959" s="101"/>
    </row>
    <row r="2960" spans="1:1" ht="9.75" customHeight="1">
      <c r="A2960" s="101"/>
    </row>
    <row r="2961" spans="1:1" ht="9.75" customHeight="1">
      <c r="A2961" s="101"/>
    </row>
    <row r="2962" spans="1:1" ht="9.75" customHeight="1">
      <c r="A2962" s="101"/>
    </row>
    <row r="2963" spans="1:1" ht="9.75" customHeight="1">
      <c r="A2963" s="101"/>
    </row>
    <row r="2964" spans="1:1" ht="9.75" customHeight="1">
      <c r="A2964" s="101"/>
    </row>
    <row r="2965" spans="1:1" ht="9.75" customHeight="1">
      <c r="A2965" s="101"/>
    </row>
    <row r="2966" spans="1:1" ht="9.75" customHeight="1">
      <c r="A2966" s="101"/>
    </row>
    <row r="2967" spans="1:1" ht="9.75" customHeight="1">
      <c r="A2967" s="101"/>
    </row>
    <row r="2968" spans="1:1" ht="9.75" customHeight="1">
      <c r="A2968" s="101"/>
    </row>
    <row r="2969" spans="1:1" ht="9.75" customHeight="1">
      <c r="A2969" s="101"/>
    </row>
    <row r="2970" spans="1:1" ht="9.75" customHeight="1">
      <c r="A2970" s="101"/>
    </row>
    <row r="2971" spans="1:1" ht="9.75" customHeight="1">
      <c r="A2971" s="101"/>
    </row>
    <row r="2972" spans="1:1" ht="9.75" customHeight="1">
      <c r="A2972" s="101"/>
    </row>
    <row r="2973" spans="1:1" ht="9.75" customHeight="1">
      <c r="A2973" s="101"/>
    </row>
    <row r="2974" spans="1:1" ht="9.75" customHeight="1">
      <c r="A2974" s="101"/>
    </row>
    <row r="2975" spans="1:1" ht="9.75" customHeight="1">
      <c r="A2975" s="101"/>
    </row>
    <row r="2976" spans="1:1" ht="9.75" customHeight="1">
      <c r="A2976" s="101"/>
    </row>
    <row r="2977" spans="1:1" ht="9.75" customHeight="1">
      <c r="A2977" s="101"/>
    </row>
    <row r="2978" spans="1:1" ht="9.75" customHeight="1">
      <c r="A2978" s="101"/>
    </row>
    <row r="2979" spans="1:1" ht="9.75" customHeight="1">
      <c r="A2979" s="101"/>
    </row>
    <row r="2980" spans="1:1" ht="9.75" customHeight="1">
      <c r="A2980" s="101"/>
    </row>
    <row r="2981" spans="1:1" ht="9.75" customHeight="1">
      <c r="A2981" s="101"/>
    </row>
    <row r="2982" spans="1:1" ht="9.75" customHeight="1">
      <c r="A2982" s="101"/>
    </row>
    <row r="2983" spans="1:1" ht="9.75" customHeight="1">
      <c r="A2983" s="101"/>
    </row>
    <row r="2984" spans="1:1" ht="9.75" customHeight="1">
      <c r="A2984" s="101"/>
    </row>
    <row r="2985" spans="1:1" ht="9.75" customHeight="1">
      <c r="A2985" s="101"/>
    </row>
    <row r="2986" spans="1:1" ht="9.75" customHeight="1">
      <c r="A2986" s="101"/>
    </row>
    <row r="2987" spans="1:1" ht="9.75" customHeight="1">
      <c r="A2987" s="101"/>
    </row>
    <row r="2988" spans="1:1" ht="9.75" customHeight="1">
      <c r="A2988" s="101"/>
    </row>
    <row r="2989" spans="1:1" ht="9.75" customHeight="1">
      <c r="A2989" s="101"/>
    </row>
    <row r="2990" spans="1:1" ht="9.75" customHeight="1">
      <c r="A2990" s="101"/>
    </row>
    <row r="2991" spans="1:1" ht="9.75" customHeight="1">
      <c r="A2991" s="101"/>
    </row>
    <row r="2992" spans="1:1" ht="9.75" customHeight="1">
      <c r="A2992" s="101"/>
    </row>
    <row r="2993" spans="1:1" ht="9.75" customHeight="1">
      <c r="A2993" s="101"/>
    </row>
    <row r="2994" spans="1:1" ht="9.75" customHeight="1">
      <c r="A2994" s="101"/>
    </row>
    <row r="2995" spans="1:1" ht="9.75" customHeight="1">
      <c r="A2995" s="101"/>
    </row>
    <row r="2996" spans="1:1" ht="9.75" customHeight="1">
      <c r="A2996" s="101"/>
    </row>
    <row r="2997" spans="1:1" ht="9.75" customHeight="1">
      <c r="A2997" s="101"/>
    </row>
    <row r="2998" spans="1:1" ht="9.75" customHeight="1">
      <c r="A2998" s="101"/>
    </row>
    <row r="2999" spans="1:1" ht="9.75" customHeight="1">
      <c r="A2999" s="101"/>
    </row>
    <row r="3000" spans="1:1" ht="9.75" customHeight="1">
      <c r="A3000" s="101"/>
    </row>
    <row r="3001" spans="1:1" ht="9.75" customHeight="1">
      <c r="A3001" s="101"/>
    </row>
    <row r="3002" spans="1:1" ht="9.75" customHeight="1">
      <c r="A3002" s="101"/>
    </row>
    <row r="3003" spans="1:1" ht="9.75" customHeight="1">
      <c r="A3003" s="101"/>
    </row>
    <row r="3004" spans="1:1" ht="9.75" customHeight="1">
      <c r="A3004" s="101"/>
    </row>
    <row r="3005" spans="1:1" ht="9.75" customHeight="1">
      <c r="A3005" s="101"/>
    </row>
    <row r="3006" spans="1:1" ht="9.75" customHeight="1">
      <c r="A3006" s="101"/>
    </row>
    <row r="3007" spans="1:1" ht="9.75" customHeight="1">
      <c r="A3007" s="101"/>
    </row>
    <row r="3008" spans="1:1" ht="9.75" customHeight="1">
      <c r="A3008" s="101"/>
    </row>
    <row r="3009" spans="1:1" ht="9.75" customHeight="1">
      <c r="A3009" s="101"/>
    </row>
    <row r="3010" spans="1:1" ht="9.75" customHeight="1">
      <c r="A3010" s="101"/>
    </row>
    <row r="3011" spans="1:1" ht="9.75" customHeight="1">
      <c r="A3011" s="101"/>
    </row>
    <row r="3012" spans="1:1" ht="9.75" customHeight="1">
      <c r="A3012" s="101"/>
    </row>
    <row r="3013" spans="1:1" ht="9.75" customHeight="1">
      <c r="A3013" s="101"/>
    </row>
    <row r="3014" spans="1:1" ht="9.75" customHeight="1">
      <c r="A3014" s="101"/>
    </row>
    <row r="3015" spans="1:1" ht="9.75" customHeight="1">
      <c r="A3015" s="101"/>
    </row>
    <row r="3016" spans="1:1" ht="9.75" customHeight="1">
      <c r="A3016" s="101"/>
    </row>
    <row r="3017" spans="1:1" ht="9.75" customHeight="1">
      <c r="A3017" s="101"/>
    </row>
    <row r="3018" spans="1:1" ht="9.75" customHeight="1">
      <c r="A3018" s="101"/>
    </row>
    <row r="3019" spans="1:1" ht="9.75" customHeight="1">
      <c r="A3019" s="101"/>
    </row>
    <row r="3020" spans="1:1" ht="9.75" customHeight="1">
      <c r="A3020" s="101"/>
    </row>
    <row r="3021" spans="1:1" ht="9.75" customHeight="1">
      <c r="A3021" s="101"/>
    </row>
    <row r="3022" spans="1:1" ht="9.75" customHeight="1">
      <c r="A3022" s="101"/>
    </row>
    <row r="3023" spans="1:1" ht="9.75" customHeight="1">
      <c r="A3023" s="101"/>
    </row>
    <row r="3024" spans="1:1" ht="9.75" customHeight="1">
      <c r="A3024" s="101"/>
    </row>
    <row r="3025" spans="1:1" ht="9.75" customHeight="1">
      <c r="A3025" s="101"/>
    </row>
    <row r="3026" spans="1:1" ht="9.75" customHeight="1">
      <c r="A3026" s="101"/>
    </row>
    <row r="3027" spans="1:1" ht="9.75" customHeight="1">
      <c r="A3027" s="101"/>
    </row>
    <row r="3028" spans="1:1" ht="9.75" customHeight="1">
      <c r="A3028" s="101"/>
    </row>
    <row r="3029" spans="1:1" ht="9.75" customHeight="1">
      <c r="A3029" s="101"/>
    </row>
    <row r="3030" spans="1:1" ht="9.75" customHeight="1">
      <c r="A3030" s="101"/>
    </row>
    <row r="3031" spans="1:1" ht="9.75" customHeight="1">
      <c r="A3031" s="101"/>
    </row>
    <row r="3032" spans="1:1" ht="9.75" customHeight="1">
      <c r="A3032" s="101"/>
    </row>
    <row r="3033" spans="1:1" ht="9.75" customHeight="1">
      <c r="A3033" s="101"/>
    </row>
    <row r="3034" spans="1:1" ht="9.75" customHeight="1">
      <c r="A3034" s="101"/>
    </row>
    <row r="3035" spans="1:1" ht="9.75" customHeight="1">
      <c r="A3035" s="101"/>
    </row>
    <row r="3036" spans="1:1" ht="9.75" customHeight="1">
      <c r="A3036" s="101"/>
    </row>
    <row r="3037" spans="1:1" ht="9.75" customHeight="1">
      <c r="A3037" s="101"/>
    </row>
    <row r="3038" spans="1:1" ht="9.75" customHeight="1">
      <c r="A3038" s="101"/>
    </row>
    <row r="3039" spans="1:1" ht="9.75" customHeight="1">
      <c r="A3039" s="101"/>
    </row>
    <row r="3040" spans="1:1" ht="9.75" customHeight="1">
      <c r="A3040" s="101"/>
    </row>
    <row r="3041" spans="1:1" ht="9.75" customHeight="1">
      <c r="A3041" s="101"/>
    </row>
    <row r="3042" spans="1:1" ht="9.75" customHeight="1">
      <c r="A3042" s="101"/>
    </row>
    <row r="3043" spans="1:1" ht="9.75" customHeight="1">
      <c r="A3043" s="101"/>
    </row>
    <row r="3044" spans="1:1" ht="9.75" customHeight="1">
      <c r="A3044" s="101"/>
    </row>
    <row r="3045" spans="1:1" ht="9.75" customHeight="1">
      <c r="A3045" s="101"/>
    </row>
    <row r="3046" spans="1:1" ht="9.75" customHeight="1">
      <c r="A3046" s="101"/>
    </row>
    <row r="3047" spans="1:1" ht="9.75" customHeight="1">
      <c r="A3047" s="101"/>
    </row>
    <row r="3048" spans="1:1" ht="9.75" customHeight="1">
      <c r="A3048" s="101"/>
    </row>
    <row r="3049" spans="1:1" ht="9.75" customHeight="1">
      <c r="A3049" s="101"/>
    </row>
    <row r="3050" spans="1:1" ht="9.75" customHeight="1">
      <c r="A3050" s="101"/>
    </row>
    <row r="3051" spans="1:1" ht="9.75" customHeight="1">
      <c r="A3051" s="101"/>
    </row>
    <row r="3052" spans="1:1" ht="9.75" customHeight="1">
      <c r="A3052" s="101"/>
    </row>
    <row r="3053" spans="1:1" ht="9.75" customHeight="1">
      <c r="A3053" s="101"/>
    </row>
    <row r="3054" spans="1:1" ht="9.75" customHeight="1">
      <c r="A3054" s="101"/>
    </row>
    <row r="3055" spans="1:1" ht="9.75" customHeight="1">
      <c r="A3055" s="101"/>
    </row>
    <row r="3056" spans="1:1" ht="9.75" customHeight="1">
      <c r="A3056" s="101"/>
    </row>
    <row r="3057" spans="1:1" ht="9.75" customHeight="1">
      <c r="A3057" s="101"/>
    </row>
    <row r="3058" spans="1:1" ht="9.75" customHeight="1">
      <c r="A3058" s="101"/>
    </row>
    <row r="3059" spans="1:1" ht="9.75" customHeight="1">
      <c r="A3059" s="101"/>
    </row>
    <row r="3060" spans="1:1" ht="9.75" customHeight="1">
      <c r="A3060" s="101"/>
    </row>
    <row r="3061" spans="1:1" ht="9.75" customHeight="1">
      <c r="A3061" s="101"/>
    </row>
    <row r="3062" spans="1:1" ht="9.75" customHeight="1">
      <c r="A3062" s="101"/>
    </row>
    <row r="3063" spans="1:1" ht="9.75" customHeight="1">
      <c r="A3063" s="101"/>
    </row>
    <row r="3064" spans="1:1" ht="9.75" customHeight="1">
      <c r="A3064" s="101"/>
    </row>
    <row r="3065" spans="1:1" ht="9.75" customHeight="1">
      <c r="A3065" s="101"/>
    </row>
    <row r="3066" spans="1:1" ht="9.75" customHeight="1">
      <c r="A3066" s="101"/>
    </row>
    <row r="3067" spans="1:1" ht="9.75" customHeight="1">
      <c r="A3067" s="101"/>
    </row>
    <row r="3068" spans="1:1" ht="9.75" customHeight="1">
      <c r="A3068" s="101"/>
    </row>
    <row r="3069" spans="1:1" ht="9.75" customHeight="1">
      <c r="A3069" s="101"/>
    </row>
    <row r="3070" spans="1:1" ht="9.75" customHeight="1">
      <c r="A3070" s="101"/>
    </row>
    <row r="3071" spans="1:1" ht="9.75" customHeight="1">
      <c r="A3071" s="101"/>
    </row>
    <row r="3072" spans="1:1" ht="9.75" customHeight="1">
      <c r="A3072" s="101"/>
    </row>
    <row r="3073" spans="1:1" ht="9.75" customHeight="1">
      <c r="A3073" s="101"/>
    </row>
    <row r="3074" spans="1:1" ht="9.75" customHeight="1">
      <c r="A3074" s="101"/>
    </row>
    <row r="3075" spans="1:1" ht="9.75" customHeight="1">
      <c r="A3075" s="101"/>
    </row>
    <row r="3076" spans="1:1" ht="9.75" customHeight="1">
      <c r="A3076" s="101"/>
    </row>
    <row r="3077" spans="1:1" ht="9.75" customHeight="1">
      <c r="A3077" s="101"/>
    </row>
    <row r="3078" spans="1:1" ht="9.75" customHeight="1">
      <c r="A3078" s="101"/>
    </row>
    <row r="3079" spans="1:1" ht="9.75" customHeight="1">
      <c r="A3079" s="101"/>
    </row>
    <row r="3080" spans="1:1" ht="9.75" customHeight="1">
      <c r="A3080" s="101"/>
    </row>
    <row r="3081" spans="1:1" ht="9.75" customHeight="1">
      <c r="A3081" s="101"/>
    </row>
    <row r="3082" spans="1:1" ht="9.75" customHeight="1">
      <c r="A3082" s="101"/>
    </row>
    <row r="3083" spans="1:1" ht="9.75" customHeight="1">
      <c r="A3083" s="101"/>
    </row>
    <row r="3084" spans="1:1" ht="9.75" customHeight="1">
      <c r="A3084" s="101"/>
    </row>
    <row r="3085" spans="1:1" ht="9.75" customHeight="1">
      <c r="A3085" s="101"/>
    </row>
    <row r="3086" spans="1:1" ht="9.75" customHeight="1">
      <c r="A3086" s="101"/>
    </row>
    <row r="3087" spans="1:1" ht="9.75" customHeight="1">
      <c r="A3087" s="101"/>
    </row>
    <row r="3088" spans="1:1" ht="9.75" customHeight="1">
      <c r="A3088" s="101"/>
    </row>
    <row r="3089" spans="1:1" ht="9.75" customHeight="1">
      <c r="A3089" s="101"/>
    </row>
    <row r="3090" spans="1:1" ht="9.75" customHeight="1">
      <c r="A3090" s="101"/>
    </row>
    <row r="3091" spans="1:1" ht="9.75" customHeight="1">
      <c r="A3091" s="101"/>
    </row>
    <row r="3092" spans="1:1" ht="9.75" customHeight="1">
      <c r="A3092" s="101"/>
    </row>
    <row r="3093" spans="1:1" ht="9.75" customHeight="1">
      <c r="A3093" s="101"/>
    </row>
    <row r="3094" spans="1:1" ht="9.75" customHeight="1">
      <c r="A3094" s="101"/>
    </row>
    <row r="3095" spans="1:1" ht="9.75" customHeight="1">
      <c r="A3095" s="101"/>
    </row>
    <row r="3096" spans="1:1" ht="9.75" customHeight="1">
      <c r="A3096" s="101"/>
    </row>
    <row r="3097" spans="1:1" ht="9.75" customHeight="1">
      <c r="A3097" s="101"/>
    </row>
    <row r="3098" spans="1:1" ht="9.75" customHeight="1">
      <c r="A3098" s="101"/>
    </row>
    <row r="3099" spans="1:1" ht="9.75" customHeight="1">
      <c r="A3099" s="101"/>
    </row>
    <row r="3100" spans="1:1" ht="9.75" customHeight="1">
      <c r="A3100" s="101"/>
    </row>
    <row r="3101" spans="1:1" ht="9.75" customHeight="1">
      <c r="A3101" s="101"/>
    </row>
    <row r="3102" spans="1:1" ht="9.75" customHeight="1">
      <c r="A3102" s="101"/>
    </row>
    <row r="3103" spans="1:1" ht="9.75" customHeight="1">
      <c r="A3103" s="101"/>
    </row>
    <row r="3104" spans="1:1" ht="9.75" customHeight="1">
      <c r="A3104" s="101"/>
    </row>
    <row r="3105" spans="1:1" ht="9.75" customHeight="1">
      <c r="A3105" s="101"/>
    </row>
    <row r="3106" spans="1:1" ht="9.75" customHeight="1">
      <c r="A3106" s="101"/>
    </row>
    <row r="3107" spans="1:1" ht="9.75" customHeight="1">
      <c r="A3107" s="101"/>
    </row>
    <row r="3108" spans="1:1" ht="9.75" customHeight="1">
      <c r="A3108" s="101"/>
    </row>
    <row r="3109" spans="1:1" ht="9.75" customHeight="1">
      <c r="A3109" s="101"/>
    </row>
    <row r="3110" spans="1:1" ht="9.75" customHeight="1">
      <c r="A3110" s="101"/>
    </row>
    <row r="3111" spans="1:1" ht="9.75" customHeight="1">
      <c r="A3111" s="101"/>
    </row>
    <row r="3112" spans="1:1" ht="9.75" customHeight="1">
      <c r="A3112" s="101"/>
    </row>
    <row r="3113" spans="1:1" ht="9.75" customHeight="1">
      <c r="A3113" s="101"/>
    </row>
    <row r="3114" spans="1:1" ht="9.75" customHeight="1">
      <c r="A3114" s="101"/>
    </row>
    <row r="3115" spans="1:1" ht="9.75" customHeight="1">
      <c r="A3115" s="101"/>
    </row>
    <row r="3116" spans="1:1" ht="9.75" customHeight="1">
      <c r="A3116" s="101"/>
    </row>
    <row r="3117" spans="1:1" ht="9.75" customHeight="1">
      <c r="A3117" s="101"/>
    </row>
    <row r="3118" spans="1:1" ht="9.75" customHeight="1">
      <c r="A3118" s="101"/>
    </row>
    <row r="3119" spans="1:1" ht="9.75" customHeight="1">
      <c r="A3119" s="101"/>
    </row>
    <row r="3120" spans="1:1" ht="9.75" customHeight="1">
      <c r="A3120" s="101"/>
    </row>
    <row r="3121" spans="1:1" ht="9.75" customHeight="1">
      <c r="A3121" s="101"/>
    </row>
    <row r="3122" spans="1:1" ht="9.75" customHeight="1">
      <c r="A3122" s="101"/>
    </row>
    <row r="3123" spans="1:1" ht="9.75" customHeight="1">
      <c r="A3123" s="101"/>
    </row>
    <row r="3124" spans="1:1" ht="9.75" customHeight="1">
      <c r="A3124" s="101"/>
    </row>
    <row r="3125" spans="1:1" ht="9.75" customHeight="1">
      <c r="A3125" s="101"/>
    </row>
    <row r="3126" spans="1:1" ht="9.75" customHeight="1">
      <c r="A3126" s="101"/>
    </row>
    <row r="3127" spans="1:1" ht="9.75" customHeight="1">
      <c r="A3127" s="101"/>
    </row>
    <row r="3128" spans="1:1" ht="9.75" customHeight="1">
      <c r="A3128" s="101"/>
    </row>
    <row r="3129" spans="1:1" ht="9.75" customHeight="1">
      <c r="A3129" s="101"/>
    </row>
    <row r="3130" spans="1:1" ht="9.75" customHeight="1">
      <c r="A3130" s="101"/>
    </row>
    <row r="3131" spans="1:1" ht="9.75" customHeight="1">
      <c r="A3131" s="101"/>
    </row>
    <row r="3132" spans="1:1" ht="9.75" customHeight="1">
      <c r="A3132" s="101"/>
    </row>
    <row r="3133" spans="1:1" ht="9.75" customHeight="1">
      <c r="A3133" s="101"/>
    </row>
    <row r="3134" spans="1:1" ht="9.75" customHeight="1">
      <c r="A3134" s="101"/>
    </row>
    <row r="3135" spans="1:1" ht="9.75" customHeight="1">
      <c r="A3135" s="101"/>
    </row>
    <row r="3136" spans="1:1" ht="9.75" customHeight="1">
      <c r="A3136" s="101"/>
    </row>
    <row r="3137" spans="1:1" ht="9.75" customHeight="1">
      <c r="A3137" s="101"/>
    </row>
    <row r="3138" spans="1:1" ht="9.75" customHeight="1">
      <c r="A3138" s="101"/>
    </row>
    <row r="3139" spans="1:1" ht="9.75" customHeight="1">
      <c r="A3139" s="101"/>
    </row>
    <row r="3140" spans="1:1" ht="9.75" customHeight="1">
      <c r="A3140" s="101"/>
    </row>
    <row r="3141" spans="1:1" ht="9.75" customHeight="1">
      <c r="A3141" s="101"/>
    </row>
    <row r="3142" spans="1:1" ht="9.75" customHeight="1">
      <c r="A3142" s="101"/>
    </row>
    <row r="3143" spans="1:1" ht="9.75" customHeight="1">
      <c r="A3143" s="101"/>
    </row>
    <row r="3144" spans="1:1" ht="9.75" customHeight="1">
      <c r="A3144" s="101"/>
    </row>
    <row r="3145" spans="1:1" ht="9.75" customHeight="1">
      <c r="A3145" s="101"/>
    </row>
    <row r="3146" spans="1:1" ht="9.75" customHeight="1">
      <c r="A3146" s="101"/>
    </row>
    <row r="3147" spans="1:1" ht="9.75" customHeight="1">
      <c r="A3147" s="101"/>
    </row>
    <row r="3148" spans="1:1" ht="9.75" customHeight="1">
      <c r="A3148" s="101"/>
    </row>
    <row r="3149" spans="1:1" ht="9.75" customHeight="1">
      <c r="A3149" s="101"/>
    </row>
    <row r="3150" spans="1:1" ht="9.75" customHeight="1">
      <c r="A3150" s="101"/>
    </row>
    <row r="3151" spans="1:1" ht="9.75" customHeight="1">
      <c r="A3151" s="101"/>
    </row>
    <row r="3152" spans="1:1" ht="9.75" customHeight="1">
      <c r="A3152" s="101"/>
    </row>
    <row r="3153" spans="1:1" ht="9.75" customHeight="1">
      <c r="A3153" s="101"/>
    </row>
    <row r="3154" spans="1:1" ht="9.75" customHeight="1">
      <c r="A3154" s="101"/>
    </row>
    <row r="3155" spans="1:1" ht="9.75" customHeight="1">
      <c r="A3155" s="101"/>
    </row>
    <row r="3156" spans="1:1" ht="9.75" customHeight="1">
      <c r="A3156" s="101"/>
    </row>
    <row r="3157" spans="1:1" ht="9.75" customHeight="1">
      <c r="A3157" s="101"/>
    </row>
    <row r="3158" spans="1:1" ht="9.75" customHeight="1">
      <c r="A3158" s="101"/>
    </row>
    <row r="3159" spans="1:1" ht="9.75" customHeight="1">
      <c r="A3159" s="101"/>
    </row>
    <row r="3160" spans="1:1" ht="9.75" customHeight="1">
      <c r="A3160" s="101"/>
    </row>
    <row r="3161" spans="1:1" ht="9.75" customHeight="1">
      <c r="A3161" s="101"/>
    </row>
    <row r="3162" spans="1:1" ht="9.75" customHeight="1">
      <c r="A3162" s="101"/>
    </row>
    <row r="3163" spans="1:1" ht="9.75" customHeight="1">
      <c r="A3163" s="101"/>
    </row>
    <row r="3164" spans="1:1" ht="9.75" customHeight="1">
      <c r="A3164" s="101"/>
    </row>
    <row r="3165" spans="1:1" ht="9.75" customHeight="1">
      <c r="A3165" s="101"/>
    </row>
    <row r="3166" spans="1:1" ht="9.75" customHeight="1">
      <c r="A3166" s="101"/>
    </row>
    <row r="3167" spans="1:1" ht="9.75" customHeight="1">
      <c r="A3167" s="101"/>
    </row>
    <row r="3168" spans="1:1" ht="9.75" customHeight="1">
      <c r="A3168" s="101"/>
    </row>
    <row r="3169" spans="1:1" ht="9.75" customHeight="1">
      <c r="A3169" s="101"/>
    </row>
    <row r="3170" spans="1:1" ht="9.75" customHeight="1">
      <c r="A3170" s="101"/>
    </row>
    <row r="3171" spans="1:1" ht="9.75" customHeight="1">
      <c r="A3171" s="101"/>
    </row>
    <row r="3172" spans="1:1" ht="9.75" customHeight="1">
      <c r="A3172" s="101"/>
    </row>
    <row r="3173" spans="1:1" ht="9.75" customHeight="1">
      <c r="A3173" s="101"/>
    </row>
    <row r="3174" spans="1:1" ht="9.75" customHeight="1">
      <c r="A3174" s="101"/>
    </row>
    <row r="3175" spans="1:1" ht="9.75" customHeight="1">
      <c r="A3175" s="101"/>
    </row>
    <row r="3176" spans="1:1" ht="9.75" customHeight="1">
      <c r="A3176" s="101"/>
    </row>
    <row r="3177" spans="1:1" ht="9.75" customHeight="1">
      <c r="A3177" s="101"/>
    </row>
    <row r="3178" spans="1:1" ht="9.75" customHeight="1">
      <c r="A3178" s="101"/>
    </row>
    <row r="3179" spans="1:1" ht="9.75" customHeight="1">
      <c r="A3179" s="101"/>
    </row>
    <row r="3180" spans="1:1" ht="9.75" customHeight="1">
      <c r="A3180" s="101"/>
    </row>
    <row r="3181" spans="1:1" ht="9.75" customHeight="1">
      <c r="A3181" s="101"/>
    </row>
    <row r="3182" spans="1:1" ht="9.75" customHeight="1">
      <c r="A3182" s="101"/>
    </row>
    <row r="3183" spans="1:1" ht="9.75" customHeight="1">
      <c r="A3183" s="101"/>
    </row>
    <row r="3184" spans="1:1" ht="9.75" customHeight="1">
      <c r="A3184" s="101"/>
    </row>
    <row r="3185" spans="1:1" ht="9.75" customHeight="1">
      <c r="A3185" s="101"/>
    </row>
    <row r="3186" spans="1:1" ht="9.75" customHeight="1">
      <c r="A3186" s="101"/>
    </row>
    <row r="3187" spans="1:1" ht="9.75" customHeight="1">
      <c r="A3187" s="101"/>
    </row>
    <row r="3188" spans="1:1" ht="9.75" customHeight="1">
      <c r="A3188" s="101"/>
    </row>
    <row r="3189" spans="1:1" ht="9.75" customHeight="1">
      <c r="A3189" s="101"/>
    </row>
    <row r="3190" spans="1:1" ht="9.75" customHeight="1">
      <c r="A3190" s="101"/>
    </row>
    <row r="3191" spans="1:1" ht="9.75" customHeight="1">
      <c r="A3191" s="101"/>
    </row>
    <row r="3192" spans="1:1" ht="9.75" customHeight="1">
      <c r="A3192" s="101"/>
    </row>
    <row r="3193" spans="1:1" ht="9.75" customHeight="1">
      <c r="A3193" s="101"/>
    </row>
    <row r="3194" spans="1:1" ht="9.75" customHeight="1">
      <c r="A3194" s="101"/>
    </row>
    <row r="3195" spans="1:1" ht="9.75" customHeight="1">
      <c r="A3195" s="101"/>
    </row>
    <row r="3196" spans="1:1" ht="9.75" customHeight="1">
      <c r="A3196" s="101"/>
    </row>
    <row r="3197" spans="1:1" ht="9.75" customHeight="1">
      <c r="A3197" s="101"/>
    </row>
    <row r="3198" spans="1:1" ht="9.75" customHeight="1">
      <c r="A3198" s="101"/>
    </row>
    <row r="3199" spans="1:1" ht="9.75" customHeight="1">
      <c r="A3199" s="101"/>
    </row>
    <row r="3200" spans="1:1" ht="9.75" customHeight="1">
      <c r="A3200" s="101"/>
    </row>
    <row r="3201" spans="1:1" ht="9.75" customHeight="1">
      <c r="A3201" s="101"/>
    </row>
    <row r="3202" spans="1:1" ht="9.75" customHeight="1">
      <c r="A3202" s="101"/>
    </row>
    <row r="3203" spans="1:1" ht="9.75" customHeight="1">
      <c r="A3203" s="101"/>
    </row>
    <row r="3204" spans="1:1" ht="9.75" customHeight="1">
      <c r="A3204" s="101"/>
    </row>
    <row r="3205" spans="1:1" ht="9.75" customHeight="1">
      <c r="A3205" s="101"/>
    </row>
    <row r="3206" spans="1:1" ht="9.75" customHeight="1">
      <c r="A3206" s="101"/>
    </row>
    <row r="3207" spans="1:1" ht="9.75" customHeight="1">
      <c r="A3207" s="101"/>
    </row>
    <row r="3208" spans="1:1" ht="9.75" customHeight="1">
      <c r="A3208" s="101"/>
    </row>
    <row r="3209" spans="1:1" ht="9.75" customHeight="1">
      <c r="A3209" s="101"/>
    </row>
    <row r="3210" spans="1:1" ht="9.75" customHeight="1">
      <c r="A3210" s="101"/>
    </row>
    <row r="3211" spans="1:1" ht="9.75" customHeight="1">
      <c r="A3211" s="101"/>
    </row>
    <row r="3212" spans="1:1" ht="9.75" customHeight="1">
      <c r="A3212" s="101"/>
    </row>
    <row r="3213" spans="1:1" ht="9.75" customHeight="1">
      <c r="A3213" s="101"/>
    </row>
    <row r="3214" spans="1:1" ht="9.75" customHeight="1">
      <c r="A3214" s="101"/>
    </row>
    <row r="3215" spans="1:1" ht="9.75" customHeight="1">
      <c r="A3215" s="101"/>
    </row>
    <row r="3216" spans="1:1" ht="9.75" customHeight="1">
      <c r="A3216" s="101"/>
    </row>
    <row r="3217" spans="1:1" ht="9.75" customHeight="1">
      <c r="A3217" s="101"/>
    </row>
    <row r="3218" spans="1:1" ht="9.75" customHeight="1">
      <c r="A3218" s="101"/>
    </row>
    <row r="3219" spans="1:1" ht="9.75" customHeight="1">
      <c r="A3219" s="101"/>
    </row>
    <row r="3220" spans="1:1" ht="9.75" customHeight="1">
      <c r="A3220" s="101"/>
    </row>
    <row r="3221" spans="1:1" ht="9.75" customHeight="1">
      <c r="A3221" s="101"/>
    </row>
    <row r="3222" spans="1:1" ht="9.75" customHeight="1">
      <c r="A3222" s="101"/>
    </row>
    <row r="3223" spans="1:1" ht="9.75" customHeight="1">
      <c r="A3223" s="101"/>
    </row>
    <row r="3224" spans="1:1" ht="9.75" customHeight="1">
      <c r="A3224" s="101"/>
    </row>
    <row r="3225" spans="1:1" ht="9.75" customHeight="1">
      <c r="A3225" s="101"/>
    </row>
    <row r="3226" spans="1:1" ht="9.75" customHeight="1">
      <c r="A3226" s="101"/>
    </row>
    <row r="3227" spans="1:1" ht="9.75" customHeight="1">
      <c r="A3227" s="101"/>
    </row>
    <row r="3228" spans="1:1" ht="9.75" customHeight="1">
      <c r="A3228" s="101"/>
    </row>
    <row r="3229" spans="1:1" ht="9.75" customHeight="1">
      <c r="A3229" s="101"/>
    </row>
    <row r="3230" spans="1:1" ht="9.75" customHeight="1">
      <c r="A3230" s="101"/>
    </row>
    <row r="3231" spans="1:1" ht="9.75" customHeight="1">
      <c r="A3231" s="101"/>
    </row>
    <row r="3232" spans="1:1" ht="9.75" customHeight="1">
      <c r="A3232" s="101"/>
    </row>
    <row r="3233" spans="1:1" ht="9.75" customHeight="1">
      <c r="A3233" s="101"/>
    </row>
    <row r="3234" spans="1:1" ht="9.75" customHeight="1">
      <c r="A3234" s="101"/>
    </row>
    <row r="3235" spans="1:1" ht="9.75" customHeight="1">
      <c r="A3235" s="101"/>
    </row>
    <row r="3236" spans="1:1" ht="9.75" customHeight="1">
      <c r="A3236" s="101"/>
    </row>
    <row r="3237" spans="1:1" ht="9.75" customHeight="1">
      <c r="A3237" s="101"/>
    </row>
    <row r="3238" spans="1:1" ht="9.75" customHeight="1">
      <c r="A3238" s="101"/>
    </row>
    <row r="3239" spans="1:1" ht="9.75" customHeight="1">
      <c r="A3239" s="101"/>
    </row>
    <row r="3240" spans="1:1" ht="9.75" customHeight="1">
      <c r="A3240" s="101"/>
    </row>
    <row r="3241" spans="1:1" ht="9.75" customHeight="1">
      <c r="A3241" s="101"/>
    </row>
    <row r="3242" spans="1:1" ht="9.75" customHeight="1">
      <c r="A3242" s="101"/>
    </row>
    <row r="3243" spans="1:1" ht="9.75" customHeight="1">
      <c r="A3243" s="101"/>
    </row>
    <row r="3244" spans="1:1" ht="9.75" customHeight="1">
      <c r="A3244" s="101"/>
    </row>
    <row r="3245" spans="1:1" ht="9.75" customHeight="1">
      <c r="A3245" s="101"/>
    </row>
    <row r="3246" spans="1:1" ht="9.75" customHeight="1">
      <c r="A3246" s="101"/>
    </row>
    <row r="3247" spans="1:1" ht="9.75" customHeight="1">
      <c r="A3247" s="101"/>
    </row>
    <row r="3248" spans="1:1" ht="9.75" customHeight="1">
      <c r="A3248" s="101"/>
    </row>
    <row r="3249" spans="1:1" ht="9.75" customHeight="1">
      <c r="A3249" s="101"/>
    </row>
    <row r="3250" spans="1:1" ht="9.75" customHeight="1">
      <c r="A3250" s="101"/>
    </row>
    <row r="3251" spans="1:1" ht="9.75" customHeight="1">
      <c r="A3251" s="101"/>
    </row>
    <row r="3252" spans="1:1" ht="9.75" customHeight="1">
      <c r="A3252" s="101"/>
    </row>
    <row r="3253" spans="1:1" ht="9.75" customHeight="1">
      <c r="A3253" s="101"/>
    </row>
    <row r="3254" spans="1:1" ht="9.75" customHeight="1">
      <c r="A3254" s="101"/>
    </row>
    <row r="3255" spans="1:1" ht="9.75" customHeight="1">
      <c r="A3255" s="101"/>
    </row>
    <row r="3256" spans="1:1" ht="9.75" customHeight="1">
      <c r="A3256" s="101"/>
    </row>
    <row r="3257" spans="1:1" ht="9.75" customHeight="1">
      <c r="A3257" s="101"/>
    </row>
    <row r="3258" spans="1:1" ht="9.75" customHeight="1">
      <c r="A3258" s="101"/>
    </row>
    <row r="3259" spans="1:1" ht="9.75" customHeight="1">
      <c r="A3259" s="101"/>
    </row>
    <row r="3260" spans="1:1" ht="9.75" customHeight="1">
      <c r="A3260" s="101"/>
    </row>
    <row r="3261" spans="1:1" ht="9.75" customHeight="1">
      <c r="A3261" s="101"/>
    </row>
    <row r="3262" spans="1:1" ht="9.75" customHeight="1">
      <c r="A3262" s="101"/>
    </row>
    <row r="3263" spans="1:1" ht="9.75" customHeight="1">
      <c r="A3263" s="101"/>
    </row>
    <row r="3264" spans="1:1" ht="9.75" customHeight="1">
      <c r="A3264" s="101"/>
    </row>
    <row r="3265" spans="1:1" ht="9.75" customHeight="1">
      <c r="A3265" s="101"/>
    </row>
    <row r="3266" spans="1:1" ht="9.75" customHeight="1">
      <c r="A3266" s="101"/>
    </row>
    <row r="3267" spans="1:1" ht="9.75" customHeight="1">
      <c r="A3267" s="101"/>
    </row>
    <row r="3268" spans="1:1" ht="9.75" customHeight="1">
      <c r="A3268" s="101"/>
    </row>
    <row r="3269" spans="1:1" ht="9.75" customHeight="1">
      <c r="A3269" s="101"/>
    </row>
    <row r="3270" spans="1:1" ht="9.75" customHeight="1">
      <c r="A3270" s="101"/>
    </row>
    <row r="3271" spans="1:1" ht="9.75" customHeight="1">
      <c r="A3271" s="101"/>
    </row>
    <row r="3272" spans="1:1" ht="9.75" customHeight="1">
      <c r="A3272" s="101"/>
    </row>
    <row r="3273" spans="1:1" ht="9.75" customHeight="1">
      <c r="A3273" s="101"/>
    </row>
    <row r="3274" spans="1:1" ht="9.75" customHeight="1">
      <c r="A3274" s="101"/>
    </row>
    <row r="3275" spans="1:1" ht="9.75" customHeight="1">
      <c r="A3275" s="101"/>
    </row>
    <row r="3276" spans="1:1" ht="9.75" customHeight="1">
      <c r="A3276" s="101"/>
    </row>
    <row r="3277" spans="1:1" ht="9.75" customHeight="1">
      <c r="A3277" s="101"/>
    </row>
    <row r="3278" spans="1:1" ht="9.75" customHeight="1">
      <c r="A3278" s="101"/>
    </row>
    <row r="3279" spans="1:1" ht="9.75" customHeight="1">
      <c r="A3279" s="101"/>
    </row>
    <row r="3280" spans="1:1" ht="9.75" customHeight="1">
      <c r="A3280" s="101"/>
    </row>
    <row r="3281" spans="1:1" ht="9.75" customHeight="1">
      <c r="A3281" s="101"/>
    </row>
    <row r="3282" spans="1:1" ht="9.75" customHeight="1">
      <c r="A3282" s="101"/>
    </row>
    <row r="3283" spans="1:1" ht="9.75" customHeight="1">
      <c r="A3283" s="101"/>
    </row>
    <row r="3284" spans="1:1" ht="9.75" customHeight="1">
      <c r="A3284" s="101"/>
    </row>
    <row r="3285" spans="1:1" ht="9.75" customHeight="1">
      <c r="A3285" s="101"/>
    </row>
    <row r="3286" spans="1:1" ht="9.75" customHeight="1">
      <c r="A3286" s="101"/>
    </row>
    <row r="3287" spans="1:1" ht="9.75" customHeight="1">
      <c r="A3287" s="101"/>
    </row>
    <row r="3288" spans="1:1" ht="9.75" customHeight="1">
      <c r="A3288" s="101"/>
    </row>
    <row r="3289" spans="1:1" ht="9.75" customHeight="1">
      <c r="A3289" s="101"/>
    </row>
    <row r="3290" spans="1:1" ht="9.75" customHeight="1">
      <c r="A3290" s="101"/>
    </row>
    <row r="3291" spans="1:1" ht="9.75" customHeight="1">
      <c r="A3291" s="101"/>
    </row>
    <row r="3292" spans="1:1" ht="9.75" customHeight="1">
      <c r="A3292" s="101"/>
    </row>
    <row r="3293" spans="1:1" ht="9.75" customHeight="1">
      <c r="A3293" s="101"/>
    </row>
    <row r="3294" spans="1:1" ht="9.75" customHeight="1">
      <c r="A3294" s="101"/>
    </row>
    <row r="3295" spans="1:1" ht="9.75" customHeight="1">
      <c r="A3295" s="101"/>
    </row>
    <row r="3296" spans="1:1" ht="9.75" customHeight="1">
      <c r="A3296" s="101"/>
    </row>
    <row r="3297" spans="1:1" ht="9.75" customHeight="1">
      <c r="A3297" s="101"/>
    </row>
    <row r="3298" spans="1:1" ht="9.75" customHeight="1">
      <c r="A3298" s="101"/>
    </row>
    <row r="3299" spans="1:1" ht="9.75" customHeight="1">
      <c r="A3299" s="101"/>
    </row>
    <row r="3300" spans="1:1" ht="9.75" customHeight="1">
      <c r="A3300" s="101"/>
    </row>
    <row r="3301" spans="1:1" ht="9.75" customHeight="1">
      <c r="A3301" s="101"/>
    </row>
    <row r="3302" spans="1:1" ht="9.75" customHeight="1">
      <c r="A3302" s="101"/>
    </row>
    <row r="3303" spans="1:1" ht="9.75" customHeight="1">
      <c r="A3303" s="101"/>
    </row>
    <row r="3304" spans="1:1" ht="9.75" customHeight="1">
      <c r="A3304" s="101"/>
    </row>
    <row r="3305" spans="1:1" ht="9.75" customHeight="1">
      <c r="A3305" s="101"/>
    </row>
    <row r="3306" spans="1:1" ht="9.75" customHeight="1">
      <c r="A3306" s="101"/>
    </row>
    <row r="3307" spans="1:1" ht="9.75" customHeight="1">
      <c r="A3307" s="101"/>
    </row>
    <row r="3308" spans="1:1" ht="9.75" customHeight="1">
      <c r="A3308" s="101"/>
    </row>
    <row r="3309" spans="1:1" ht="9.75" customHeight="1">
      <c r="A3309" s="101"/>
    </row>
    <row r="3310" spans="1:1" ht="9.75" customHeight="1">
      <c r="A3310" s="101"/>
    </row>
    <row r="3311" spans="1:1" ht="9.75" customHeight="1">
      <c r="A3311" s="101"/>
    </row>
    <row r="3312" spans="1:1" ht="9.75" customHeight="1">
      <c r="A3312" s="101"/>
    </row>
    <row r="3313" spans="1:1" ht="9.75" customHeight="1">
      <c r="A3313" s="101"/>
    </row>
    <row r="3314" spans="1:1" ht="9.75" customHeight="1">
      <c r="A3314" s="101"/>
    </row>
    <row r="3315" spans="1:1" ht="9.75" customHeight="1">
      <c r="A3315" s="101"/>
    </row>
    <row r="3316" spans="1:1" ht="9.75" customHeight="1">
      <c r="A3316" s="101"/>
    </row>
    <row r="3317" spans="1:1" ht="9.75" customHeight="1">
      <c r="A3317" s="101"/>
    </row>
    <row r="3318" spans="1:1" ht="9.75" customHeight="1">
      <c r="A3318" s="101"/>
    </row>
    <row r="3319" spans="1:1" ht="9.75" customHeight="1">
      <c r="A3319" s="101"/>
    </row>
    <row r="3320" spans="1:1" ht="9.75" customHeight="1">
      <c r="A3320" s="101"/>
    </row>
    <row r="3321" spans="1:1" ht="9.75" customHeight="1">
      <c r="A3321" s="101"/>
    </row>
    <row r="3322" spans="1:1" ht="9.75" customHeight="1">
      <c r="A3322" s="101"/>
    </row>
    <row r="3323" spans="1:1" ht="9.75" customHeight="1">
      <c r="A3323" s="101"/>
    </row>
    <row r="3324" spans="1:1" ht="9.75" customHeight="1">
      <c r="A3324" s="101"/>
    </row>
    <row r="3325" spans="1:1" ht="9.75" customHeight="1">
      <c r="A3325" s="101"/>
    </row>
    <row r="3326" spans="1:1" ht="9.75" customHeight="1">
      <c r="A3326" s="101"/>
    </row>
    <row r="3327" spans="1:1" ht="9.75" customHeight="1">
      <c r="A3327" s="101"/>
    </row>
    <row r="3328" spans="1:1" ht="9.75" customHeight="1">
      <c r="A3328" s="101"/>
    </row>
    <row r="3329" spans="1:1" ht="9.75" customHeight="1">
      <c r="A3329" s="101"/>
    </row>
    <row r="3330" spans="1:1" ht="9.75" customHeight="1">
      <c r="A3330" s="101"/>
    </row>
    <row r="3331" spans="1:1" ht="9.75" customHeight="1">
      <c r="A3331" s="101"/>
    </row>
    <row r="3332" spans="1:1" ht="9.75" customHeight="1">
      <c r="A3332" s="101"/>
    </row>
    <row r="3333" spans="1:1" ht="9.75" customHeight="1">
      <c r="A3333" s="101"/>
    </row>
    <row r="3334" spans="1:1" ht="9.75" customHeight="1">
      <c r="A3334" s="101"/>
    </row>
    <row r="3335" spans="1:1" ht="9.75" customHeight="1">
      <c r="A3335" s="101"/>
    </row>
    <row r="3336" spans="1:1" ht="9.75" customHeight="1">
      <c r="A3336" s="101"/>
    </row>
    <row r="3337" spans="1:1" ht="9.75" customHeight="1">
      <c r="A3337" s="101"/>
    </row>
    <row r="3338" spans="1:1" ht="9.75" customHeight="1">
      <c r="A3338" s="101"/>
    </row>
    <row r="3339" spans="1:1" ht="9.75" customHeight="1">
      <c r="A3339" s="101"/>
    </row>
    <row r="3340" spans="1:1" ht="9.75" customHeight="1">
      <c r="A3340" s="101"/>
    </row>
    <row r="3341" spans="1:1" ht="9.75" customHeight="1">
      <c r="A3341" s="101"/>
    </row>
    <row r="3342" spans="1:1" ht="9.75" customHeight="1">
      <c r="A3342" s="101"/>
    </row>
    <row r="3343" spans="1:1" ht="9.75" customHeight="1">
      <c r="A3343" s="101"/>
    </row>
    <row r="3344" spans="1:1" ht="9.75" customHeight="1">
      <c r="A3344" s="101"/>
    </row>
    <row r="3345" spans="1:1" ht="9.75" customHeight="1">
      <c r="A3345" s="101"/>
    </row>
    <row r="3346" spans="1:1" ht="9.75" customHeight="1">
      <c r="A3346" s="101"/>
    </row>
    <row r="3347" spans="1:1" ht="9.75" customHeight="1">
      <c r="A3347" s="101"/>
    </row>
    <row r="3348" spans="1:1" ht="9.75" customHeight="1">
      <c r="A3348" s="101"/>
    </row>
    <row r="3349" spans="1:1" ht="9.75" customHeight="1">
      <c r="A3349" s="101"/>
    </row>
    <row r="3350" spans="1:1" ht="9.75" customHeight="1">
      <c r="A3350" s="101"/>
    </row>
    <row r="3351" spans="1:1" ht="9.75" customHeight="1">
      <c r="A3351" s="101"/>
    </row>
    <row r="3352" spans="1:1" ht="9.75" customHeight="1">
      <c r="A3352" s="101"/>
    </row>
    <row r="3353" spans="1:1" ht="9.75" customHeight="1">
      <c r="A3353" s="101"/>
    </row>
    <row r="3354" spans="1:1" ht="9.75" customHeight="1">
      <c r="A3354" s="101"/>
    </row>
    <row r="3355" spans="1:1" ht="9.75" customHeight="1">
      <c r="A3355" s="101"/>
    </row>
    <row r="3356" spans="1:1" ht="9.75" customHeight="1">
      <c r="A3356" s="101"/>
    </row>
    <row r="3357" spans="1:1" ht="9.75" customHeight="1">
      <c r="A3357" s="101"/>
    </row>
    <row r="3358" spans="1:1" ht="9.75" customHeight="1">
      <c r="A3358" s="101"/>
    </row>
    <row r="3359" spans="1:1" ht="9.75" customHeight="1">
      <c r="A3359" s="101"/>
    </row>
    <row r="3360" spans="1:1" ht="9.75" customHeight="1">
      <c r="A3360" s="101"/>
    </row>
    <row r="3361" spans="1:1" ht="9.75" customHeight="1">
      <c r="A3361" s="101"/>
    </row>
    <row r="3362" spans="1:1" ht="9.75" customHeight="1">
      <c r="A3362" s="101"/>
    </row>
    <row r="3363" spans="1:1" ht="9.75" customHeight="1">
      <c r="A3363" s="101"/>
    </row>
    <row r="3364" spans="1:1" ht="9.75" customHeight="1">
      <c r="A3364" s="101"/>
    </row>
    <row r="3365" spans="1:1" ht="9.75" customHeight="1">
      <c r="A3365" s="101"/>
    </row>
    <row r="3366" spans="1:1" ht="9.75" customHeight="1">
      <c r="A3366" s="101"/>
    </row>
    <row r="3367" spans="1:1" ht="9.75" customHeight="1">
      <c r="A3367" s="101"/>
    </row>
    <row r="3368" spans="1:1" ht="9.75" customHeight="1">
      <c r="A3368" s="101"/>
    </row>
    <row r="3369" spans="1:1" ht="9.75" customHeight="1">
      <c r="A3369" s="101"/>
    </row>
    <row r="3370" spans="1:1" ht="9.75" customHeight="1">
      <c r="A3370" s="101"/>
    </row>
    <row r="3371" spans="1:1" ht="9.75" customHeight="1">
      <c r="A3371" s="101"/>
    </row>
    <row r="3372" spans="1:1" ht="9.75" customHeight="1">
      <c r="A3372" s="101"/>
    </row>
    <row r="3373" spans="1:1" ht="9.75" customHeight="1">
      <c r="A3373" s="101"/>
    </row>
    <row r="3374" spans="1:1" ht="9.75" customHeight="1">
      <c r="A3374" s="101"/>
    </row>
    <row r="3375" spans="1:1" ht="9.75" customHeight="1">
      <c r="A3375" s="101"/>
    </row>
    <row r="3376" spans="1:1" ht="9.75" customHeight="1">
      <c r="A3376" s="101"/>
    </row>
    <row r="3377" spans="1:1" ht="9.75" customHeight="1">
      <c r="A3377" s="101"/>
    </row>
    <row r="3378" spans="1:1" ht="9.75" customHeight="1">
      <c r="A3378" s="101"/>
    </row>
    <row r="3379" spans="1:1" ht="9.75" customHeight="1">
      <c r="A3379" s="101"/>
    </row>
    <row r="3380" spans="1:1" ht="9.75" customHeight="1">
      <c r="A3380" s="101"/>
    </row>
    <row r="3381" spans="1:1" ht="9.75" customHeight="1">
      <c r="A3381" s="101"/>
    </row>
    <row r="3382" spans="1:1" ht="9.75" customHeight="1">
      <c r="A3382" s="101"/>
    </row>
    <row r="3383" spans="1:1" ht="9.75" customHeight="1">
      <c r="A3383" s="101"/>
    </row>
    <row r="3384" spans="1:1" ht="9.75" customHeight="1">
      <c r="A3384" s="101"/>
    </row>
    <row r="3385" spans="1:1" ht="9.75" customHeight="1">
      <c r="A3385" s="101"/>
    </row>
    <row r="3386" spans="1:1" ht="9.75" customHeight="1">
      <c r="A3386" s="101"/>
    </row>
    <row r="3387" spans="1:1" ht="9.75" customHeight="1">
      <c r="A3387" s="101"/>
    </row>
    <row r="3388" spans="1:1" ht="9.75" customHeight="1">
      <c r="A3388" s="101"/>
    </row>
    <row r="3389" spans="1:1" ht="9.75" customHeight="1">
      <c r="A3389" s="101"/>
    </row>
    <row r="3390" spans="1:1" ht="9.75" customHeight="1">
      <c r="A3390" s="101"/>
    </row>
    <row r="3391" spans="1:1" ht="9.75" customHeight="1">
      <c r="A3391" s="101"/>
    </row>
    <row r="3392" spans="1:1" ht="9.75" customHeight="1">
      <c r="A3392" s="101"/>
    </row>
    <row r="3393" spans="1:1" ht="9.75" customHeight="1">
      <c r="A3393" s="101"/>
    </row>
    <row r="3394" spans="1:1" ht="9.75" customHeight="1">
      <c r="A3394" s="101"/>
    </row>
    <row r="3395" spans="1:1" ht="9.75" customHeight="1">
      <c r="A3395" s="101"/>
    </row>
    <row r="3396" spans="1:1" ht="9.75" customHeight="1">
      <c r="A3396" s="101"/>
    </row>
    <row r="3397" spans="1:1" ht="9.75" customHeight="1">
      <c r="A3397" s="101"/>
    </row>
    <row r="3398" spans="1:1" ht="9.75" customHeight="1">
      <c r="A3398" s="101"/>
    </row>
    <row r="3399" spans="1:1" ht="9.75" customHeight="1">
      <c r="A3399" s="101"/>
    </row>
    <row r="3400" spans="1:1" ht="9.75" customHeight="1">
      <c r="A3400" s="101"/>
    </row>
    <row r="3401" spans="1:1" ht="9.75" customHeight="1">
      <c r="A3401" s="101"/>
    </row>
    <row r="3402" spans="1:1" ht="9.75" customHeight="1">
      <c r="A3402" s="101"/>
    </row>
    <row r="3403" spans="1:1" ht="9.75" customHeight="1">
      <c r="A3403" s="101"/>
    </row>
    <row r="3404" spans="1:1" ht="9.75" customHeight="1">
      <c r="A3404" s="101"/>
    </row>
    <row r="3405" spans="1:1" ht="9.75" customHeight="1">
      <c r="A3405" s="101"/>
    </row>
    <row r="3406" spans="1:1" ht="9.75" customHeight="1">
      <c r="A3406" s="101"/>
    </row>
    <row r="3407" spans="1:1" ht="9.75" customHeight="1">
      <c r="A3407" s="101"/>
    </row>
    <row r="3408" spans="1:1" ht="9.75" customHeight="1">
      <c r="A3408" s="101"/>
    </row>
    <row r="3409" spans="1:1" ht="9.75" customHeight="1">
      <c r="A3409" s="101"/>
    </row>
    <row r="3410" spans="1:1" ht="9.75" customHeight="1">
      <c r="A3410" s="101"/>
    </row>
    <row r="3411" spans="1:1" ht="9.75" customHeight="1">
      <c r="A3411" s="101"/>
    </row>
    <row r="3412" spans="1:1" ht="9.75" customHeight="1">
      <c r="A3412" s="101"/>
    </row>
    <row r="3413" spans="1:1" ht="9.75" customHeight="1">
      <c r="A3413" s="101"/>
    </row>
    <row r="3414" spans="1:1" ht="9.75" customHeight="1">
      <c r="A3414" s="101"/>
    </row>
    <row r="3415" spans="1:1" ht="9.75" customHeight="1">
      <c r="A3415" s="101"/>
    </row>
    <row r="3416" spans="1:1" ht="9.75" customHeight="1">
      <c r="A3416" s="101"/>
    </row>
    <row r="3417" spans="1:1" ht="9.75" customHeight="1">
      <c r="A3417" s="101"/>
    </row>
    <row r="3418" spans="1:1" ht="9.75" customHeight="1">
      <c r="A3418" s="101"/>
    </row>
    <row r="3419" spans="1:1" ht="9.75" customHeight="1">
      <c r="A3419" s="101"/>
    </row>
    <row r="3420" spans="1:1" ht="9.75" customHeight="1">
      <c r="A3420" s="101"/>
    </row>
    <row r="3421" spans="1:1" ht="9.75" customHeight="1">
      <c r="A3421" s="101"/>
    </row>
    <row r="3422" spans="1:1" ht="9.75" customHeight="1">
      <c r="A3422" s="101"/>
    </row>
    <row r="3423" spans="1:1" ht="9.75" customHeight="1">
      <c r="A3423" s="101"/>
    </row>
    <row r="3424" spans="1:1" ht="9.75" customHeight="1">
      <c r="A3424" s="101"/>
    </row>
    <row r="3425" spans="1:1" ht="9.75" customHeight="1">
      <c r="A3425" s="101"/>
    </row>
    <row r="3426" spans="1:1" ht="9.75" customHeight="1">
      <c r="A3426" s="101"/>
    </row>
    <row r="3427" spans="1:1" ht="9.75" customHeight="1">
      <c r="A3427" s="101"/>
    </row>
    <row r="3428" spans="1:1" ht="9.75" customHeight="1">
      <c r="A3428" s="101"/>
    </row>
    <row r="3429" spans="1:1" ht="9.75" customHeight="1">
      <c r="A3429" s="101"/>
    </row>
    <row r="3430" spans="1:1" ht="9.75" customHeight="1">
      <c r="A3430" s="101"/>
    </row>
    <row r="3431" spans="1:1" ht="9.75" customHeight="1">
      <c r="A3431" s="101"/>
    </row>
    <row r="3432" spans="1:1" ht="9.75" customHeight="1">
      <c r="A3432" s="101"/>
    </row>
    <row r="3433" spans="1:1" ht="9.75" customHeight="1">
      <c r="A3433" s="101"/>
    </row>
    <row r="3434" spans="1:1" ht="9.75" customHeight="1">
      <c r="A3434" s="101"/>
    </row>
    <row r="3435" spans="1:1" ht="9.75" customHeight="1">
      <c r="A3435" s="101"/>
    </row>
    <row r="3436" spans="1:1" ht="9.75" customHeight="1">
      <c r="A3436" s="101"/>
    </row>
    <row r="3437" spans="1:1" ht="9.75" customHeight="1">
      <c r="A3437" s="101"/>
    </row>
    <row r="3438" spans="1:1" ht="9.75" customHeight="1">
      <c r="A3438" s="101"/>
    </row>
    <row r="3439" spans="1:1" ht="9.75" customHeight="1">
      <c r="A3439" s="101"/>
    </row>
    <row r="3440" spans="1:1" ht="9.75" customHeight="1">
      <c r="A3440" s="101"/>
    </row>
    <row r="3441" spans="1:1" ht="9.75" customHeight="1">
      <c r="A3441" s="101"/>
    </row>
    <row r="3442" spans="1:1" ht="9.75" customHeight="1">
      <c r="A3442" s="101"/>
    </row>
    <row r="3443" spans="1:1" ht="9.75" customHeight="1">
      <c r="A3443" s="101"/>
    </row>
    <row r="3444" spans="1:1" ht="9.75" customHeight="1">
      <c r="A3444" s="101"/>
    </row>
    <row r="3445" spans="1:1" ht="9.75" customHeight="1">
      <c r="A3445" s="101"/>
    </row>
    <row r="3446" spans="1:1" ht="9.75" customHeight="1">
      <c r="A3446" s="101"/>
    </row>
    <row r="3447" spans="1:1" ht="9.75" customHeight="1">
      <c r="A3447" s="101"/>
    </row>
    <row r="3448" spans="1:1" ht="9.75" customHeight="1">
      <c r="A3448" s="101"/>
    </row>
    <row r="3449" spans="1:1" ht="9.75" customHeight="1">
      <c r="A3449" s="101"/>
    </row>
    <row r="3450" spans="1:1" ht="9.75" customHeight="1">
      <c r="A3450" s="101"/>
    </row>
    <row r="3451" spans="1:1" ht="9.75" customHeight="1">
      <c r="A3451" s="101"/>
    </row>
    <row r="3452" spans="1:1" ht="9.75" customHeight="1">
      <c r="A3452" s="101"/>
    </row>
    <row r="3453" spans="1:1" ht="9.75" customHeight="1">
      <c r="A3453" s="101"/>
    </row>
    <row r="3454" spans="1:1" ht="9.75" customHeight="1">
      <c r="A3454" s="101"/>
    </row>
    <row r="3455" spans="1:1" ht="9.75" customHeight="1">
      <c r="A3455" s="101"/>
    </row>
    <row r="3456" spans="1:1" ht="9.75" customHeight="1">
      <c r="A3456" s="101"/>
    </row>
    <row r="3457" spans="1:1" ht="9.75" customHeight="1">
      <c r="A3457" s="101"/>
    </row>
    <row r="3458" spans="1:1" ht="9.75" customHeight="1">
      <c r="A3458" s="101"/>
    </row>
    <row r="3459" spans="1:1" ht="9.75" customHeight="1">
      <c r="A3459" s="101"/>
    </row>
    <row r="3460" spans="1:1" ht="9.75" customHeight="1">
      <c r="A3460" s="101"/>
    </row>
    <row r="3461" spans="1:1" ht="9.75" customHeight="1">
      <c r="A3461" s="101"/>
    </row>
    <row r="3462" spans="1:1" ht="9.75" customHeight="1">
      <c r="A3462" s="101"/>
    </row>
    <row r="3463" spans="1:1" ht="9.75" customHeight="1">
      <c r="A3463" s="101"/>
    </row>
    <row r="3464" spans="1:1" ht="9.75" customHeight="1">
      <c r="A3464" s="101"/>
    </row>
    <row r="3465" spans="1:1" ht="9.75" customHeight="1">
      <c r="A3465" s="101"/>
    </row>
    <row r="3466" spans="1:1" ht="9.75" customHeight="1">
      <c r="A3466" s="101"/>
    </row>
    <row r="3467" spans="1:1" ht="9.75" customHeight="1">
      <c r="A3467" s="101"/>
    </row>
    <row r="3468" spans="1:1" ht="9.75" customHeight="1">
      <c r="A3468" s="101"/>
    </row>
    <row r="3469" spans="1:1" ht="9.75" customHeight="1">
      <c r="A3469" s="101"/>
    </row>
    <row r="3470" spans="1:1" ht="9.75" customHeight="1">
      <c r="A3470" s="101"/>
    </row>
    <row r="3471" spans="1:1" ht="9.75" customHeight="1">
      <c r="A3471" s="101"/>
    </row>
    <row r="3472" spans="1:1" ht="9.75" customHeight="1">
      <c r="A3472" s="101"/>
    </row>
    <row r="3473" spans="1:1" ht="9.75" customHeight="1">
      <c r="A3473" s="101"/>
    </row>
    <row r="3474" spans="1:1" ht="9.75" customHeight="1">
      <c r="A3474" s="101"/>
    </row>
    <row r="3475" spans="1:1" ht="9.75" customHeight="1">
      <c r="A3475" s="101"/>
    </row>
    <row r="3476" spans="1:1" ht="9.75" customHeight="1">
      <c r="A3476" s="101"/>
    </row>
    <row r="3477" spans="1:1" ht="9.75" customHeight="1">
      <c r="A3477" s="101"/>
    </row>
    <row r="3478" spans="1:1" ht="9.75" customHeight="1">
      <c r="A3478" s="101"/>
    </row>
    <row r="3479" spans="1:1" ht="9.75" customHeight="1">
      <c r="A3479" s="101"/>
    </row>
    <row r="3480" spans="1:1" ht="9.75" customHeight="1">
      <c r="A3480" s="101"/>
    </row>
    <row r="3481" spans="1:1" ht="9.75" customHeight="1">
      <c r="A3481" s="101"/>
    </row>
    <row r="3482" spans="1:1" ht="9.75" customHeight="1">
      <c r="A3482" s="101"/>
    </row>
    <row r="3483" spans="1:1" ht="9.75" customHeight="1">
      <c r="A3483" s="101"/>
    </row>
    <row r="3484" spans="1:1" ht="9.75" customHeight="1">
      <c r="A3484" s="101"/>
    </row>
    <row r="3485" spans="1:1" ht="9.75" customHeight="1">
      <c r="A3485" s="101"/>
    </row>
    <row r="3486" spans="1:1" ht="9.75" customHeight="1">
      <c r="A3486" s="101"/>
    </row>
    <row r="3487" spans="1:1" ht="9.75" customHeight="1">
      <c r="A3487" s="101"/>
    </row>
    <row r="3488" spans="1:1" ht="9.75" customHeight="1">
      <c r="A3488" s="101"/>
    </row>
    <row r="3489" spans="1:1" ht="9.75" customHeight="1">
      <c r="A3489" s="101"/>
    </row>
    <row r="3490" spans="1:1" ht="9.75" customHeight="1">
      <c r="A3490" s="101"/>
    </row>
    <row r="3491" spans="1:1" ht="9.75" customHeight="1">
      <c r="A3491" s="101"/>
    </row>
    <row r="3492" spans="1:1" ht="9.75" customHeight="1">
      <c r="A3492" s="101"/>
    </row>
    <row r="3493" spans="1:1" ht="9.75" customHeight="1">
      <c r="A3493" s="101"/>
    </row>
    <row r="3494" spans="1:1" ht="9.75" customHeight="1">
      <c r="A3494" s="101"/>
    </row>
    <row r="3495" spans="1:1" ht="9.75" customHeight="1">
      <c r="A3495" s="101"/>
    </row>
    <row r="3496" spans="1:1" ht="9.75" customHeight="1">
      <c r="A3496" s="101"/>
    </row>
    <row r="3497" spans="1:1" ht="9.75" customHeight="1">
      <c r="A3497" s="101"/>
    </row>
    <row r="3498" spans="1:1" ht="9.75" customHeight="1">
      <c r="A3498" s="101"/>
    </row>
    <row r="3499" spans="1:1" ht="9.75" customHeight="1">
      <c r="A3499" s="101"/>
    </row>
    <row r="3500" spans="1:1" ht="9.75" customHeight="1">
      <c r="A3500" s="101"/>
    </row>
    <row r="3501" spans="1:1" ht="9.75" customHeight="1">
      <c r="A3501" s="101"/>
    </row>
    <row r="3502" spans="1:1" ht="9.75" customHeight="1">
      <c r="A3502" s="101"/>
    </row>
    <row r="3503" spans="1:1" ht="9.75" customHeight="1">
      <c r="A3503" s="101"/>
    </row>
    <row r="3504" spans="1:1" ht="9.75" customHeight="1">
      <c r="A3504" s="101"/>
    </row>
    <row r="3505" spans="1:1" ht="9.75" customHeight="1">
      <c r="A3505" s="101"/>
    </row>
    <row r="3506" spans="1:1" ht="9.75" customHeight="1">
      <c r="A3506" s="101"/>
    </row>
    <row r="3507" spans="1:1" ht="9.75" customHeight="1">
      <c r="A3507" s="101"/>
    </row>
    <row r="3508" spans="1:1" ht="9.75" customHeight="1">
      <c r="A3508" s="101"/>
    </row>
    <row r="3509" spans="1:1" ht="9.75" customHeight="1">
      <c r="A3509" s="101"/>
    </row>
    <row r="3510" spans="1:1" ht="9.75" customHeight="1">
      <c r="A3510" s="101"/>
    </row>
    <row r="3511" spans="1:1" ht="9.75" customHeight="1">
      <c r="A3511" s="101"/>
    </row>
    <row r="3512" spans="1:1" ht="9.75" customHeight="1">
      <c r="A3512" s="101"/>
    </row>
    <row r="3513" spans="1:1" ht="9.75" customHeight="1">
      <c r="A3513" s="101"/>
    </row>
    <row r="3514" spans="1:1" ht="9.75" customHeight="1">
      <c r="A3514" s="101"/>
    </row>
    <row r="3515" spans="1:1" ht="9.75" customHeight="1">
      <c r="A3515" s="101"/>
    </row>
    <row r="3516" spans="1:1" ht="9.75" customHeight="1">
      <c r="A3516" s="101"/>
    </row>
    <row r="3517" spans="1:1" ht="9.75" customHeight="1">
      <c r="A3517" s="101"/>
    </row>
    <row r="3518" spans="1:1" ht="9.75" customHeight="1">
      <c r="A3518" s="101"/>
    </row>
    <row r="3519" spans="1:1" ht="9.75" customHeight="1">
      <c r="A3519" s="101"/>
    </row>
    <row r="3520" spans="1:1" ht="9.75" customHeight="1">
      <c r="A3520" s="101"/>
    </row>
  </sheetData>
  <phoneticPr fontId="1"/>
  <conditionalFormatting sqref="C24">
    <cfRule type="expression" dxfId="5" priority="1">
      <formula>OR(C24="読込済",C24="loaded")</formula>
    </cfRule>
    <cfRule type="expression" dxfId="4" priority="2">
      <formula>OR(C24="要読込",C24="waiting")</formula>
    </cfRule>
  </conditionalFormatting>
  <conditionalFormatting sqref="G3:G22">
    <cfRule type="expression" dxfId="3" priority="4">
      <formula>G3="L2"</formula>
    </cfRule>
    <cfRule type="expression" dxfId="2" priority="5">
      <formula>G3="L1"</formula>
    </cfRule>
    <cfRule type="expression" dxfId="1" priority="6">
      <formula>G3="L1&amp;L2"</formula>
    </cfRule>
  </conditionalFormatting>
  <conditionalFormatting sqref="D3:H22">
    <cfRule type="expression" dxfId="0" priority="3">
      <formula>$G3="除外"</formula>
    </cfRule>
  </conditionalFormatting>
  <dataValidations disablePrompts="1" count="4">
    <dataValidation type="list" allowBlank="1" showInputMessage="1" showErrorMessage="1" sqref="T2" xr:uid="{445ADBEC-F7BB-47CF-85C7-92B774A6E3B6}">
      <formula1>"加速度,速度,変位,Sf,Sp"</formula1>
    </dataValidation>
    <dataValidation type="list" allowBlank="1" showInputMessage="1" showErrorMessage="1" sqref="E3:E22" xr:uid="{2C8AB1CE-B078-4036-84EF-968E2A5FEB6B}">
      <formula1>"10,20"</formula1>
    </dataValidation>
    <dataValidation type="list" allowBlank="1" showInputMessage="1" sqref="G3:G22" xr:uid="{3BC35D0A-ACE4-4626-9F79-3C0CFA675371}">
      <formula1>"L1&amp;L2,L1,L2,L1.5,L3"</formula1>
    </dataValidation>
    <dataValidation type="list" allowBlank="1" showInputMessage="1" showErrorMessage="1" sqref="D3:D22" xr:uid="{166BD4EA-9746-4741-8375-7565CB9FFF80}">
      <formula1>"0.01,0.02"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tn_conv">
              <controlPr defaultSize="0" print="0" autoFill="0" autoPict="0" macro="[0]!地震波フォーマット作成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tn_trsf">
              <controlPr defaultSize="0" print="0" autoFill="0" autoPict="0" macro="[0]!地震波フォーマット転送">
                <anchor moveWithCells="1" sizeWithCells="1">
                  <from>
                    <xdr:col>3</xdr:col>
                    <xdr:colOff>0</xdr:colOff>
                    <xdr:row>31</xdr:row>
                    <xdr:rowOff>0</xdr:rowOff>
                  </from>
                  <to>
                    <xdr:col>4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6" name="Button 6">
              <controlPr defaultSize="0" print="0" autoFill="0" autoPict="0" macro="[0]!ShowWaveAscendingOrder">
                <anchor moveWithCells="1" sizeWithCells="1">
                  <from>
                    <xdr:col>16</xdr:col>
                    <xdr:colOff>0</xdr:colOff>
                    <xdr:row>1</xdr:row>
                    <xdr:rowOff>0</xdr:rowOff>
                  </from>
                  <to>
                    <xdr:col>17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7" name="Button 7">
              <controlPr defaultSize="0" print="0" autoFill="0" autoPict="0" macro="[0]!ShowWaveDescendingOrder">
                <anchor moveWithCells="1" sizeWithCells="1">
                  <from>
                    <xdr:col>16</xdr:col>
                    <xdr:colOff>0</xdr:colOff>
                    <xdr:row>3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4CF67-CDA7-49D0-8E6A-5704955FA254}">
  <sheetPr codeName="Sheet19"/>
  <dimension ref="A1"/>
  <sheetViews>
    <sheetView workbookViewId="0"/>
  </sheetViews>
  <sheetFormatPr defaultColWidth="8.7109375" defaultRowHeight="9.75" customHeight="1"/>
  <sheetData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643D4-08B4-43B7-9FCB-4EF4015EAE56}">
  <sheetPr codeName="Sheet20"/>
  <dimension ref="A1:CY64"/>
  <sheetViews>
    <sheetView workbookViewId="0"/>
  </sheetViews>
  <sheetFormatPr defaultColWidth="8.7109375" defaultRowHeight="9.75" customHeight="1"/>
  <cols>
    <col min="1" max="13" width="8.7109375" style="13"/>
  </cols>
  <sheetData>
    <row r="1" spans="1:103" s="13" customFormat="1" ht="9.75" customHeight="1">
      <c r="A1" s="95" t="s">
        <v>145</v>
      </c>
      <c r="B1" s="95" t="s">
        <v>149</v>
      </c>
      <c r="C1" s="95" t="s">
        <v>149</v>
      </c>
      <c r="D1" s="95" t="s">
        <v>144</v>
      </c>
      <c r="E1" s="95" t="s">
        <v>144</v>
      </c>
      <c r="F1" s="95" t="s">
        <v>143</v>
      </c>
      <c r="G1" s="95" t="s">
        <v>149</v>
      </c>
      <c r="H1" s="95" t="s">
        <v>149</v>
      </c>
      <c r="I1" s="95" t="s">
        <v>144</v>
      </c>
      <c r="J1" s="95" t="s">
        <v>144</v>
      </c>
      <c r="K1" s="96" t="s">
        <v>149</v>
      </c>
      <c r="L1" s="96" t="s">
        <v>148</v>
      </c>
      <c r="M1" s="96" t="s">
        <v>147</v>
      </c>
      <c r="O1" s="13" t="s">
        <v>146</v>
      </c>
      <c r="AK1" s="13" t="s">
        <v>145</v>
      </c>
      <c r="BG1" s="13" t="s">
        <v>144</v>
      </c>
      <c r="CC1" s="13" t="s">
        <v>143</v>
      </c>
      <c r="CY1" s="13" t="s">
        <v>142</v>
      </c>
    </row>
    <row r="2" spans="1:103" ht="9.75" customHeight="1">
      <c r="A2" s="95">
        <v>0.1</v>
      </c>
      <c r="B2" s="97">
        <f t="shared" ref="B2:B33" si="0">10^(LOG(D2)+LOG(2*PI())-LOG(A2))</f>
        <v>6.2831853071795871</v>
      </c>
      <c r="C2" s="97">
        <v>10</v>
      </c>
      <c r="D2" s="97">
        <v>0.1</v>
      </c>
      <c r="E2" s="97">
        <f t="shared" ref="E2:E33" si="1">10^(LOG(A2)-LOG(2*PI())+LOG(C2))</f>
        <v>0.15915494309189537</v>
      </c>
      <c r="F2" s="96">
        <v>2.0000000000000001E-4</v>
      </c>
      <c r="G2" s="97">
        <v>0.01</v>
      </c>
      <c r="H2" s="97">
        <f t="shared" ref="H2:H33" si="2">10^(LOG(F2)-LOG(J2)+LOG(2*PI()))</f>
        <v>1.2566370614359163E-2</v>
      </c>
      <c r="I2" s="97">
        <f t="shared" ref="I2:I33" si="3">10^(LOG(F2)+LOG(2*PI())-LOG(G2))</f>
        <v>0.12566370614359165</v>
      </c>
      <c r="J2" s="97">
        <v>0.1</v>
      </c>
      <c r="K2" s="98">
        <v>0.01</v>
      </c>
      <c r="L2" s="98">
        <f>IF(K2&lt;=0.16,(0.64+6*K2)*地震波!C$28,
IF(K2&lt;=0.64,1.6*地震波!C$28,
(1.024/K2)*地震波!C$28))*K2/(2*PI())*100</f>
        <v>0.11140846016432673</v>
      </c>
      <c r="M2" s="98">
        <f t="shared" ref="M2:M19" si="4">L2*5</f>
        <v>0.55704230082163364</v>
      </c>
    </row>
    <row r="3" spans="1:103" ht="9.75" customHeight="1">
      <c r="A3" s="96">
        <v>0.2</v>
      </c>
      <c r="B3" s="97">
        <f t="shared" si="0"/>
        <v>3.1415926535897931</v>
      </c>
      <c r="C3" s="97">
        <v>10</v>
      </c>
      <c r="D3" s="97">
        <v>0.1</v>
      </c>
      <c r="E3" s="97">
        <f t="shared" si="1"/>
        <v>0.31830988618379075</v>
      </c>
      <c r="F3" s="96">
        <v>3.0000000000000003E-4</v>
      </c>
      <c r="G3" s="97">
        <v>0.01</v>
      </c>
      <c r="H3" s="97">
        <f t="shared" si="2"/>
        <v>1.8849555921538759E-2</v>
      </c>
      <c r="I3" s="97">
        <f t="shared" si="3"/>
        <v>0.18849555921538758</v>
      </c>
      <c r="J3" s="97">
        <v>0.1</v>
      </c>
      <c r="K3" s="98">
        <v>0.02</v>
      </c>
      <c r="L3" s="98">
        <f>IF(K3&lt;=0.16,(0.64+6*K3)*地震波!C$28,
IF(K3&lt;=0.64,1.6*地震波!C$28,
(1.024/K3)*地震波!C$28))*K3/(2*PI())*100</f>
        <v>0.24191551349968093</v>
      </c>
      <c r="M3" s="98">
        <f t="shared" si="4"/>
        <v>1.2095775674984046</v>
      </c>
    </row>
    <row r="4" spans="1:103" ht="9.75" customHeight="1">
      <c r="A4" s="96">
        <v>0.30000000000000004</v>
      </c>
      <c r="B4" s="97">
        <f t="shared" si="0"/>
        <v>2.0943951023931953</v>
      </c>
      <c r="C4" s="97">
        <v>10</v>
      </c>
      <c r="D4" s="97">
        <v>0.1</v>
      </c>
      <c r="E4" s="97">
        <f t="shared" si="1"/>
        <v>0.47746482927568606</v>
      </c>
      <c r="F4" s="96">
        <v>4.0000000000000002E-4</v>
      </c>
      <c r="G4" s="97">
        <v>0.01</v>
      </c>
      <c r="H4" s="97">
        <f t="shared" si="2"/>
        <v>2.513274122871834E-2</v>
      </c>
      <c r="I4" s="97">
        <f t="shared" si="3"/>
        <v>0.25132741228718342</v>
      </c>
      <c r="J4" s="97">
        <v>0.1</v>
      </c>
      <c r="K4" s="98">
        <v>0.03</v>
      </c>
      <c r="L4" s="98">
        <f>IF(K4&lt;=0.16,(0.64+6*K4)*地震波!C$28,
IF(K4&lt;=0.64,1.6*地震波!C$28,
(1.024/K4)*地震波!C$28))*K4/(2*PI())*100</f>
        <v>0.39152116000606252</v>
      </c>
      <c r="M4" s="98">
        <f t="shared" si="4"/>
        <v>1.9576058000303127</v>
      </c>
    </row>
    <row r="5" spans="1:103" ht="9.75" customHeight="1">
      <c r="A5" s="96">
        <v>0.4</v>
      </c>
      <c r="B5" s="97">
        <f t="shared" si="0"/>
        <v>1.5707963267948966</v>
      </c>
      <c r="C5" s="97">
        <v>10</v>
      </c>
      <c r="D5" s="97">
        <v>0.1</v>
      </c>
      <c r="E5" s="97">
        <f t="shared" si="1"/>
        <v>0.63661977236758138</v>
      </c>
      <c r="F5" s="96">
        <v>5.0000000000000001E-4</v>
      </c>
      <c r="G5" s="97">
        <v>0.01</v>
      </c>
      <c r="H5" s="97">
        <f t="shared" si="2"/>
        <v>3.1415926535897913E-2</v>
      </c>
      <c r="I5" s="97">
        <f t="shared" si="3"/>
        <v>0.31415926535897915</v>
      </c>
      <c r="J5" s="97">
        <v>0.1</v>
      </c>
      <c r="K5" s="98">
        <v>0.04</v>
      </c>
      <c r="L5" s="98">
        <f>IF(K5&lt;=0.16,(0.64+6*K5)*地震波!C$28,
IF(K5&lt;=0.64,1.6*地震波!C$28,
(1.024/K5)*地震波!C$28))*K5/(2*PI())*100</f>
        <v>0.56022539968347163</v>
      </c>
      <c r="M5" s="98">
        <f t="shared" si="4"/>
        <v>2.8011269984173581</v>
      </c>
    </row>
    <row r="6" spans="1:103" ht="9.75" customHeight="1">
      <c r="A6" s="96">
        <v>0.5</v>
      </c>
      <c r="B6" s="97">
        <f t="shared" si="0"/>
        <v>1.2566370614359172</v>
      </c>
      <c r="C6" s="97">
        <v>10</v>
      </c>
      <c r="D6" s="97">
        <v>0.1</v>
      </c>
      <c r="E6" s="97">
        <f t="shared" si="1"/>
        <v>0.79577471545947676</v>
      </c>
      <c r="F6" s="96">
        <v>6.0000000000000006E-4</v>
      </c>
      <c r="G6" s="97">
        <v>0.01</v>
      </c>
      <c r="H6" s="97">
        <f t="shared" si="2"/>
        <v>3.7699111843077518E-2</v>
      </c>
      <c r="I6" s="97">
        <f t="shared" si="3"/>
        <v>0.37699111843077526</v>
      </c>
      <c r="J6" s="97">
        <v>0.1</v>
      </c>
      <c r="K6" s="98">
        <v>0.05</v>
      </c>
      <c r="L6" s="98">
        <f>IF(K6&lt;=0.16,(0.64+6*K6)*地震波!C$28,
IF(K6&lt;=0.64,1.6*地震波!C$28,
(1.024/K6)*地震波!C$28))*K6/(2*PI())*100</f>
        <v>0.7480282325319082</v>
      </c>
      <c r="M6" s="98">
        <f t="shared" si="4"/>
        <v>3.7401411626595409</v>
      </c>
    </row>
    <row r="7" spans="1:103" ht="9.75" customHeight="1">
      <c r="A7" s="96">
        <v>0.6</v>
      </c>
      <c r="B7" s="97">
        <f t="shared" si="0"/>
        <v>1.0471975511965979</v>
      </c>
      <c r="C7" s="97">
        <v>10</v>
      </c>
      <c r="D7" s="97">
        <v>0.1</v>
      </c>
      <c r="E7" s="97">
        <f t="shared" si="1"/>
        <v>0.95492965855137169</v>
      </c>
      <c r="F7" s="96">
        <v>7.000000000000001E-4</v>
      </c>
      <c r="G7" s="97">
        <v>0.01</v>
      </c>
      <c r="H7" s="97">
        <f t="shared" si="2"/>
        <v>4.3982297150257095E-2</v>
      </c>
      <c r="I7" s="97">
        <f t="shared" si="3"/>
        <v>0.43982297150257099</v>
      </c>
      <c r="J7" s="97">
        <v>0.1</v>
      </c>
      <c r="K7" s="98">
        <v>6.0000000000000005E-2</v>
      </c>
      <c r="L7" s="98">
        <f>IF(K7&lt;=0.16,(0.64+6*K7)*地震波!C$28,
IF(K7&lt;=0.64,1.6*地震波!C$28,
(1.024/K7)*地震波!C$28))*K7/(2*PI())*100</f>
        <v>0.95492965855137213</v>
      </c>
      <c r="M7" s="98">
        <f t="shared" si="4"/>
        <v>4.7746482927568605</v>
      </c>
    </row>
    <row r="8" spans="1:103" ht="9.75" customHeight="1">
      <c r="A8" s="96">
        <v>0.7</v>
      </c>
      <c r="B8" s="97">
        <f t="shared" si="0"/>
        <v>0.89759790102565529</v>
      </c>
      <c r="C8" s="97">
        <v>10</v>
      </c>
      <c r="D8" s="97">
        <v>0.1</v>
      </c>
      <c r="E8" s="97">
        <f t="shared" si="1"/>
        <v>1.1140846016432673</v>
      </c>
      <c r="F8" s="96">
        <v>8.0000000000000015E-4</v>
      </c>
      <c r="G8" s="97">
        <v>0.01</v>
      </c>
      <c r="H8" s="97">
        <f t="shared" si="2"/>
        <v>5.0265482457436686E-2</v>
      </c>
      <c r="I8" s="97">
        <f t="shared" si="3"/>
        <v>0.50265482457436694</v>
      </c>
      <c r="J8" s="97">
        <v>0.1</v>
      </c>
      <c r="K8" s="98">
        <v>7.0000000000000007E-2</v>
      </c>
      <c r="L8" s="98">
        <f>IF(K8&lt;=0.16,(0.64+6*K8)*地震波!C$28,
IF(K8&lt;=0.64,1.6*地震波!C$28,
(1.024/K8)*地震波!C$28))*K8/(2*PI())*100</f>
        <v>1.1809296777418636</v>
      </c>
      <c r="M8" s="98">
        <f t="shared" si="4"/>
        <v>5.904648388709318</v>
      </c>
    </row>
    <row r="9" spans="1:103" ht="9.75" customHeight="1">
      <c r="A9" s="96">
        <v>0.79999999999999993</v>
      </c>
      <c r="B9" s="97">
        <f t="shared" si="0"/>
        <v>0.78539816339744839</v>
      </c>
      <c r="C9" s="97">
        <v>10</v>
      </c>
      <c r="D9" s="97">
        <v>0.1</v>
      </c>
      <c r="E9" s="97">
        <f t="shared" si="1"/>
        <v>1.2732395447351625</v>
      </c>
      <c r="F9" s="96">
        <v>9.0000000000000019E-4</v>
      </c>
      <c r="G9" s="97">
        <v>0.01</v>
      </c>
      <c r="H9" s="97">
        <f t="shared" si="2"/>
        <v>5.6548667764616249E-2</v>
      </c>
      <c r="I9" s="97">
        <f t="shared" si="3"/>
        <v>0.56548667764616245</v>
      </c>
      <c r="J9" s="97">
        <v>0.1</v>
      </c>
      <c r="K9" s="98">
        <v>0.08</v>
      </c>
      <c r="L9" s="98">
        <f>IF(K9&lt;=0.16,(0.64+6*K9)*地震波!C$28,
IF(K9&lt;=0.64,1.6*地震波!C$28,
(1.024/K9)*地震波!C$28))*K9/(2*PI())*100</f>
        <v>1.4260282901033825</v>
      </c>
      <c r="M9" s="98">
        <f t="shared" si="4"/>
        <v>7.1301414505169127</v>
      </c>
    </row>
    <row r="10" spans="1:103" ht="9.75" customHeight="1">
      <c r="A10" s="96">
        <v>0.89999999999999991</v>
      </c>
      <c r="B10" s="97">
        <f t="shared" si="0"/>
        <v>0.6981317007977319</v>
      </c>
      <c r="C10" s="97">
        <v>10</v>
      </c>
      <c r="D10" s="97">
        <v>0.1</v>
      </c>
      <c r="E10" s="97">
        <f t="shared" si="1"/>
        <v>1.432394487827058</v>
      </c>
      <c r="F10" s="96">
        <v>1.0000000000000002E-3</v>
      </c>
      <c r="G10" s="97">
        <v>0.01</v>
      </c>
      <c r="H10" s="97">
        <f t="shared" si="2"/>
        <v>6.2831853071795826E-2</v>
      </c>
      <c r="I10" s="97">
        <f t="shared" si="3"/>
        <v>0.6283185307179584</v>
      </c>
      <c r="J10" s="97">
        <v>0.1</v>
      </c>
      <c r="K10" s="98">
        <v>0.09</v>
      </c>
      <c r="L10" s="98">
        <f>IF(K10&lt;=0.16,(0.64+6*K10)*地震波!C$28,
IF(K10&lt;=0.64,1.6*地震波!C$28,
(1.024/K10)*地震波!C$28))*K10/(2*PI())*100</f>
        <v>1.6902254956359288</v>
      </c>
      <c r="M10" s="98">
        <f t="shared" si="4"/>
        <v>8.4511274781796448</v>
      </c>
    </row>
    <row r="11" spans="1:103" ht="9.75" customHeight="1">
      <c r="A11" s="95">
        <v>0.99999999999999989</v>
      </c>
      <c r="B11" s="97">
        <f t="shared" si="0"/>
        <v>0.62831853071795862</v>
      </c>
      <c r="C11" s="97">
        <v>10</v>
      </c>
      <c r="D11" s="97">
        <v>0.1</v>
      </c>
      <c r="E11" s="97">
        <f t="shared" si="1"/>
        <v>1.5915494309189535</v>
      </c>
      <c r="F11" s="96">
        <v>2E-3</v>
      </c>
      <c r="G11" s="97">
        <v>0.01</v>
      </c>
      <c r="H11" s="97">
        <f t="shared" si="2"/>
        <v>0.12566370614359171</v>
      </c>
      <c r="I11" s="97">
        <f t="shared" si="3"/>
        <v>1.2566370614359172</v>
      </c>
      <c r="J11" s="97">
        <v>0.1</v>
      </c>
      <c r="K11" s="98">
        <v>9.9999999999999992E-2</v>
      </c>
      <c r="L11" s="98">
        <f>IF(K11&lt;=0.16,(0.64+6*K11)*地震波!C$28,
IF(K11&lt;=0.64,1.6*地震波!C$28,
(1.024/K11)*地震波!C$28))*K11/(2*PI())*100</f>
        <v>1.973521294339502</v>
      </c>
      <c r="M11" s="98">
        <f t="shared" si="4"/>
        <v>9.8676064716975098</v>
      </c>
    </row>
    <row r="12" spans="1:103" ht="9.75" customHeight="1">
      <c r="A12" s="96">
        <v>2</v>
      </c>
      <c r="B12" s="97">
        <f t="shared" si="0"/>
        <v>0.31415926535897931</v>
      </c>
      <c r="C12" s="97">
        <v>10</v>
      </c>
      <c r="D12" s="97">
        <v>0.1</v>
      </c>
      <c r="E12" s="97">
        <f t="shared" si="1"/>
        <v>3.1830988618379066</v>
      </c>
      <c r="F12" s="96">
        <v>3.0000000000000001E-3</v>
      </c>
      <c r="G12" s="97">
        <v>0.01</v>
      </c>
      <c r="H12" s="97">
        <f t="shared" si="2"/>
        <v>0.18849555921538763</v>
      </c>
      <c r="I12" s="97">
        <f t="shared" si="3"/>
        <v>1.8849555921538763</v>
      </c>
      <c r="J12" s="97">
        <v>0.1</v>
      </c>
      <c r="K12" s="98">
        <v>0.10999999999999999</v>
      </c>
      <c r="L12" s="98">
        <f>IF(K12&lt;=0.16,(0.64+6*K12)*地震波!C$28,
IF(K12&lt;=0.64,1.6*地震波!C$28,
(1.024/K12)*地震波!C$28))*K12/(2*PI())*100</f>
        <v>2.2759156862141028</v>
      </c>
      <c r="M12" s="98">
        <f t="shared" si="4"/>
        <v>11.379578431070513</v>
      </c>
    </row>
    <row r="13" spans="1:103" ht="9.75" customHeight="1">
      <c r="A13" s="96">
        <v>3</v>
      </c>
      <c r="B13" s="97">
        <f t="shared" si="0"/>
        <v>0.20943951023931948</v>
      </c>
      <c r="C13" s="97">
        <v>10</v>
      </c>
      <c r="D13" s="97">
        <v>0.1</v>
      </c>
      <c r="E13" s="97">
        <f t="shared" si="1"/>
        <v>4.7746482927568614</v>
      </c>
      <c r="F13" s="96">
        <v>4.0000000000000001E-3</v>
      </c>
      <c r="G13" s="97">
        <v>0.01</v>
      </c>
      <c r="H13" s="97">
        <f t="shared" si="2"/>
        <v>0.25132741228718347</v>
      </c>
      <c r="I13" s="97">
        <f t="shared" si="3"/>
        <v>2.5132741228718349</v>
      </c>
      <c r="J13" s="97">
        <v>0.1</v>
      </c>
      <c r="K13" s="98">
        <v>0.11999999999999998</v>
      </c>
      <c r="L13" s="98">
        <f>IF(K13&lt;=0.16,(0.64+6*K13)*地震波!C$28,
IF(K13&lt;=0.64,1.6*地震波!C$28,
(1.024/K13)*地震波!C$28))*K13/(2*PI())*100</f>
        <v>2.5974086712597311</v>
      </c>
      <c r="M13" s="98">
        <f t="shared" si="4"/>
        <v>12.987043356298656</v>
      </c>
    </row>
    <row r="14" spans="1:103" ht="9.75" customHeight="1">
      <c r="A14" s="96">
        <v>4</v>
      </c>
      <c r="B14" s="97">
        <f t="shared" si="0"/>
        <v>0.15707963267948966</v>
      </c>
      <c r="C14" s="97">
        <v>10</v>
      </c>
      <c r="D14" s="97">
        <v>0.1</v>
      </c>
      <c r="E14" s="97">
        <f t="shared" si="1"/>
        <v>6.366197723675814</v>
      </c>
      <c r="F14" s="96">
        <v>5.0000000000000001E-3</v>
      </c>
      <c r="G14" s="97">
        <v>0.01</v>
      </c>
      <c r="H14" s="97">
        <f t="shared" si="2"/>
        <v>0.31415926535897926</v>
      </c>
      <c r="I14" s="97">
        <f t="shared" si="3"/>
        <v>3.1415926535897927</v>
      </c>
      <c r="J14" s="97">
        <v>0.1</v>
      </c>
      <c r="K14" s="98">
        <v>0.12999999999999998</v>
      </c>
      <c r="L14" s="98">
        <f>IF(K14&lt;=0.16,(0.64+6*K14)*地震波!C$28,
IF(K14&lt;=0.64,1.6*地震波!C$28,
(1.024/K14)*地震波!C$28))*K14/(2*PI())*100</f>
        <v>2.9380002494763873</v>
      </c>
      <c r="M14" s="98">
        <f t="shared" si="4"/>
        <v>14.690001247381936</v>
      </c>
    </row>
    <row r="15" spans="1:103" ht="9.75" customHeight="1">
      <c r="A15" s="96">
        <v>5</v>
      </c>
      <c r="B15" s="97">
        <f t="shared" si="0"/>
        <v>0.12566370614359165</v>
      </c>
      <c r="C15" s="97">
        <v>10</v>
      </c>
      <c r="D15" s="97">
        <v>0.1</v>
      </c>
      <c r="E15" s="97">
        <f t="shared" si="1"/>
        <v>7.9577471545947711</v>
      </c>
      <c r="F15" s="96">
        <v>6.0000000000000001E-3</v>
      </c>
      <c r="G15" s="97">
        <v>0.01</v>
      </c>
      <c r="H15" s="97">
        <f t="shared" si="2"/>
        <v>0.37699111843077532</v>
      </c>
      <c r="I15" s="97">
        <f t="shared" si="3"/>
        <v>3.7699111843077535</v>
      </c>
      <c r="J15" s="97">
        <v>0.1</v>
      </c>
      <c r="K15" s="98">
        <v>0.13999999999999999</v>
      </c>
      <c r="L15" s="98">
        <f>IF(K15&lt;=0.16,(0.64+6*K15)*地震波!C$28,
IF(K15&lt;=0.64,1.6*地震波!C$28,
(1.024/K15)*地震波!C$28))*K15/(2*PI())*100</f>
        <v>3.2976904208640709</v>
      </c>
      <c r="M15" s="98">
        <f t="shared" si="4"/>
        <v>16.488452104320356</v>
      </c>
    </row>
    <row r="16" spans="1:103" ht="9.75" customHeight="1">
      <c r="A16" s="96">
        <v>6</v>
      </c>
      <c r="B16" s="97">
        <f t="shared" si="0"/>
        <v>0.10471975511965974</v>
      </c>
      <c r="C16" s="97">
        <v>10</v>
      </c>
      <c r="D16" s="97">
        <v>0.1</v>
      </c>
      <c r="E16" s="97">
        <f t="shared" si="1"/>
        <v>9.5492965855137228</v>
      </c>
      <c r="F16" s="96">
        <v>7.0000000000000001E-3</v>
      </c>
      <c r="G16" s="97">
        <v>0.01</v>
      </c>
      <c r="H16" s="97">
        <f t="shared" si="2"/>
        <v>0.4398229715025711</v>
      </c>
      <c r="I16" s="97">
        <f t="shared" si="3"/>
        <v>4.3982297150257104</v>
      </c>
      <c r="J16" s="97">
        <v>0.1</v>
      </c>
      <c r="K16" s="98">
        <v>0.15</v>
      </c>
      <c r="L16" s="98">
        <f>IF(K16&lt;=0.16,(0.64+6*K16)*地震波!C$28,
IF(K16&lt;=0.64,1.6*地震波!C$28,
(1.024/K16)*地震波!C$28))*K16/(2*PI())*100</f>
        <v>3.6764791854227816</v>
      </c>
      <c r="M16" s="98">
        <f t="shared" si="4"/>
        <v>18.382395927113908</v>
      </c>
    </row>
    <row r="17" spans="1:13" ht="9.75" customHeight="1">
      <c r="A17" s="96">
        <v>7</v>
      </c>
      <c r="B17" s="97">
        <f t="shared" si="0"/>
        <v>8.9759790102565518E-2</v>
      </c>
      <c r="C17" s="97">
        <v>10</v>
      </c>
      <c r="D17" s="97">
        <v>0.1</v>
      </c>
      <c r="E17" s="97">
        <f t="shared" si="1"/>
        <v>11.140846016432674</v>
      </c>
      <c r="F17" s="96">
        <v>8.0000000000000002E-3</v>
      </c>
      <c r="G17" s="97">
        <v>0.01</v>
      </c>
      <c r="H17" s="97">
        <f t="shared" si="2"/>
        <v>0.50265482457436705</v>
      </c>
      <c r="I17" s="97">
        <f t="shared" si="3"/>
        <v>5.0265482457436708</v>
      </c>
      <c r="J17" s="97">
        <v>0.1</v>
      </c>
      <c r="K17" s="98">
        <v>0.16</v>
      </c>
      <c r="L17" s="98">
        <f>IF(K17&lt;=0.16,(0.64+6*K17)*地震波!C$28,
IF(K17&lt;=0.64,1.6*地震波!C$28,
(1.024/K17)*地震波!C$28))*K17/(2*PI())*100</f>
        <v>4.0743665431525207</v>
      </c>
      <c r="M17" s="98">
        <f t="shared" si="4"/>
        <v>20.371832715762604</v>
      </c>
    </row>
    <row r="18" spans="1:13" ht="9.75" customHeight="1">
      <c r="A18" s="96">
        <v>8</v>
      </c>
      <c r="B18" s="97">
        <f t="shared" si="0"/>
        <v>7.8539816339744856E-2</v>
      </c>
      <c r="C18" s="97">
        <v>10</v>
      </c>
      <c r="D18" s="97">
        <v>0.1</v>
      </c>
      <c r="E18" s="97">
        <f t="shared" si="1"/>
        <v>12.732395447351623</v>
      </c>
      <c r="F18" s="96">
        <v>9.0000000000000011E-3</v>
      </c>
      <c r="G18" s="97">
        <v>0.01</v>
      </c>
      <c r="H18" s="97">
        <f t="shared" si="2"/>
        <v>0.56548667764616267</v>
      </c>
      <c r="I18" s="97">
        <f t="shared" si="3"/>
        <v>5.6548667764616258</v>
      </c>
      <c r="J18" s="97">
        <v>0.1</v>
      </c>
      <c r="K18" s="98">
        <v>0.64</v>
      </c>
      <c r="L18" s="98">
        <f>IF(K18&lt;=0.16,(0.64+6*K18)*地震波!C$28,
IF(K18&lt;=0.64,1.6*地震波!C$28,
(1.024/K18)*地震波!C$28))*K18/(2*PI())*100</f>
        <v>16.297466172610083</v>
      </c>
      <c r="M18" s="98">
        <f t="shared" si="4"/>
        <v>81.487330863050417</v>
      </c>
    </row>
    <row r="19" spans="1:13" ht="9.75" customHeight="1">
      <c r="A19" s="96">
        <v>9</v>
      </c>
      <c r="B19" s="97">
        <f t="shared" si="0"/>
        <v>6.9813170079773168E-2</v>
      </c>
      <c r="C19" s="97">
        <v>10</v>
      </c>
      <c r="D19" s="97">
        <v>0.1</v>
      </c>
      <c r="E19" s="97">
        <f t="shared" si="1"/>
        <v>14.323944878270582</v>
      </c>
      <c r="F19" s="96">
        <v>1.0000000000000002E-2</v>
      </c>
      <c r="G19" s="97">
        <v>0.01</v>
      </c>
      <c r="H19" s="97">
        <f t="shared" si="2"/>
        <v>0.62831853071795862</v>
      </c>
      <c r="I19" s="97">
        <f t="shared" si="3"/>
        <v>6.2831853071795853</v>
      </c>
      <c r="J19" s="97">
        <v>0.1</v>
      </c>
      <c r="K19" s="98">
        <v>10</v>
      </c>
      <c r="L19" s="98">
        <f>IF(K19&lt;=0.16,(0.64+6*K19)*地震波!C$28,
IF(K19&lt;=0.64,1.6*地震波!C$28,
(1.024/K19)*地震波!C$28))*K19/(2*PI())*100</f>
        <v>16.297466172610083</v>
      </c>
      <c r="M19" s="98">
        <f t="shared" si="4"/>
        <v>81.487330863050417</v>
      </c>
    </row>
    <row r="20" spans="1:13" ht="9.75" customHeight="1">
      <c r="A20" s="95">
        <v>10</v>
      </c>
      <c r="B20" s="97">
        <f t="shared" si="0"/>
        <v>6.2831853071795826E-2</v>
      </c>
      <c r="C20" s="97">
        <v>10</v>
      </c>
      <c r="D20" s="97">
        <v>0.1</v>
      </c>
      <c r="E20" s="97">
        <f t="shared" si="1"/>
        <v>15.915494309189542</v>
      </c>
      <c r="F20" s="96">
        <v>2.0000000000000004E-2</v>
      </c>
      <c r="G20" s="97">
        <v>0.01</v>
      </c>
      <c r="H20" s="97">
        <f t="shared" si="2"/>
        <v>1.2566370614359175</v>
      </c>
      <c r="I20" s="97">
        <f t="shared" si="3"/>
        <v>12.566370614359172</v>
      </c>
      <c r="J20" s="97">
        <v>0.1</v>
      </c>
      <c r="K20" s="96"/>
      <c r="L20" s="96"/>
      <c r="M20" s="96"/>
    </row>
    <row r="21" spans="1:13" ht="9.75" customHeight="1">
      <c r="A21" s="96">
        <v>20</v>
      </c>
      <c r="B21" s="97">
        <f t="shared" si="0"/>
        <v>3.1415926535897913E-2</v>
      </c>
      <c r="C21" s="97">
        <v>10</v>
      </c>
      <c r="D21" s="97">
        <v>0.1</v>
      </c>
      <c r="E21" s="97">
        <f t="shared" si="1"/>
        <v>31.830988618379088</v>
      </c>
      <c r="F21" s="96">
        <v>3.0000000000000006E-2</v>
      </c>
      <c r="G21" s="97">
        <v>0.01</v>
      </c>
      <c r="H21" s="97">
        <f t="shared" si="2"/>
        <v>1.8849555921538768</v>
      </c>
      <c r="I21" s="97">
        <f t="shared" si="3"/>
        <v>18.849555921538769</v>
      </c>
      <c r="J21" s="97">
        <v>0.1</v>
      </c>
      <c r="K21" s="96"/>
      <c r="L21" s="96"/>
      <c r="M21" s="96"/>
    </row>
    <row r="22" spans="1:13" ht="9.75" customHeight="1">
      <c r="A22" s="96">
        <v>30</v>
      </c>
      <c r="B22" s="97">
        <f t="shared" si="0"/>
        <v>2.0943951023931956E-2</v>
      </c>
      <c r="C22" s="97">
        <v>10</v>
      </c>
      <c r="D22" s="97">
        <v>0.1</v>
      </c>
      <c r="E22" s="97">
        <f t="shared" si="1"/>
        <v>47.7464829275686</v>
      </c>
      <c r="F22" s="96">
        <v>4.0000000000000008E-2</v>
      </c>
      <c r="G22" s="97">
        <v>0.01</v>
      </c>
      <c r="H22" s="97">
        <f t="shared" si="2"/>
        <v>2.5132741228718354</v>
      </c>
      <c r="I22" s="97">
        <f t="shared" si="3"/>
        <v>25.132741228718359</v>
      </c>
      <c r="J22" s="97">
        <v>0.1</v>
      </c>
      <c r="K22" s="96"/>
      <c r="L22" s="96"/>
      <c r="M22" s="96"/>
    </row>
    <row r="23" spans="1:13" ht="9.75" customHeight="1">
      <c r="A23" s="96">
        <v>40</v>
      </c>
      <c r="B23" s="97">
        <f t="shared" si="0"/>
        <v>1.5707963267948967E-2</v>
      </c>
      <c r="C23" s="97">
        <v>10</v>
      </c>
      <c r="D23" s="97">
        <v>0.1</v>
      </c>
      <c r="E23" s="97">
        <f t="shared" si="1"/>
        <v>63.661977236758126</v>
      </c>
      <c r="F23" s="96">
        <v>5.000000000000001E-2</v>
      </c>
      <c r="G23" s="97">
        <v>0.01</v>
      </c>
      <c r="H23" s="97">
        <f t="shared" si="2"/>
        <v>3.1415926535897944</v>
      </c>
      <c r="I23" s="97">
        <f t="shared" si="3"/>
        <v>31.41592653589796</v>
      </c>
      <c r="J23" s="97">
        <v>0.1</v>
      </c>
      <c r="K23" s="96"/>
      <c r="L23" s="96"/>
      <c r="M23" s="96"/>
    </row>
    <row r="24" spans="1:13" ht="9.75" customHeight="1">
      <c r="A24" s="96">
        <v>50</v>
      </c>
      <c r="B24" s="97">
        <f t="shared" si="0"/>
        <v>1.2566370614359163E-2</v>
      </c>
      <c r="C24" s="97">
        <v>10</v>
      </c>
      <c r="D24" s="97">
        <v>0.1</v>
      </c>
      <c r="E24" s="97">
        <f t="shared" si="1"/>
        <v>79.577471545947731</v>
      </c>
      <c r="F24" s="96">
        <v>6.0000000000000012E-2</v>
      </c>
      <c r="G24" s="97">
        <v>0.01</v>
      </c>
      <c r="H24" s="97">
        <f t="shared" si="2"/>
        <v>3.7699111843077522</v>
      </c>
      <c r="I24" s="97">
        <f t="shared" si="3"/>
        <v>37.699111843077546</v>
      </c>
      <c r="J24" s="97">
        <v>0.1</v>
      </c>
      <c r="K24" s="96"/>
      <c r="L24" s="96"/>
      <c r="M24" s="96"/>
    </row>
    <row r="25" spans="1:13" ht="9.75" customHeight="1">
      <c r="A25" s="96">
        <v>60</v>
      </c>
      <c r="B25" s="97">
        <f t="shared" si="0"/>
        <v>1.0471975511965976E-2</v>
      </c>
      <c r="C25" s="97">
        <v>10</v>
      </c>
      <c r="D25" s="97">
        <v>0.1</v>
      </c>
      <c r="E25" s="97">
        <f t="shared" si="1"/>
        <v>95.492965855137214</v>
      </c>
      <c r="F25" s="96">
        <v>7.0000000000000007E-2</v>
      </c>
      <c r="G25" s="97">
        <v>0.01</v>
      </c>
      <c r="H25" s="97">
        <f t="shared" si="2"/>
        <v>4.3982297150257121</v>
      </c>
      <c r="I25" s="97">
        <f t="shared" si="3"/>
        <v>43.982297150257125</v>
      </c>
      <c r="J25" s="97">
        <v>0.1</v>
      </c>
      <c r="K25" s="96"/>
      <c r="L25" s="96"/>
      <c r="M25" s="96"/>
    </row>
    <row r="26" spans="1:13" ht="9.75" customHeight="1">
      <c r="A26" s="96">
        <v>70</v>
      </c>
      <c r="B26" s="97">
        <f t="shared" si="0"/>
        <v>8.9759790102565459E-3</v>
      </c>
      <c r="C26" s="97">
        <v>10</v>
      </c>
      <c r="D26" s="97">
        <v>0.1</v>
      </c>
      <c r="E26" s="97">
        <f t="shared" si="1"/>
        <v>111.40846016432681</v>
      </c>
      <c r="F26" s="96">
        <v>0.08</v>
      </c>
      <c r="G26" s="97">
        <v>0.01</v>
      </c>
      <c r="H26" s="97">
        <f t="shared" si="2"/>
        <v>5.0265482457436699</v>
      </c>
      <c r="I26" s="97">
        <f t="shared" si="3"/>
        <v>50.265482457436718</v>
      </c>
      <c r="J26" s="97">
        <v>0.1</v>
      </c>
      <c r="K26" s="96"/>
      <c r="L26" s="96"/>
      <c r="M26" s="96"/>
    </row>
    <row r="27" spans="1:13" ht="9.75" customHeight="1">
      <c r="A27" s="96">
        <v>80</v>
      </c>
      <c r="B27" s="97">
        <f t="shared" si="0"/>
        <v>7.8539816339744835E-3</v>
      </c>
      <c r="C27" s="97">
        <v>10</v>
      </c>
      <c r="D27" s="97">
        <v>0.1</v>
      </c>
      <c r="E27" s="97">
        <f t="shared" si="1"/>
        <v>127.32395447351627</v>
      </c>
      <c r="F27" s="96">
        <v>0.09</v>
      </c>
      <c r="G27" s="97">
        <v>0.01</v>
      </c>
      <c r="H27" s="97">
        <f t="shared" si="2"/>
        <v>5.6548667764616267</v>
      </c>
      <c r="I27" s="97">
        <f t="shared" si="3"/>
        <v>56.548667764616255</v>
      </c>
      <c r="J27" s="97">
        <v>0.1</v>
      </c>
      <c r="K27" s="96"/>
      <c r="L27" s="96"/>
      <c r="M27" s="96"/>
    </row>
    <row r="28" spans="1:13" ht="9.75" customHeight="1">
      <c r="A28" s="96">
        <v>90</v>
      </c>
      <c r="B28" s="97">
        <f t="shared" si="0"/>
        <v>6.9813170079773166E-3</v>
      </c>
      <c r="C28" s="97">
        <v>10</v>
      </c>
      <c r="D28" s="97">
        <v>0.1</v>
      </c>
      <c r="E28" s="97">
        <f t="shared" si="1"/>
        <v>143.23944878270584</v>
      </c>
      <c r="F28" s="96">
        <v>9.9999999999999992E-2</v>
      </c>
      <c r="G28" s="97">
        <v>0.01</v>
      </c>
      <c r="H28" s="97">
        <f t="shared" si="2"/>
        <v>6.2831853071795871</v>
      </c>
      <c r="I28" s="97">
        <f t="shared" si="3"/>
        <v>62.831853071795869</v>
      </c>
      <c r="J28" s="97">
        <v>0.1</v>
      </c>
      <c r="K28" s="96"/>
      <c r="L28" s="96"/>
      <c r="M28" s="96"/>
    </row>
    <row r="29" spans="1:13" ht="9.75" customHeight="1">
      <c r="A29" s="95">
        <v>100</v>
      </c>
      <c r="B29" s="95">
        <f t="shared" si="0"/>
        <v>6.2831853071795814E-3</v>
      </c>
      <c r="C29" s="95">
        <v>10</v>
      </c>
      <c r="D29" s="95">
        <v>0.1</v>
      </c>
      <c r="E29" s="95">
        <f t="shared" si="1"/>
        <v>159.15494309189546</v>
      </c>
      <c r="F29" s="96">
        <v>0.2</v>
      </c>
      <c r="G29" s="97">
        <v>0.01</v>
      </c>
      <c r="H29" s="97">
        <f t="shared" si="2"/>
        <v>12.566370614359172</v>
      </c>
      <c r="I29" s="97">
        <f t="shared" si="3"/>
        <v>125.66370614359175</v>
      </c>
      <c r="J29" s="97">
        <v>0.1</v>
      </c>
      <c r="K29" s="96"/>
      <c r="L29" s="96"/>
      <c r="M29" s="96"/>
    </row>
    <row r="30" spans="1:13" ht="9.75" customHeight="1">
      <c r="A30" s="96">
        <v>200</v>
      </c>
      <c r="B30" s="97">
        <f t="shared" si="0"/>
        <v>3.1415926535897903E-3</v>
      </c>
      <c r="C30" s="97">
        <v>10</v>
      </c>
      <c r="D30" s="97">
        <v>0.1</v>
      </c>
      <c r="E30" s="97">
        <f t="shared" si="1"/>
        <v>318.30988618379098</v>
      </c>
      <c r="F30" s="96">
        <v>0.30000000000000004</v>
      </c>
      <c r="G30" s="97">
        <v>0.01</v>
      </c>
      <c r="H30" s="97">
        <f t="shared" si="2"/>
        <v>18.849555921538769</v>
      </c>
      <c r="I30" s="97">
        <f t="shared" si="3"/>
        <v>188.49555921538766</v>
      </c>
      <c r="J30" s="97">
        <v>0.1</v>
      </c>
      <c r="K30" s="96"/>
      <c r="L30" s="96"/>
      <c r="M30" s="96"/>
    </row>
    <row r="31" spans="1:13" ht="9.75" customHeight="1">
      <c r="A31" s="96">
        <v>300</v>
      </c>
      <c r="B31" s="97">
        <f t="shared" si="0"/>
        <v>2.0943951023931931E-3</v>
      </c>
      <c r="C31" s="97">
        <v>10</v>
      </c>
      <c r="D31" s="97">
        <v>0.1</v>
      </c>
      <c r="E31" s="97">
        <f t="shared" si="1"/>
        <v>477.46482927568655</v>
      </c>
      <c r="F31" s="96">
        <v>0.4</v>
      </c>
      <c r="G31" s="97">
        <v>0.01</v>
      </c>
      <c r="H31" s="97">
        <f t="shared" si="2"/>
        <v>25.132741228718359</v>
      </c>
      <c r="I31" s="97">
        <f t="shared" si="3"/>
        <v>251.32741228718353</v>
      </c>
      <c r="J31" s="97">
        <v>0.1</v>
      </c>
      <c r="K31" s="96"/>
      <c r="L31" s="96"/>
      <c r="M31" s="96"/>
    </row>
    <row r="32" spans="1:13" ht="9.75" customHeight="1">
      <c r="A32" s="96">
        <v>400</v>
      </c>
      <c r="B32" s="97">
        <f t="shared" si="0"/>
        <v>1.5707963267948951E-3</v>
      </c>
      <c r="C32" s="97">
        <v>10</v>
      </c>
      <c r="D32" s="97">
        <v>0.1</v>
      </c>
      <c r="E32" s="97">
        <f t="shared" si="1"/>
        <v>636.61977236758196</v>
      </c>
      <c r="F32" s="96">
        <v>0.5</v>
      </c>
      <c r="G32" s="97">
        <v>0.01</v>
      </c>
      <c r="H32" s="97">
        <f t="shared" si="2"/>
        <v>31.415926535897931</v>
      </c>
      <c r="I32" s="97">
        <f t="shared" si="3"/>
        <v>314.15926535897938</v>
      </c>
      <c r="J32" s="97">
        <v>0.1</v>
      </c>
      <c r="K32" s="96"/>
      <c r="L32" s="96"/>
      <c r="M32" s="96"/>
    </row>
    <row r="33" spans="1:13" ht="9.75" customHeight="1">
      <c r="A33" s="96">
        <v>500</v>
      </c>
      <c r="B33" s="97">
        <f t="shared" si="0"/>
        <v>1.2566370614359162E-3</v>
      </c>
      <c r="C33" s="97">
        <v>10</v>
      </c>
      <c r="D33" s="97">
        <v>0.1</v>
      </c>
      <c r="E33" s="97">
        <f t="shared" si="1"/>
        <v>795.77471545947742</v>
      </c>
      <c r="F33" s="96">
        <v>0.6</v>
      </c>
      <c r="G33" s="97">
        <v>0.01</v>
      </c>
      <c r="H33" s="97">
        <f t="shared" si="2"/>
        <v>37.699111843077546</v>
      </c>
      <c r="I33" s="97">
        <f t="shared" si="3"/>
        <v>376.99111843077537</v>
      </c>
      <c r="J33" s="97">
        <v>0.1</v>
      </c>
      <c r="K33" s="96"/>
      <c r="L33" s="96"/>
      <c r="M33" s="96"/>
    </row>
    <row r="34" spans="1:13" ht="9.75" customHeight="1">
      <c r="A34" s="96">
        <v>600</v>
      </c>
      <c r="B34" s="97">
        <f t="shared" ref="B34:B60" si="5">10^(LOG(D34)+LOG(2*PI())-LOG(A34))</f>
        <v>1.0471975511965974E-3</v>
      </c>
      <c r="C34" s="97">
        <v>10</v>
      </c>
      <c r="D34" s="97">
        <v>0.1</v>
      </c>
      <c r="E34" s="97">
        <f t="shared" ref="E34:E60" si="6">10^(LOG(A34)-LOG(2*PI())+LOG(C34))</f>
        <v>954.92965855137231</v>
      </c>
      <c r="F34" s="96">
        <v>0.7</v>
      </c>
      <c r="G34" s="97">
        <v>0.01</v>
      </c>
      <c r="H34" s="97">
        <f t="shared" ref="H34:H64" si="7">10^(LOG(F34)-LOG(J34)+LOG(2*PI()))</f>
        <v>43.982297150257125</v>
      </c>
      <c r="I34" s="97">
        <f t="shared" ref="I34:I64" si="8">10^(LOG(F34)+LOG(2*PI())-LOG(G34))</f>
        <v>439.82297150257114</v>
      </c>
      <c r="J34" s="97">
        <v>0.1</v>
      </c>
      <c r="K34" s="96"/>
      <c r="L34" s="96"/>
      <c r="M34" s="96"/>
    </row>
    <row r="35" spans="1:13" ht="9.75" customHeight="1">
      <c r="A35" s="96">
        <v>700</v>
      </c>
      <c r="B35" s="97">
        <f t="shared" si="5"/>
        <v>8.9759790102565446E-4</v>
      </c>
      <c r="C35" s="97">
        <v>10</v>
      </c>
      <c r="D35" s="97">
        <v>0.1</v>
      </c>
      <c r="E35" s="97">
        <f t="shared" si="6"/>
        <v>1114.0846016432683</v>
      </c>
      <c r="F35" s="96">
        <v>0.79999999999999993</v>
      </c>
      <c r="G35" s="97">
        <v>0.01</v>
      </c>
      <c r="H35" s="97">
        <f t="shared" si="7"/>
        <v>50.265482457436718</v>
      </c>
      <c r="I35" s="97">
        <f t="shared" si="8"/>
        <v>502.65482457436707</v>
      </c>
      <c r="J35" s="97">
        <v>0.1</v>
      </c>
      <c r="K35" s="96"/>
      <c r="L35" s="96"/>
      <c r="M35" s="96"/>
    </row>
    <row r="36" spans="1:13" ht="9.75" customHeight="1">
      <c r="A36" s="96">
        <v>800</v>
      </c>
      <c r="B36" s="97">
        <f t="shared" si="5"/>
        <v>7.8539816339744746E-4</v>
      </c>
      <c r="C36" s="97">
        <v>10</v>
      </c>
      <c r="D36" s="97">
        <v>0.1</v>
      </c>
      <c r="E36" s="97">
        <f t="shared" si="6"/>
        <v>1273.2395447351641</v>
      </c>
      <c r="F36" s="96">
        <v>0.89999999999999991</v>
      </c>
      <c r="G36" s="97">
        <v>0.01</v>
      </c>
      <c r="H36" s="97">
        <f t="shared" si="7"/>
        <v>56.548667764616305</v>
      </c>
      <c r="I36" s="97">
        <f t="shared" si="8"/>
        <v>565.48667764616266</v>
      </c>
      <c r="J36" s="97">
        <v>0.1</v>
      </c>
      <c r="K36" s="96"/>
      <c r="L36" s="96"/>
      <c r="M36" s="96"/>
    </row>
    <row r="37" spans="1:13" ht="9.75" customHeight="1">
      <c r="A37" s="96">
        <v>900</v>
      </c>
      <c r="B37" s="97">
        <f t="shared" si="5"/>
        <v>6.9813170079773142E-4</v>
      </c>
      <c r="C37" s="97">
        <v>10</v>
      </c>
      <c r="D37" s="97">
        <v>0.1</v>
      </c>
      <c r="E37" s="97">
        <f t="shared" si="6"/>
        <v>1432.3944878270588</v>
      </c>
      <c r="F37" s="96">
        <v>0.99999999999999989</v>
      </c>
      <c r="G37" s="97">
        <v>0.01</v>
      </c>
      <c r="H37" s="97">
        <f t="shared" si="7"/>
        <v>62.831853071795869</v>
      </c>
      <c r="I37" s="97">
        <f t="shared" si="8"/>
        <v>628.31853071795888</v>
      </c>
      <c r="J37" s="97">
        <v>0.1</v>
      </c>
      <c r="K37" s="96"/>
      <c r="L37" s="96"/>
      <c r="M37" s="96"/>
    </row>
    <row r="38" spans="1:13" ht="9.75" customHeight="1">
      <c r="A38" s="95">
        <v>1000</v>
      </c>
      <c r="B38" s="95">
        <f t="shared" si="5"/>
        <v>6.2831853071795797E-4</v>
      </c>
      <c r="C38" s="95">
        <v>10</v>
      </c>
      <c r="D38" s="95">
        <v>0.1</v>
      </c>
      <c r="E38" s="95">
        <f t="shared" si="6"/>
        <v>1591.5494309189551</v>
      </c>
      <c r="F38" s="96">
        <v>2</v>
      </c>
      <c r="G38" s="97">
        <v>0.01</v>
      </c>
      <c r="H38" s="97">
        <f t="shared" si="7"/>
        <v>125.66370614359175</v>
      </c>
      <c r="I38" s="97">
        <f t="shared" si="8"/>
        <v>1256.6370614359178</v>
      </c>
      <c r="J38" s="97">
        <v>0.1</v>
      </c>
      <c r="K38" s="96"/>
      <c r="L38" s="96"/>
      <c r="M38" s="96"/>
    </row>
    <row r="39" spans="1:13" ht="9.75" customHeight="1">
      <c r="A39" s="96">
        <v>2000</v>
      </c>
      <c r="B39" s="97">
        <f t="shared" si="5"/>
        <v>3.1415926535897871E-4</v>
      </c>
      <c r="C39" s="97">
        <v>10</v>
      </c>
      <c r="D39" s="97">
        <v>0.1</v>
      </c>
      <c r="E39" s="97">
        <f t="shared" si="6"/>
        <v>3183.0988618379129</v>
      </c>
      <c r="F39" s="96">
        <v>3</v>
      </c>
      <c r="G39" s="97">
        <v>0.01</v>
      </c>
      <c r="H39" s="97">
        <f t="shared" si="7"/>
        <v>188.49555921538766</v>
      </c>
      <c r="I39" s="97">
        <f t="shared" si="8"/>
        <v>1884.955592153877</v>
      </c>
      <c r="J39" s="97">
        <v>0.1</v>
      </c>
      <c r="K39" s="96"/>
      <c r="L39" s="96"/>
      <c r="M39" s="96"/>
    </row>
    <row r="40" spans="1:13" ht="9.75" customHeight="1">
      <c r="A40" s="96">
        <v>3000</v>
      </c>
      <c r="B40" s="97">
        <f t="shared" si="5"/>
        <v>2.0943951023931926E-4</v>
      </c>
      <c r="C40" s="97">
        <v>10</v>
      </c>
      <c r="D40" s="97">
        <v>0.1</v>
      </c>
      <c r="E40" s="97">
        <f t="shared" si="6"/>
        <v>4774.6482927568668</v>
      </c>
      <c r="F40" s="96">
        <v>4</v>
      </c>
      <c r="G40" s="97">
        <v>0.01</v>
      </c>
      <c r="H40" s="97">
        <f t="shared" si="7"/>
        <v>251.32741228718353</v>
      </c>
      <c r="I40" s="97">
        <f t="shared" si="8"/>
        <v>2513.274122871836</v>
      </c>
      <c r="J40" s="97">
        <v>0.1</v>
      </c>
      <c r="K40" s="96"/>
      <c r="L40" s="96"/>
      <c r="M40" s="96"/>
    </row>
    <row r="41" spans="1:13" ht="9.75" customHeight="1">
      <c r="A41" s="96">
        <v>4000</v>
      </c>
      <c r="B41" s="97">
        <f t="shared" si="5"/>
        <v>1.5707963267948933E-4</v>
      </c>
      <c r="C41" s="97">
        <v>10</v>
      </c>
      <c r="D41" s="97">
        <v>0.1</v>
      </c>
      <c r="E41" s="97">
        <f t="shared" si="6"/>
        <v>6366.1977236758266</v>
      </c>
      <c r="F41" s="96">
        <v>5</v>
      </c>
      <c r="G41" s="97">
        <v>0.01</v>
      </c>
      <c r="H41" s="97">
        <f t="shared" si="7"/>
        <v>314.15926535897938</v>
      </c>
      <c r="I41" s="97">
        <f t="shared" si="8"/>
        <v>3141.5926535898002</v>
      </c>
      <c r="J41" s="97">
        <v>0.1</v>
      </c>
      <c r="K41" s="96"/>
      <c r="L41" s="96"/>
      <c r="M41" s="96"/>
    </row>
    <row r="42" spans="1:13" ht="9.75" customHeight="1">
      <c r="A42" s="96">
        <v>5000</v>
      </c>
      <c r="B42" s="97">
        <f t="shared" si="5"/>
        <v>1.256637061435916E-4</v>
      </c>
      <c r="C42" s="97">
        <v>10</v>
      </c>
      <c r="D42" s="97">
        <v>0.1</v>
      </c>
      <c r="E42" s="97">
        <f t="shared" si="6"/>
        <v>7957.7471545947756</v>
      </c>
      <c r="F42" s="96">
        <v>6</v>
      </c>
      <c r="G42" s="97">
        <v>0.01</v>
      </c>
      <c r="H42" s="97">
        <f t="shared" si="7"/>
        <v>376.99111843077537</v>
      </c>
      <c r="I42" s="97">
        <f t="shared" si="8"/>
        <v>3769.9111843077544</v>
      </c>
      <c r="J42" s="97">
        <v>0.1</v>
      </c>
      <c r="K42" s="96"/>
      <c r="L42" s="96"/>
      <c r="M42" s="96"/>
    </row>
    <row r="43" spans="1:13" ht="9.75" customHeight="1">
      <c r="A43" s="96">
        <v>6000</v>
      </c>
      <c r="B43" s="97">
        <f t="shared" si="5"/>
        <v>1.0471975511965963E-4</v>
      </c>
      <c r="C43" s="97">
        <v>10</v>
      </c>
      <c r="D43" s="97">
        <v>0.1</v>
      </c>
      <c r="E43" s="97">
        <f t="shared" si="6"/>
        <v>9549.2965855137336</v>
      </c>
      <c r="F43" s="96">
        <v>7</v>
      </c>
      <c r="G43" s="97">
        <v>0.01</v>
      </c>
      <c r="H43" s="97">
        <f t="shared" si="7"/>
        <v>439.82297150257114</v>
      </c>
      <c r="I43" s="97">
        <f t="shared" si="8"/>
        <v>4398.2297150257164</v>
      </c>
      <c r="J43" s="97">
        <v>0.1</v>
      </c>
      <c r="K43" s="96"/>
      <c r="L43" s="96"/>
      <c r="M43" s="96"/>
    </row>
    <row r="44" spans="1:13" ht="9.75" customHeight="1">
      <c r="A44" s="96">
        <v>7000</v>
      </c>
      <c r="B44" s="97">
        <f t="shared" si="5"/>
        <v>8.9759790102565492E-5</v>
      </c>
      <c r="C44" s="97">
        <v>10</v>
      </c>
      <c r="D44" s="97">
        <v>0.1</v>
      </c>
      <c r="E44" s="97">
        <f t="shared" si="6"/>
        <v>11140.846016432677</v>
      </c>
      <c r="F44" s="96">
        <v>8</v>
      </c>
      <c r="G44" s="97">
        <v>0.01</v>
      </c>
      <c r="H44" s="97">
        <f t="shared" si="7"/>
        <v>502.65482457436707</v>
      </c>
      <c r="I44" s="97">
        <f t="shared" si="8"/>
        <v>5026.5482457436765</v>
      </c>
      <c r="J44" s="97">
        <v>0.1</v>
      </c>
      <c r="K44" s="96"/>
      <c r="L44" s="96"/>
      <c r="M44" s="96"/>
    </row>
    <row r="45" spans="1:13" ht="9.75" customHeight="1">
      <c r="A45" s="96">
        <v>8000</v>
      </c>
      <c r="B45" s="97">
        <f t="shared" si="5"/>
        <v>7.85398163397448E-5</v>
      </c>
      <c r="C45" s="97">
        <v>10</v>
      </c>
      <c r="D45" s="97">
        <v>0.1</v>
      </c>
      <c r="E45" s="97">
        <f t="shared" si="6"/>
        <v>12732.395447351631</v>
      </c>
      <c r="F45" s="96">
        <v>9</v>
      </c>
      <c r="G45" s="97">
        <v>0.01</v>
      </c>
      <c r="H45" s="97">
        <f t="shared" si="7"/>
        <v>565.48667764616266</v>
      </c>
      <c r="I45" s="97">
        <f t="shared" si="8"/>
        <v>5654.8667764616284</v>
      </c>
      <c r="J45" s="97">
        <v>0.1</v>
      </c>
      <c r="K45" s="96"/>
      <c r="L45" s="96"/>
      <c r="M45" s="96"/>
    </row>
    <row r="46" spans="1:13" ht="9.75" customHeight="1">
      <c r="A46" s="96">
        <v>9000</v>
      </c>
      <c r="B46" s="97">
        <f t="shared" si="5"/>
        <v>6.9813170079773132E-5</v>
      </c>
      <c r="C46" s="97">
        <v>10</v>
      </c>
      <c r="D46" s="97">
        <v>0.1</v>
      </c>
      <c r="E46" s="97">
        <f t="shared" si="6"/>
        <v>14323.944878270591</v>
      </c>
      <c r="F46" s="95">
        <v>10</v>
      </c>
      <c r="G46" s="95">
        <v>0.01</v>
      </c>
      <c r="H46" s="95">
        <f t="shared" si="7"/>
        <v>628.31853071795888</v>
      </c>
      <c r="I46" s="95">
        <f t="shared" si="8"/>
        <v>6283.1853071795895</v>
      </c>
      <c r="J46" s="95">
        <v>0.1</v>
      </c>
      <c r="K46" s="96"/>
      <c r="L46" s="96"/>
      <c r="M46" s="96"/>
    </row>
    <row r="47" spans="1:13" ht="9.75" customHeight="1">
      <c r="A47" s="95">
        <v>10000</v>
      </c>
      <c r="B47" s="97">
        <f t="shared" si="5"/>
        <v>6.2831853071795897E-5</v>
      </c>
      <c r="C47" s="97">
        <v>10</v>
      </c>
      <c r="D47" s="97">
        <v>0.1</v>
      </c>
      <c r="E47" s="97">
        <f t="shared" si="6"/>
        <v>15915.494309189526</v>
      </c>
      <c r="F47" s="96">
        <v>20</v>
      </c>
      <c r="G47" s="97">
        <v>0.01</v>
      </c>
      <c r="H47" s="97">
        <f t="shared" si="7"/>
        <v>1256.6370614359178</v>
      </c>
      <c r="I47" s="97">
        <f t="shared" si="8"/>
        <v>12566.370614359203</v>
      </c>
      <c r="J47" s="97">
        <v>0.1</v>
      </c>
      <c r="K47" s="96"/>
      <c r="L47" s="96"/>
      <c r="M47" s="96"/>
    </row>
    <row r="48" spans="1:13" ht="9.75" customHeight="1">
      <c r="A48" s="96">
        <v>20000</v>
      </c>
      <c r="B48" s="97">
        <f t="shared" si="5"/>
        <v>3.1415926535897949E-5</v>
      </c>
      <c r="C48" s="97">
        <v>10</v>
      </c>
      <c r="D48" s="97">
        <v>0.1</v>
      </c>
      <c r="E48" s="97">
        <f t="shared" si="6"/>
        <v>31830.988618379051</v>
      </c>
      <c r="F48" s="96">
        <v>30</v>
      </c>
      <c r="G48" s="97">
        <v>0.01</v>
      </c>
      <c r="H48" s="97">
        <f t="shared" si="7"/>
        <v>1884.955592153877</v>
      </c>
      <c r="I48" s="97">
        <f t="shared" si="8"/>
        <v>18849.555921538791</v>
      </c>
      <c r="J48" s="97">
        <v>0.1</v>
      </c>
      <c r="K48" s="96"/>
      <c r="L48" s="96"/>
      <c r="M48" s="96"/>
    </row>
    <row r="49" spans="1:13" ht="9.75" customHeight="1">
      <c r="A49" s="96">
        <v>30000</v>
      </c>
      <c r="B49" s="97">
        <f t="shared" si="5"/>
        <v>2.0943951023931941E-5</v>
      </c>
      <c r="C49" s="97">
        <v>10</v>
      </c>
      <c r="D49" s="97">
        <v>0.1</v>
      </c>
      <c r="E49" s="97">
        <f t="shared" si="6"/>
        <v>47746.482927568635</v>
      </c>
      <c r="F49" s="96">
        <v>40</v>
      </c>
      <c r="G49" s="97">
        <v>0.01</v>
      </c>
      <c r="H49" s="97">
        <f t="shared" si="7"/>
        <v>2513.274122871836</v>
      </c>
      <c r="I49" s="97">
        <f t="shared" si="8"/>
        <v>25132.741228718409</v>
      </c>
      <c r="J49" s="97">
        <v>0.1</v>
      </c>
      <c r="K49" s="96"/>
      <c r="L49" s="96"/>
      <c r="M49" s="96"/>
    </row>
    <row r="50" spans="1:13" ht="9.75" customHeight="1">
      <c r="A50" s="96">
        <v>40000</v>
      </c>
      <c r="B50" s="97">
        <f t="shared" si="5"/>
        <v>1.5707963267948944E-5</v>
      </c>
      <c r="C50" s="97">
        <v>10</v>
      </c>
      <c r="D50" s="97">
        <v>0.1</v>
      </c>
      <c r="E50" s="97">
        <f t="shared" si="6"/>
        <v>63661.977236758226</v>
      </c>
      <c r="F50" s="96">
        <v>50</v>
      </c>
      <c r="G50" s="97">
        <v>0.01</v>
      </c>
      <c r="H50" s="97">
        <f t="shared" si="7"/>
        <v>3141.5926535897947</v>
      </c>
      <c r="I50" s="97">
        <f t="shared" si="8"/>
        <v>31415.926535897979</v>
      </c>
      <c r="J50" s="97">
        <v>0.1</v>
      </c>
      <c r="K50" s="96"/>
      <c r="L50" s="96"/>
      <c r="M50" s="96"/>
    </row>
    <row r="51" spans="1:13" ht="9.75" customHeight="1">
      <c r="A51" s="96">
        <v>50000</v>
      </c>
      <c r="B51" s="97">
        <f t="shared" si="5"/>
        <v>1.2566370614359168E-5</v>
      </c>
      <c r="C51" s="97">
        <v>10</v>
      </c>
      <c r="D51" s="97">
        <v>0.1</v>
      </c>
      <c r="E51" s="97">
        <f t="shared" si="6"/>
        <v>79577.471545947701</v>
      </c>
      <c r="F51" s="96">
        <v>60</v>
      </c>
      <c r="G51" s="97">
        <v>0.01</v>
      </c>
      <c r="H51" s="97">
        <f t="shared" si="7"/>
        <v>3769.9111843077544</v>
      </c>
      <c r="I51" s="97">
        <f t="shared" si="8"/>
        <v>37699.11184307759</v>
      </c>
      <c r="J51" s="97">
        <v>0.1</v>
      </c>
      <c r="K51" s="96"/>
      <c r="L51" s="96"/>
      <c r="M51" s="96"/>
    </row>
    <row r="52" spans="1:13" ht="9.75" customHeight="1">
      <c r="A52" s="96">
        <v>60000</v>
      </c>
      <c r="B52" s="97">
        <f t="shared" si="5"/>
        <v>1.047197551196597E-5</v>
      </c>
      <c r="C52" s="97">
        <v>10</v>
      </c>
      <c r="D52" s="97">
        <v>0.1</v>
      </c>
      <c r="E52" s="97">
        <f t="shared" si="6"/>
        <v>95492.96585513727</v>
      </c>
      <c r="F52" s="96">
        <v>70</v>
      </c>
      <c r="G52" s="97">
        <v>0.01</v>
      </c>
      <c r="H52" s="97">
        <f t="shared" si="7"/>
        <v>4398.2297150257164</v>
      </c>
      <c r="I52" s="97">
        <f t="shared" si="8"/>
        <v>43982.297150257211</v>
      </c>
      <c r="J52" s="97">
        <v>0.1</v>
      </c>
      <c r="K52" s="96"/>
      <c r="L52" s="96"/>
      <c r="M52" s="96"/>
    </row>
    <row r="53" spans="1:13" ht="9.75" customHeight="1">
      <c r="A53" s="96">
        <v>70000</v>
      </c>
      <c r="B53" s="97">
        <f t="shared" si="5"/>
        <v>8.97597901025654E-6</v>
      </c>
      <c r="C53" s="97">
        <v>10</v>
      </c>
      <c r="D53" s="97">
        <v>0.1</v>
      </c>
      <c r="E53" s="97">
        <f t="shared" si="6"/>
        <v>111408.46016432688</v>
      </c>
      <c r="F53" s="96">
        <v>80</v>
      </c>
      <c r="G53" s="97">
        <v>0.01</v>
      </c>
      <c r="H53" s="97">
        <f t="shared" si="7"/>
        <v>5026.5482457436765</v>
      </c>
      <c r="I53" s="97">
        <f t="shared" si="8"/>
        <v>50265.482457436818</v>
      </c>
      <c r="J53" s="97">
        <v>0.1</v>
      </c>
      <c r="K53" s="96"/>
      <c r="L53" s="96"/>
      <c r="M53" s="96"/>
    </row>
    <row r="54" spans="1:13" ht="9.75" customHeight="1">
      <c r="A54" s="96">
        <v>80000</v>
      </c>
      <c r="B54" s="97">
        <f t="shared" si="5"/>
        <v>7.8539816339744719E-6</v>
      </c>
      <c r="C54" s="97">
        <v>10</v>
      </c>
      <c r="D54" s="97">
        <v>0.1</v>
      </c>
      <c r="E54" s="97">
        <f t="shared" si="6"/>
        <v>127323.95447351645</v>
      </c>
      <c r="F54" s="96">
        <v>90</v>
      </c>
      <c r="G54" s="97">
        <v>0.01</v>
      </c>
      <c r="H54" s="97">
        <f t="shared" si="7"/>
        <v>5654.8667764616384</v>
      </c>
      <c r="I54" s="97">
        <f t="shared" si="8"/>
        <v>56548.667764616446</v>
      </c>
      <c r="J54" s="97">
        <v>0.1</v>
      </c>
      <c r="K54" s="96"/>
      <c r="L54" s="96"/>
      <c r="M54" s="96"/>
    </row>
    <row r="55" spans="1:13" ht="9.75" customHeight="1">
      <c r="A55" s="96">
        <v>90000</v>
      </c>
      <c r="B55" s="97">
        <f t="shared" si="5"/>
        <v>6.9813170079773049E-6</v>
      </c>
      <c r="C55" s="97">
        <v>10</v>
      </c>
      <c r="D55" s="97">
        <v>0.1</v>
      </c>
      <c r="E55" s="97">
        <f t="shared" si="6"/>
        <v>143239.44878270608</v>
      </c>
      <c r="F55" s="95">
        <v>100</v>
      </c>
      <c r="G55" s="95">
        <v>0.01</v>
      </c>
      <c r="H55" s="95">
        <f t="shared" si="7"/>
        <v>6283.1853071795895</v>
      </c>
      <c r="I55" s="95">
        <f t="shared" si="8"/>
        <v>62831.853071795966</v>
      </c>
      <c r="J55" s="95">
        <v>0.1</v>
      </c>
      <c r="K55" s="96"/>
      <c r="L55" s="96"/>
      <c r="M55" s="96"/>
    </row>
    <row r="56" spans="1:13" ht="9.75" customHeight="1">
      <c r="A56" s="95">
        <v>100000</v>
      </c>
      <c r="B56" s="97">
        <f t="shared" si="5"/>
        <v>6.2831853071795824E-6</v>
      </c>
      <c r="C56" s="97">
        <v>10</v>
      </c>
      <c r="D56" s="97">
        <v>0.1</v>
      </c>
      <c r="E56" s="97">
        <f t="shared" si="6"/>
        <v>159154.94309189543</v>
      </c>
      <c r="F56" s="96">
        <v>200</v>
      </c>
      <c r="G56" s="97">
        <v>0.01</v>
      </c>
      <c r="H56" s="97">
        <f t="shared" si="7"/>
        <v>12566.370614359203</v>
      </c>
      <c r="I56" s="97">
        <f t="shared" si="8"/>
        <v>125663.70614359195</v>
      </c>
      <c r="J56" s="97">
        <v>0.1</v>
      </c>
      <c r="K56" s="96"/>
      <c r="L56" s="96"/>
      <c r="M56" s="96"/>
    </row>
    <row r="57" spans="1:13" ht="9.75" customHeight="1">
      <c r="A57" s="96">
        <v>200000</v>
      </c>
      <c r="B57" s="97">
        <f t="shared" si="5"/>
        <v>3.1415926535897912E-6</v>
      </c>
      <c r="C57" s="97">
        <v>10</v>
      </c>
      <c r="D57" s="97">
        <v>0.1</v>
      </c>
      <c r="E57" s="97">
        <f t="shared" si="6"/>
        <v>318309.88618379086</v>
      </c>
      <c r="F57" s="96">
        <v>300</v>
      </c>
      <c r="G57" s="97">
        <v>0.01</v>
      </c>
      <c r="H57" s="97">
        <f t="shared" si="7"/>
        <v>18849.555921538791</v>
      </c>
      <c r="I57" s="97">
        <f t="shared" si="8"/>
        <v>188495.55921538812</v>
      </c>
      <c r="J57" s="97">
        <v>0.1</v>
      </c>
      <c r="K57" s="96"/>
      <c r="L57" s="96"/>
      <c r="M57" s="96"/>
    </row>
    <row r="58" spans="1:13" ht="9.75" customHeight="1">
      <c r="A58" s="96">
        <v>300000</v>
      </c>
      <c r="B58" s="97">
        <f t="shared" si="5"/>
        <v>2.0943951023931957E-6</v>
      </c>
      <c r="C58" s="97">
        <v>10</v>
      </c>
      <c r="D58" s="97">
        <v>0.1</v>
      </c>
      <c r="E58" s="97">
        <f t="shared" si="6"/>
        <v>477464.829275686</v>
      </c>
      <c r="F58" s="96">
        <v>400</v>
      </c>
      <c r="G58" s="97">
        <v>0.01</v>
      </c>
      <c r="H58" s="97">
        <f t="shared" si="7"/>
        <v>25132.741228718409</v>
      </c>
      <c r="I58" s="97">
        <f t="shared" si="8"/>
        <v>251327.41228718392</v>
      </c>
      <c r="J58" s="97">
        <v>0.1</v>
      </c>
      <c r="K58" s="96"/>
      <c r="L58" s="96"/>
      <c r="M58" s="96"/>
    </row>
    <row r="59" spans="1:13" ht="9.75" customHeight="1">
      <c r="A59" s="96">
        <v>400000</v>
      </c>
      <c r="B59" s="97">
        <f t="shared" si="5"/>
        <v>1.5707963267948954E-6</v>
      </c>
      <c r="C59" s="97">
        <v>10</v>
      </c>
      <c r="D59" s="97">
        <v>0.1</v>
      </c>
      <c r="E59" s="97">
        <f t="shared" si="6"/>
        <v>636619.77236758184</v>
      </c>
      <c r="F59" s="96">
        <v>500</v>
      </c>
      <c r="G59" s="97">
        <v>0.01</v>
      </c>
      <c r="H59" s="97">
        <f t="shared" si="7"/>
        <v>31415.926535897979</v>
      </c>
      <c r="I59" s="97">
        <f t="shared" si="8"/>
        <v>314159.26535898016</v>
      </c>
      <c r="J59" s="97">
        <v>0.1</v>
      </c>
      <c r="K59" s="96"/>
      <c r="L59" s="96"/>
      <c r="M59" s="96"/>
    </row>
    <row r="60" spans="1:13" ht="9.75" customHeight="1">
      <c r="A60" s="96">
        <v>500000</v>
      </c>
      <c r="B60" s="97">
        <f t="shared" si="5"/>
        <v>1.2566370614359175E-6</v>
      </c>
      <c r="C60" s="97">
        <v>10</v>
      </c>
      <c r="D60" s="97">
        <v>0.1</v>
      </c>
      <c r="E60" s="97">
        <f t="shared" si="6"/>
        <v>795774.71545947657</v>
      </c>
      <c r="F60" s="96">
        <v>600</v>
      </c>
      <c r="G60" s="97">
        <v>0.01</v>
      </c>
      <c r="H60" s="97">
        <f t="shared" si="7"/>
        <v>37699.111843077517</v>
      </c>
      <c r="I60" s="97">
        <f t="shared" si="8"/>
        <v>376991.11843077559</v>
      </c>
      <c r="J60" s="97">
        <v>0.1</v>
      </c>
      <c r="K60" s="96"/>
      <c r="L60" s="96"/>
      <c r="M60" s="96"/>
    </row>
    <row r="61" spans="1:13" ht="9.75" customHeight="1">
      <c r="A61" s="96"/>
      <c r="B61" s="96"/>
      <c r="C61" s="96"/>
      <c r="D61" s="96"/>
      <c r="E61" s="96"/>
      <c r="F61" s="96">
        <v>700</v>
      </c>
      <c r="G61" s="97">
        <v>0.01</v>
      </c>
      <c r="H61" s="97">
        <f t="shared" si="7"/>
        <v>43982.297150257211</v>
      </c>
      <c r="I61" s="97">
        <f t="shared" si="8"/>
        <v>439822.97150257183</v>
      </c>
      <c r="J61" s="97">
        <v>0.1</v>
      </c>
      <c r="K61" s="96"/>
      <c r="L61" s="96"/>
      <c r="M61" s="96"/>
    </row>
    <row r="62" spans="1:13" ht="9.75" customHeight="1">
      <c r="A62" s="96"/>
      <c r="B62" s="96"/>
      <c r="C62" s="96"/>
      <c r="D62" s="96"/>
      <c r="E62" s="96"/>
      <c r="F62" s="96">
        <v>800</v>
      </c>
      <c r="G62" s="97">
        <v>0.01</v>
      </c>
      <c r="H62" s="97">
        <f t="shared" si="7"/>
        <v>50265.482457436818</v>
      </c>
      <c r="I62" s="97">
        <f t="shared" si="8"/>
        <v>502654.82457436784</v>
      </c>
      <c r="J62" s="97">
        <v>0.1</v>
      </c>
      <c r="K62" s="96"/>
      <c r="L62" s="96"/>
      <c r="M62" s="96"/>
    </row>
    <row r="63" spans="1:13" ht="9.75" customHeight="1">
      <c r="A63" s="96"/>
      <c r="B63" s="96"/>
      <c r="C63" s="96"/>
      <c r="D63" s="96"/>
      <c r="E63" s="96"/>
      <c r="F63" s="96">
        <v>900</v>
      </c>
      <c r="G63" s="97">
        <v>0.01</v>
      </c>
      <c r="H63" s="97">
        <f t="shared" si="7"/>
        <v>56548.667764616344</v>
      </c>
      <c r="I63" s="97">
        <f t="shared" si="8"/>
        <v>565486.67764616304</v>
      </c>
      <c r="J63" s="97">
        <v>0.1</v>
      </c>
      <c r="K63" s="96"/>
      <c r="L63" s="96"/>
      <c r="M63" s="96"/>
    </row>
    <row r="64" spans="1:13" ht="9.75" customHeight="1">
      <c r="A64" s="96"/>
      <c r="B64" s="96"/>
      <c r="C64" s="96"/>
      <c r="D64" s="96"/>
      <c r="E64" s="96"/>
      <c r="F64" s="96">
        <v>1000</v>
      </c>
      <c r="G64" s="97">
        <v>0.01</v>
      </c>
      <c r="H64" s="97">
        <f t="shared" si="7"/>
        <v>62831.853071795966</v>
      </c>
      <c r="I64" s="97">
        <f t="shared" si="8"/>
        <v>628318.53071796033</v>
      </c>
      <c r="J64" s="97">
        <v>0.1</v>
      </c>
      <c r="K64" s="96"/>
      <c r="L64" s="96"/>
      <c r="M64" s="96"/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AA057-1CB8-46D0-A453-80097FA8F597}">
  <sheetPr codeName="Sheet21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36" customWidth="1"/>
    <col min="133" max="16384" width="8.7109375" style="136"/>
  </cols>
  <sheetData>
    <row r="1" spans="2:105" ht="9.75" customHeight="1">
      <c r="B1" s="135" t="str">
        <f>IF(ISBLANK(地震波!H3),"･",
IF(OR(DA$1="L1",DA$1="L1.5"),IF(OR(地震波!G3="L1",地震波!G3="L1&amp;L2"),"Wave1",IF(Overview!P5="JPN","対象外","excepted")),
IF(OR(DA$1="L2",DA$1="L3"),IF(OR(地震波!G3="L2",地震波!G3="L1&amp;L2"),"Wave1",IF(Overview!P5="JPN","対象外","excepted")),
IF(DA$1=地震波!G3,"Wave1",IF(Overview!P5="JPN","対象外","excepted")))))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IF(ISBLANK(地震波!H4),"･",
IF(OR(DA$1="L1",DA$1="L1.5"),IF(OR(地震波!G4="L1",地震波!G4="L1&amp;L2"),"Wave2",IF(Overview!P5="JPN","対象外","excepted")),
IF(OR(DA$1="L2",DA$1="L3"),IF(OR(地震波!G4="L2",地震波!G4="L1&amp;L2"),"Wave2",IF(Overview!P5="JPN","対象外","excepted")),
IF(DA$1=地震波!G4,"Wave2",IF(Overview!P5="JPN","対象外","excepted")))))</f>
        <v>･</v>
      </c>
      <c r="DA2" s="164"/>
    </row>
    <row r="3" spans="2:105" ht="9.75" customHeight="1">
      <c r="B3" s="135" t="str">
        <f>IF(ISBLANK(地震波!H5),"･",
IF(OR(DA$1="L1",DA$1="L1.5"),IF(OR(地震波!G5="L1",地震波!G5="L1&amp;L2"),"Wave3",IF(Overview!P5="JPN","対象外","excepted")),
IF(OR(DA$1="L2",DA$1="L3"),IF(OR(地震波!G5="L2",地震波!G5="L1&amp;L2"),"Wave3",IF(Overview!P5="JPN","対象外","excepted")),
IF(DA$1=地震波!G5,"Wave3",IF(Overview!P5="JPN","対象外","excepted")))))</f>
        <v>･</v>
      </c>
      <c r="DA3" s="163" t="s">
        <v>225</v>
      </c>
    </row>
    <row r="4" spans="2:105" ht="9.75" customHeight="1">
      <c r="B4" s="135" t="str">
        <f>IF(ISBLANK(地震波!H6),"･",
IF(OR(DA$1="L1",DA$1="L1.5"),IF(OR(地震波!G6="L1",地震波!G6="L1&amp;L2"),"Wave4",IF(Overview!P5="JPN","対象外","excepted")),
IF(OR(DA$1="L2",DA$1="L3"),IF(OR(地震波!G6="L2",地震波!G6="L1&amp;L2"),"Wave4",IF(Overview!P5="JPN","対象外","excepted")),
IF(DA$1=地震波!G6,"Wave4",IF(Overview!P5="JPN","対象外","excepted")))))</f>
        <v>･</v>
      </c>
      <c r="DA4" s="164"/>
    </row>
    <row r="5" spans="2:105" ht="9.75" customHeight="1">
      <c r="B5" s="135" t="str">
        <f>IF(ISBLANK(地震波!H7),"･",
IF(OR(DA$1="L1",DA$1="L1.5"),IF(OR(地震波!G7="L1",地震波!G7="L1&amp;L2"),"Wave5",IF(Overview!P5="JPN","対象外","excepted")),
IF(OR(DA$1="L2",DA$1="L3"),IF(OR(地震波!G7="L2",地震波!G7="L1&amp;L2"),"Wave5",IF(Overview!P5="JPN","対象外","excepted")),
IF(DA$1=地震波!G7,"Wave5",IF(Overview!P5="JPN","対象外","excepted")))))</f>
        <v>･</v>
      </c>
      <c r="DA5" s="137"/>
    </row>
    <row r="6" spans="2:105" ht="9.75" customHeight="1">
      <c r="B6" s="135" t="str">
        <f>IF(ISBLANK(地震波!H8),"･",
IF(OR(DA$1="L1",DA$1="L1.5"),IF(OR(地震波!G8="L1",地震波!G8="L1&amp;L2"),"Wave6",IF(Overview!P5="JPN","対象外","excepted")),
IF(OR(DA$1="L2",DA$1="L3"),IF(OR(地震波!G8="L2",地震波!G8="L1&amp;L2"),"Wave6",IF(Overview!P5="JPN","対象外","excepted")),
IF(DA$1=地震波!G8,"Wave6",IF(Overview!P5="JPN","対象外","excepted")))))</f>
        <v>･</v>
      </c>
      <c r="DA6" s="137"/>
    </row>
    <row r="7" spans="2:105" ht="9.75" customHeight="1">
      <c r="B7" s="135" t="str">
        <f>IF(ISBLANK(地震波!H9),"･",
IF(OR(DA$1="L1",DA$1="L1.5"),IF(OR(地震波!G9="L1",地震波!G9="L1&amp;L2"),"Wave7",IF(Overview!P5="JPN","対象外","excepted")),
IF(OR(DA$1="L2",DA$1="L3"),IF(OR(地震波!G9="L2",地震波!G9="L1&amp;L2"),"Wave7",IF(Overview!P5="JPN","対象外","excepted")),
IF(DA$1=地震波!G9,"Wave7",IF(Overview!P5="JPN","対象外","excepted")))))</f>
        <v>･</v>
      </c>
      <c r="DA7" s="137"/>
    </row>
    <row r="8" spans="2:105" ht="9.75" customHeight="1">
      <c r="B8" s="135" t="str">
        <f>IF(ISBLANK(地震波!H10),"･",
IF(OR(DA$1="L1",DA$1="L1.5"),IF(OR(地震波!G10="L1",地震波!G10="L1&amp;L2"),"Wave8",IF(Overview!P5="JPN","対象外","excepted")),
IF(OR(DA$1="L2",DA$1="L3"),IF(OR(地震波!G10="L2",地震波!G10="L1&amp;L2"),"Wave8",IF(Overview!P5="JPN","対象外","excepted")),
IF(DA$1=地震波!G10,"Wave8",IF(Overview!P5="JPN","対象外","excepted")))))</f>
        <v>･</v>
      </c>
      <c r="DA8" s="137"/>
    </row>
    <row r="9" spans="2:105" ht="9.75" customHeight="1">
      <c r="B9" s="135" t="str">
        <f>IF(ISBLANK(地震波!H11),"･",
IF(OR(DA$1="L1",DA$1="L1.5"),IF(OR(地震波!G11="L1",地震波!G11="L1&amp;L2"),"Wave9",IF(Overview!P5="JPN","対象外","excepted")),
IF(OR(DA$1="L2",DA$1="L3"),IF(OR(地震波!G11="L2",地震波!G11="L1&amp;L2"),"Wave9",IF(Overview!P5="JPN","対象外","excepted")),
IF(DA$1=地震波!G11,"Wave9",IF(Overview!P5="JPN","対象外","excepted")))))</f>
        <v>･</v>
      </c>
      <c r="DA9" s="137"/>
    </row>
    <row r="10" spans="2:105" ht="9.75" customHeight="1">
      <c r="B10" s="135" t="str">
        <f>IF(ISBLANK(地震波!H12),"･",
IF(OR(DA$1="L1",DA$1="L1.5"),IF(OR(地震波!G12="L1",地震波!G12="L1&amp;L2"),"Wave10",IF(Overview!P5="JPN","対象外","excepted")),
IF(OR(DA$1="L2",DA$1="L3"),IF(OR(地震波!G12="L2",地震波!G12="L1&amp;L2"),"Wave10",IF(Overview!P5="JPN","対象外","excepted")),
IF(DA$1=地震波!G12,"Wave10",IF(Overview!P5="JPN","対象外","excepted")))))</f>
        <v>･</v>
      </c>
      <c r="DA10" s="137"/>
    </row>
    <row r="11" spans="2:105" ht="9.75" customHeight="1">
      <c r="B11" s="135" t="str">
        <f>IF(ISBLANK(地震波!H13),"･",
IF(OR(DA$1="L1",DA$1="L1.5"),IF(OR(地震波!G13="L1",地震波!G13="L1&amp;L2"),"Wave11",IF(Overview!P5="JPN","対象外","excepted")),
IF(OR(DA$1="L2",DA$1="L3"),IF(OR(地震波!G13="L2",地震波!G13="L1&amp;L2"),"Wave11",IF(Overview!P5="JPN","対象外","excepted")),
IF(DA$1=地震波!G13,"Wave11",IF(Overview!P5="JPN","対象外","excepted")))))</f>
        <v>･</v>
      </c>
      <c r="DA11" s="137"/>
    </row>
    <row r="12" spans="2:105" ht="9.75" customHeight="1">
      <c r="B12" s="135" t="str">
        <f>IF(ISBLANK(地震波!H14),"･",
IF(OR(DA$1="L1",DA$1="L1.5"),IF(OR(地震波!G14="L1",地震波!G14="L1&amp;L2"),"Wave12",IF(Overview!P5="JPN","対象外","excepted")),
IF(OR(DA$1="L2",DA$1="L3"),IF(OR(地震波!G14="L2",地震波!G14="L1&amp;L2"),"Wave12",IF(Overview!P5="JPN","対象外","excepted")),
IF(DA$1=地震波!G14,"Wave12",IF(Overview!P5="JPN","対象外","excepted")))))</f>
        <v>･</v>
      </c>
      <c r="DA12" s="137"/>
    </row>
    <row r="13" spans="2:105" ht="9.75" customHeight="1">
      <c r="B13" s="135" t="str">
        <f>IF(ISBLANK(地震波!H15),"･",
IF(OR(DA$1="L1",DA$1="L1.5"),IF(OR(地震波!G15="L1",地震波!G15="L1&amp;L2"),"Wave13",IF(Overview!P5="JPN","対象外","excepted")),
IF(OR(DA$1="L2",DA$1="L3"),IF(OR(地震波!G15="L2",地震波!G15="L1&amp;L2"),"Wave13",IF(Overview!P5="JPN","対象外","excepted")),
IF(DA$1=地震波!G15,"Wave13",IF(Overview!P5="JPN","対象外","excepted")))))</f>
        <v>･</v>
      </c>
      <c r="DA13" s="137"/>
    </row>
    <row r="14" spans="2:105" ht="9.75" customHeight="1">
      <c r="B14" s="135" t="str">
        <f>IF(ISBLANK(地震波!H16),"･",
IF(OR(DA$1="L1",DA$1="L1.5"),IF(OR(地震波!G16="L1",地震波!G16="L1&amp;L2"),"Wave14",IF(Overview!P5="JPN","対象外","excepted")),
IF(OR(DA$1="L2",DA$1="L3"),IF(OR(地震波!G16="L2",地震波!G16="L1&amp;L2"),"Wave14",IF(Overview!P5="JPN","対象外","excepted")),
IF(DA$1=地震波!G16,"Wave14",IF(Overview!P5="JPN","対象外","excepted")))))</f>
        <v>･</v>
      </c>
      <c r="DA14" s="137"/>
    </row>
    <row r="15" spans="2:105" ht="9.75" customHeight="1">
      <c r="B15" s="135" t="str">
        <f>IF(ISBLANK(地震波!H17),"･",
IF(OR(DA$1="L1",DA$1="L1.5"),IF(OR(地震波!G17="L1",地震波!G17="L1&amp;L2"),"Wave15",IF(Overview!P5="JPN","対象外","excepted")),
IF(OR(DA$1="L2",DA$1="L3"),IF(OR(地震波!G17="L2",地震波!G17="L1&amp;L2"),"Wave15",IF(Overview!P5="JPN","対象外","excepted")),
IF(DA$1=地震波!G17,"Wave15",IF(Overview!P5="JPN","対象外","excepted")))))</f>
        <v>･</v>
      </c>
      <c r="DA15" s="137"/>
    </row>
    <row r="16" spans="2:105" ht="9.75" customHeight="1">
      <c r="B16" s="135" t="str">
        <f>IF(ISBLANK(地震波!H18),"･",
IF(OR(DA$1="L1",DA$1="L1.5"),IF(OR(地震波!G18="L1",地震波!G18="L1&amp;L2"),"Wave16",IF(Overview!P5="JPN","対象外","excepted")),
IF(OR(DA$1="L2",DA$1="L3"),IF(OR(地震波!G18="L2",地震波!G18="L1&amp;L2"),"Wave16",IF(Overview!P5="JPN","対象外","excepted")),
IF(DA$1=地震波!G18,"Wave16",IF(Overview!P5="JPN","対象外","excepted")))))</f>
        <v>･</v>
      </c>
      <c r="DA16" s="137"/>
    </row>
    <row r="17" spans="1:105" ht="9.75" customHeight="1">
      <c r="B17" s="135" t="str">
        <f>IF(ISBLANK(地震波!H19),"･",
IF(OR(DA$1="L1",DA$1="L1.5"),IF(OR(地震波!G19="L1",地震波!G19="L1&amp;L2"),"Wave17",IF(Overview!P5="JPN","対象外","excepted")),
IF(OR(DA$1="L2",DA$1="L3"),IF(OR(地震波!G19="L2",地震波!G19="L1&amp;L2"),"Wave17",IF(Overview!P5="JPN","対象外","excepted")),
IF(DA$1=地震波!G19,"Wave17",IF(Overview!P5="JPN","対象外","excepted")))))</f>
        <v>･</v>
      </c>
      <c r="DA17" s="137"/>
    </row>
    <row r="18" spans="1:105" ht="9.75" customHeight="1">
      <c r="B18" s="135" t="str">
        <f>IF(ISBLANK(地震波!H20),"･",
IF(OR(DA$1="L1",DA$1="L1.5"),IF(OR(地震波!G20="L1",地震波!G20="L1&amp;L2"),"Wave18",IF(Overview!P5="JPN","対象外","excepted")),
IF(OR(DA$1="L2",DA$1="L3"),IF(OR(地震波!G20="L2",地震波!G20="L1&amp;L2"),"Wave18",IF(Overview!P5="JPN","対象外","excepted")),
IF(DA$1=地震波!G20,"Wave18",IF(Overview!P5="JPN","対象外","excepted")))))</f>
        <v>･</v>
      </c>
      <c r="DA18" s="137"/>
    </row>
    <row r="19" spans="1:105" ht="9.75" customHeight="1">
      <c r="B19" s="135" t="str">
        <f>IF(ISBLANK(地震波!H21),"･",
IF(OR(DA$1="L1",DA$1="L1.5"),IF(OR(地震波!G21="L1",地震波!G21="L1&amp;L2"),"Wave19",IF(Overview!P5="JPN","対象外","excepted")),
IF(OR(DA$1="L2",DA$1="L3"),IF(OR(地震波!G21="L2",地震波!G21="L1&amp;L2"),"Wave19",IF(Overview!P5="JPN","対象外","excepted")),
IF(DA$1=地震波!G21,"Wave19",IF(Overview!P5="JPN","対象外","excepted")))))</f>
        <v>･</v>
      </c>
      <c r="DA19" s="137"/>
    </row>
    <row r="20" spans="1:105" ht="9.75" customHeight="1">
      <c r="B20" s="135" t="str">
        <f>IF(ISBLANK(地震波!H22),"･",
IF(OR(DA$1="L1",DA$1="L1.5"),IF(OR(地震波!G22="L1",地震波!G22="L1&amp;L2"),"Wave20",IF(Overview!P5="JPN","対象外","excepted")),
IF(OR(DA$1="L2",DA$1="L3"),IF(OR(地震波!G22="L2",地震波!G22="L1&amp;L2"),"Wave20",IF(Overview!P5="JPN","対象外","excepted")),
IF(DA$1=地震波!G22,"Wave20",IF(Overview!P5="JPN","対象外","excepted")))))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"X方向最大応答 ("&amp;IF(MID(DA1,1,1)="L","レベル"&amp;MID(DA1,2,LEN(DA1)-1),DA1)&amp;"地震時｜"&amp;DA3&amp;")"</f>
        <v>X方向最大応答 (レベル2地震時｜状態1)</v>
      </c>
      <c r="B79" s="162"/>
      <c r="C79" s="162" t="str">
        <f>A79</f>
        <v>X方向最大応答 (レベル2地震時｜状態1)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E6CDF5F3-049C-46A8-ABED-9FCB8E568216}">
      <formula1>"状態1,状態2,状態3"</formula1>
    </dataValidation>
    <dataValidation type="list" allowBlank="1" showInputMessage="1" showErrorMessage="1" sqref="DA1:DA2" xr:uid="{E853BECC-C25F-484F-8B39-A27EF116F918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31F7-6748-440E-ABD8-DF0CC26CAAAE}">
  <sheetPr codeName="Sheet22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5" t="str">
        <f>IF(ISBLANK(地震波!H3),"･",
IF(OR(DA$1="L1",DA$1="L1.5"),IF(OR(地震波!G3="L1",地震波!G3="L1&amp;L2"),"Wave1",IF(Overview!P5="JPN","対象外","excepted")),
IF(OR(DA$1="L2",DA$1="L3"),IF(OR(地震波!G3="L2",地震波!G3="L1&amp;L2"),"Wave1",IF(Overview!P5="JPN","対象外","excepted")),
IF(DA$1=地震波!G3,"Wave1",IF(Overview!P5="JPN","対象外","excepted")))))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IF(ISBLANK(地震波!H4),"･",
IF(OR(DA$1="L1",DA$1="L1.5"),IF(OR(地震波!G4="L1",地震波!G4="L1&amp;L2"),"Wave2",IF(Overview!P5="JPN","対象外","excepted")),
IF(OR(DA$1="L2",DA$1="L3"),IF(OR(地震波!G4="L2",地震波!G4="L1&amp;L2"),"Wave2",IF(Overview!P5="JPN","対象外","excepted")),
IF(DA$1=地震波!G4,"Wave2",IF(Overview!P5="JPN","対象外","excepted")))))</f>
        <v>･</v>
      </c>
      <c r="DA2" s="164"/>
    </row>
    <row r="3" spans="2:105" ht="9.75" customHeight="1">
      <c r="B3" s="135" t="str">
        <f>IF(ISBLANK(地震波!H5),"･",
IF(OR(DA$1="L1",DA$1="L1.5"),IF(OR(地震波!G5="L1",地震波!G5="L1&amp;L2"),"Wave3",IF(Overview!P5="JPN","対象外","excepted")),
IF(OR(DA$1="L2",DA$1="L3"),IF(OR(地震波!G5="L2",地震波!G5="L1&amp;L2"),"Wave3",IF(Overview!P5="JPN","対象外","excepted")),
IF(DA$1=地震波!G5,"Wave3",IF(Overview!P5="JPN","対象外","excepted")))))</f>
        <v>･</v>
      </c>
      <c r="DA3" s="163" t="s">
        <v>225</v>
      </c>
    </row>
    <row r="4" spans="2:105" ht="9.75" customHeight="1">
      <c r="B4" s="135" t="str">
        <f>IF(ISBLANK(地震波!H6),"･",
IF(OR(DA$1="L1",DA$1="L1.5"),IF(OR(地震波!G6="L1",地震波!G6="L1&amp;L2"),"Wave4",IF(Overview!P5="JPN","対象外","excepted")),
IF(OR(DA$1="L2",DA$1="L3"),IF(OR(地震波!G6="L2",地震波!G6="L1&amp;L2"),"Wave4",IF(Overview!P5="JPN","対象外","excepted")),
IF(DA$1=地震波!G6,"Wave4",IF(Overview!P5="JPN","対象外","excepted")))))</f>
        <v>･</v>
      </c>
      <c r="DA4" s="164"/>
    </row>
    <row r="5" spans="2:105" ht="9.75" customHeight="1">
      <c r="B5" s="135" t="str">
        <f>IF(ISBLANK(地震波!H7),"･",
IF(OR(DA$1="L1",DA$1="L1.5"),IF(OR(地震波!G7="L1",地震波!G7="L1&amp;L2"),"Wave5",IF(Overview!P5="JPN","対象外","excepted")),
IF(OR(DA$1="L2",DA$1="L3"),IF(OR(地震波!G7="L2",地震波!G7="L1&amp;L2"),"Wave5",IF(Overview!P5="JPN","対象外","excepted")),
IF(DA$1=地震波!G7,"Wave5",IF(Overview!P5="JPN","対象外","excepted")))))</f>
        <v>･</v>
      </c>
      <c r="DA5" s="137"/>
    </row>
    <row r="6" spans="2:105" ht="9.75" customHeight="1">
      <c r="B6" s="135" t="str">
        <f>IF(ISBLANK(地震波!H8),"･",
IF(OR(DA$1="L1",DA$1="L1.5"),IF(OR(地震波!G8="L1",地震波!G8="L1&amp;L2"),"Wave6",IF(Overview!P5="JPN","対象外","excepted")),
IF(OR(DA$1="L2",DA$1="L3"),IF(OR(地震波!G8="L2",地震波!G8="L1&amp;L2"),"Wave6",IF(Overview!P5="JPN","対象外","excepted")),
IF(DA$1=地震波!G8,"Wave6",IF(Overview!P5="JPN","対象外","excepted")))))</f>
        <v>･</v>
      </c>
      <c r="DA6" s="137"/>
    </row>
    <row r="7" spans="2:105" ht="9.75" customHeight="1">
      <c r="B7" s="135" t="str">
        <f>IF(ISBLANK(地震波!H9),"･",
IF(OR(DA$1="L1",DA$1="L1.5"),IF(OR(地震波!G9="L1",地震波!G9="L1&amp;L2"),"Wave7",IF(Overview!P5="JPN","対象外","excepted")),
IF(OR(DA$1="L2",DA$1="L3"),IF(OR(地震波!G9="L2",地震波!G9="L1&amp;L2"),"Wave7",IF(Overview!P5="JPN","対象外","excepted")),
IF(DA$1=地震波!G9,"Wave7",IF(Overview!P5="JPN","対象外","excepted")))))</f>
        <v>･</v>
      </c>
      <c r="DA7" s="137"/>
    </row>
    <row r="8" spans="2:105" ht="9.75" customHeight="1">
      <c r="B8" s="135" t="str">
        <f>IF(ISBLANK(地震波!H10),"･",
IF(OR(DA$1="L1",DA$1="L1.5"),IF(OR(地震波!G10="L1",地震波!G10="L1&amp;L2"),"Wave8",IF(Overview!P5="JPN","対象外","excepted")),
IF(OR(DA$1="L2",DA$1="L3"),IF(OR(地震波!G10="L2",地震波!G10="L1&amp;L2"),"Wave8",IF(Overview!P5="JPN","対象外","excepted")),
IF(DA$1=地震波!G10,"Wave8",IF(Overview!P5="JPN","対象外","excepted")))))</f>
        <v>･</v>
      </c>
      <c r="DA8" s="137"/>
    </row>
    <row r="9" spans="2:105" ht="9.75" customHeight="1">
      <c r="B9" s="135" t="str">
        <f>IF(ISBLANK(地震波!H11),"･",
IF(OR(DA$1="L1",DA$1="L1.5"),IF(OR(地震波!G11="L1",地震波!G11="L1&amp;L2"),"Wave9",IF(Overview!P5="JPN","対象外","excepted")),
IF(OR(DA$1="L2",DA$1="L3"),IF(OR(地震波!G11="L2",地震波!G11="L1&amp;L2"),"Wave9",IF(Overview!P5="JPN","対象外","excepted")),
IF(DA$1=地震波!G11,"Wave9",IF(Overview!P5="JPN","対象外","excepted")))))</f>
        <v>･</v>
      </c>
      <c r="DA9" s="137"/>
    </row>
    <row r="10" spans="2:105" ht="9.75" customHeight="1">
      <c r="B10" s="135" t="str">
        <f>IF(ISBLANK(地震波!H12),"･",
IF(OR(DA$1="L1",DA$1="L1.5"),IF(OR(地震波!G12="L1",地震波!G12="L1&amp;L2"),"Wave10",IF(Overview!P5="JPN","対象外","excepted")),
IF(OR(DA$1="L2",DA$1="L3"),IF(OR(地震波!G12="L2",地震波!G12="L1&amp;L2"),"Wave10",IF(Overview!P5="JPN","対象外","excepted")),
IF(DA$1=地震波!G12,"Wave10",IF(Overview!P5="JPN","対象外","excepted")))))</f>
        <v>･</v>
      </c>
      <c r="DA10" s="137"/>
    </row>
    <row r="11" spans="2:105" ht="9.75" customHeight="1">
      <c r="B11" s="135" t="str">
        <f>IF(ISBLANK(地震波!H13),"･",
IF(OR(DA$1="L1",DA$1="L1.5"),IF(OR(地震波!G13="L1",地震波!G13="L1&amp;L2"),"Wave11",IF(Overview!P5="JPN","対象外","excepted")),
IF(OR(DA$1="L2",DA$1="L3"),IF(OR(地震波!G13="L2",地震波!G13="L1&amp;L2"),"Wave11",IF(Overview!P5="JPN","対象外","excepted")),
IF(DA$1=地震波!G13,"Wave11",IF(Overview!P5="JPN","対象外","excepted")))))</f>
        <v>･</v>
      </c>
      <c r="DA11" s="137"/>
    </row>
    <row r="12" spans="2:105" ht="9.75" customHeight="1">
      <c r="B12" s="135" t="str">
        <f>IF(ISBLANK(地震波!H14),"･",
IF(OR(DA$1="L1",DA$1="L1.5"),IF(OR(地震波!G14="L1",地震波!G14="L1&amp;L2"),"Wave12",IF(Overview!P5="JPN","対象外","excepted")),
IF(OR(DA$1="L2",DA$1="L3"),IF(OR(地震波!G14="L2",地震波!G14="L1&amp;L2"),"Wave12",IF(Overview!P5="JPN","対象外","excepted")),
IF(DA$1=地震波!G14,"Wave12",IF(Overview!P5="JPN","対象外","excepted")))))</f>
        <v>･</v>
      </c>
      <c r="DA12" s="137"/>
    </row>
    <row r="13" spans="2:105" ht="9.75" customHeight="1">
      <c r="B13" s="135" t="str">
        <f>IF(ISBLANK(地震波!H15),"･",
IF(OR(DA$1="L1",DA$1="L1.5"),IF(OR(地震波!G15="L1",地震波!G15="L1&amp;L2"),"Wave13",IF(Overview!P5="JPN","対象外","excepted")),
IF(OR(DA$1="L2",DA$1="L3"),IF(OR(地震波!G15="L2",地震波!G15="L1&amp;L2"),"Wave13",IF(Overview!P5="JPN","対象外","excepted")),
IF(DA$1=地震波!G15,"Wave13",IF(Overview!P5="JPN","対象外","excepted")))))</f>
        <v>･</v>
      </c>
      <c r="DA13" s="137"/>
    </row>
    <row r="14" spans="2:105" ht="9.75" customHeight="1">
      <c r="B14" s="135" t="str">
        <f>IF(ISBLANK(地震波!H16),"･",
IF(OR(DA$1="L1",DA$1="L1.5"),IF(OR(地震波!G16="L1",地震波!G16="L1&amp;L2"),"Wave14",IF(Overview!P5="JPN","対象外","excepted")),
IF(OR(DA$1="L2",DA$1="L3"),IF(OR(地震波!G16="L2",地震波!G16="L1&amp;L2"),"Wave14",IF(Overview!P5="JPN","対象外","excepted")),
IF(DA$1=地震波!G16,"Wave14",IF(Overview!P5="JPN","対象外","excepted")))))</f>
        <v>･</v>
      </c>
      <c r="DA14" s="137"/>
    </row>
    <row r="15" spans="2:105" ht="9.75" customHeight="1">
      <c r="B15" s="135" t="str">
        <f>IF(ISBLANK(地震波!H17),"･",
IF(OR(DA$1="L1",DA$1="L1.5"),IF(OR(地震波!G17="L1",地震波!G17="L1&amp;L2"),"Wave15",IF(Overview!P5="JPN","対象外","excepted")),
IF(OR(DA$1="L2",DA$1="L3"),IF(OR(地震波!G17="L2",地震波!G17="L1&amp;L2"),"Wave15",IF(Overview!P5="JPN","対象外","excepted")),
IF(DA$1=地震波!G17,"Wave15",IF(Overview!P5="JPN","対象外","excepted")))))</f>
        <v>･</v>
      </c>
      <c r="DA15" s="137"/>
    </row>
    <row r="16" spans="2:105" ht="9.75" customHeight="1">
      <c r="B16" s="135" t="str">
        <f>IF(ISBLANK(地震波!H18),"･",
IF(OR(DA$1="L1",DA$1="L1.5"),IF(OR(地震波!G18="L1",地震波!G18="L1&amp;L2"),"Wave16",IF(Overview!P5="JPN","対象外","excepted")),
IF(OR(DA$1="L2",DA$1="L3"),IF(OR(地震波!G18="L2",地震波!G18="L1&amp;L2"),"Wave16",IF(Overview!P5="JPN","対象外","excepted")),
IF(DA$1=地震波!G18,"Wave16",IF(Overview!P5="JPN","対象外","excepted")))))</f>
        <v>･</v>
      </c>
      <c r="DA16" s="137"/>
    </row>
    <row r="17" spans="1:105" ht="9.75" customHeight="1">
      <c r="B17" s="135" t="str">
        <f>IF(ISBLANK(地震波!H19),"･",
IF(OR(DA$1="L1",DA$1="L1.5"),IF(OR(地震波!G19="L1",地震波!G19="L1&amp;L2"),"Wave17",IF(Overview!P5="JPN","対象外","excepted")),
IF(OR(DA$1="L2",DA$1="L3"),IF(OR(地震波!G19="L2",地震波!G19="L1&amp;L2"),"Wave17",IF(Overview!P5="JPN","対象外","excepted")),
IF(DA$1=地震波!G19,"Wave17",IF(Overview!P5="JPN","対象外","excepted")))))</f>
        <v>･</v>
      </c>
      <c r="DA17" s="137"/>
    </row>
    <row r="18" spans="1:105" ht="9.75" customHeight="1">
      <c r="B18" s="135" t="str">
        <f>IF(ISBLANK(地震波!H20),"･",
IF(OR(DA$1="L1",DA$1="L1.5"),IF(OR(地震波!G20="L1",地震波!G20="L1&amp;L2"),"Wave18",IF(Overview!P5="JPN","対象外","excepted")),
IF(OR(DA$1="L2",DA$1="L3"),IF(OR(地震波!G20="L2",地震波!G20="L1&amp;L2"),"Wave18",IF(Overview!P5="JPN","対象外","excepted")),
IF(DA$1=地震波!G20,"Wave18",IF(Overview!P5="JPN","対象外","excepted")))))</f>
        <v>･</v>
      </c>
      <c r="DA18" s="137"/>
    </row>
    <row r="19" spans="1:105" ht="9.75" customHeight="1">
      <c r="B19" s="135" t="str">
        <f>IF(ISBLANK(地震波!H21),"･",
IF(OR(DA$1="L1",DA$1="L1.5"),IF(OR(地震波!G21="L1",地震波!G21="L1&amp;L2"),"Wave19",IF(Overview!P5="JPN","対象外","excepted")),
IF(OR(DA$1="L2",DA$1="L3"),IF(OR(地震波!G21="L2",地震波!G21="L1&amp;L2"),"Wave19",IF(Overview!P5="JPN","対象外","excepted")),
IF(DA$1=地震波!G21,"Wave19",IF(Overview!P5="JPN","対象外","excepted")))))</f>
        <v>･</v>
      </c>
      <c r="DA19" s="137"/>
    </row>
    <row r="20" spans="1:105" ht="9.75" customHeight="1">
      <c r="B20" s="135" t="str">
        <f>IF(ISBLANK(地震波!H22),"･",
IF(OR(DA$1="L1",DA$1="L1.5"),IF(OR(地震波!G22="L1",地震波!G22="L1&amp;L2"),"Wave20",IF(Overview!P5="JPN","対象外","excepted")),
IF(OR(DA$1="L2",DA$1="L3"),IF(OR(地震波!G22="L2",地震波!G22="L1&amp;L2"),"Wave20",IF(Overview!P5="JPN","対象外","excepted")),
IF(DA$1=地震波!G22,"Wave20",IF(Overview!P5="JPN","対象外","excepted")))))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"Y方向最大応答 ("&amp;IF(MID(DA1,1,1)="L","レベル"&amp;MID(DA1,2,LEN(DA1)-1),DA1)&amp;"地震時｜"&amp;DA3&amp;")"</f>
        <v>Y方向最大応答 (レベル2地震時｜状態1)</v>
      </c>
      <c r="B79" s="162"/>
      <c r="C79" s="162" t="str">
        <f>A79</f>
        <v>Y方向最大応答 (レベル2地震時｜状態1)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9A1F5238-BDB4-45E1-AF45-45C876B23ECC}">
      <formula1>"状態1,状態2,状態3"</formula1>
    </dataValidation>
    <dataValidation type="list" allowBlank="1" showInputMessage="1" showErrorMessage="1" sqref="DA1:DA2" xr:uid="{DC57FCD7-DC92-46F8-897E-BB85AF579A2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4B825-B29A-4DBE-9F25-E7C06B5AD3A3}">
  <sheetPr codeName="Sheet23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customWidth="1"/>
  </cols>
  <sheetData>
    <row r="1" spans="2:105" ht="9.75" customHeight="1">
      <c r="B1" s="135" t="str">
        <f>IF(ISBLANK(地震波!H3),"･",
IF(OR(DA$1="L1",DA$1="L1.5"),IF(OR(地震波!G3="L1",地震波!G3="L1&amp;L2"),"Wave1",IF(Overview!P5="JPN","対象外","excepted")),
IF(OR(DA$1="L2",DA$1="L3"),IF(OR(地震波!G3="L2",地震波!G3="L1&amp;L2"),"Wave1",IF(Overview!P5="JPN","対象外","excepted")),
IF(DA$1=地震波!G3,"Wave1",IF(Overview!P5="JPN","対象外","excepted")))))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IF(ISBLANK(地震波!H4),"･",
IF(OR(DA$1="L1",DA$1="L1.5"),IF(OR(地震波!G4="L1",地震波!G4="L1&amp;L2"),"Wave2",IF(Overview!P5="JPN","対象外","excepted")),
IF(OR(DA$1="L2",DA$1="L3"),IF(OR(地震波!G4="L2",地震波!G4="L1&amp;L2"),"Wave2",IF(Overview!P5="JPN","対象外","excepted")),
IF(DA$1=地震波!G4,"Wave2",IF(Overview!P5="JPN","対象外","excepted")))))</f>
        <v>･</v>
      </c>
      <c r="DA2" s="164"/>
    </row>
    <row r="3" spans="2:105" ht="9.75" customHeight="1">
      <c r="B3" s="135" t="str">
        <f>IF(ISBLANK(地震波!H5),"･",
IF(OR(DA$1="L1",DA$1="L1.5"),IF(OR(地震波!G5="L1",地震波!G5="L1&amp;L2"),"Wave3",IF(Overview!P5="JPN","対象外","excepted")),
IF(OR(DA$1="L2",DA$1="L3"),IF(OR(地震波!G5="L2",地震波!G5="L1&amp;L2"),"Wave3",IF(Overview!P5="JPN","対象外","excepted")),
IF(DA$1=地震波!G5,"Wave3",IF(Overview!P5="JPN","対象外","excepted")))))</f>
        <v>･</v>
      </c>
      <c r="DA3" s="163" t="s">
        <v>225</v>
      </c>
    </row>
    <row r="4" spans="2:105" ht="9.75" customHeight="1">
      <c r="B4" s="135" t="str">
        <f>IF(ISBLANK(地震波!H6),"･",
IF(OR(DA$1="L1",DA$1="L1.5"),IF(OR(地震波!G6="L1",地震波!G6="L1&amp;L2"),"Wave4",IF(Overview!P5="JPN","対象外","excepted")),
IF(OR(DA$1="L2",DA$1="L3"),IF(OR(地震波!G6="L2",地震波!G6="L1&amp;L2"),"Wave4",IF(Overview!P5="JPN","対象外","excepted")),
IF(DA$1=地震波!G6,"Wave4",IF(Overview!P5="JPN","対象外","excepted")))))</f>
        <v>･</v>
      </c>
      <c r="DA4" s="164"/>
    </row>
    <row r="5" spans="2:105" ht="9.75" customHeight="1">
      <c r="B5" s="135" t="str">
        <f>IF(ISBLANK(地震波!H7),"･",
IF(OR(DA$1="L1",DA$1="L1.5"),IF(OR(地震波!G7="L1",地震波!G7="L1&amp;L2"),"Wave5",IF(Overview!P5="JPN","対象外","excepted")),
IF(OR(DA$1="L2",DA$1="L3"),IF(OR(地震波!G7="L2",地震波!G7="L1&amp;L2"),"Wave5",IF(Overview!P5="JPN","対象外","excepted")),
IF(DA$1=地震波!G7,"Wave5",IF(Overview!P5="JPN","対象外","excepted")))))</f>
        <v>･</v>
      </c>
      <c r="DA5" s="137"/>
    </row>
    <row r="6" spans="2:105" ht="9.75" customHeight="1">
      <c r="B6" s="135" t="str">
        <f>IF(ISBLANK(地震波!H8),"･",
IF(OR(DA$1="L1",DA$1="L1.5"),IF(OR(地震波!G8="L1",地震波!G8="L1&amp;L2"),"Wave6",IF(Overview!P5="JPN","対象外","excepted")),
IF(OR(DA$1="L2",DA$1="L3"),IF(OR(地震波!G8="L2",地震波!G8="L1&amp;L2"),"Wave6",IF(Overview!P5="JPN","対象外","excepted")),
IF(DA$1=地震波!G8,"Wave6",IF(Overview!P5="JPN","対象外","excepted")))))</f>
        <v>･</v>
      </c>
      <c r="DA6" s="137"/>
    </row>
    <row r="7" spans="2:105" ht="9.75" customHeight="1">
      <c r="B7" s="135" t="str">
        <f>IF(ISBLANK(地震波!H9),"･",
IF(OR(DA$1="L1",DA$1="L1.5"),IF(OR(地震波!G9="L1",地震波!G9="L1&amp;L2"),"Wave7",IF(Overview!P5="JPN","対象外","excepted")),
IF(OR(DA$1="L2",DA$1="L3"),IF(OR(地震波!G9="L2",地震波!G9="L1&amp;L2"),"Wave7",IF(Overview!P5="JPN","対象外","excepted")),
IF(DA$1=地震波!G9,"Wave7",IF(Overview!P5="JPN","対象外","excepted")))))</f>
        <v>･</v>
      </c>
      <c r="DA7" s="137"/>
    </row>
    <row r="8" spans="2:105" ht="9.75" customHeight="1">
      <c r="B8" s="135" t="str">
        <f>IF(ISBLANK(地震波!H10),"･",
IF(OR(DA$1="L1",DA$1="L1.5"),IF(OR(地震波!G10="L1",地震波!G10="L1&amp;L2"),"Wave8",IF(Overview!P5="JPN","対象外","excepted")),
IF(OR(DA$1="L2",DA$1="L3"),IF(OR(地震波!G10="L2",地震波!G10="L1&amp;L2"),"Wave8",IF(Overview!P5="JPN","対象外","excepted")),
IF(DA$1=地震波!G10,"Wave8",IF(Overview!P5="JPN","対象外","excepted")))))</f>
        <v>･</v>
      </c>
      <c r="DA8" s="137"/>
    </row>
    <row r="9" spans="2:105" ht="9.75" customHeight="1">
      <c r="B9" s="135" t="str">
        <f>IF(ISBLANK(地震波!H11),"･",
IF(OR(DA$1="L1",DA$1="L1.5"),IF(OR(地震波!G11="L1",地震波!G11="L1&amp;L2"),"Wave9",IF(Overview!P5="JPN","対象外","excepted")),
IF(OR(DA$1="L2",DA$1="L3"),IF(OR(地震波!G11="L2",地震波!G11="L1&amp;L2"),"Wave9",IF(Overview!P5="JPN","対象外","excepted")),
IF(DA$1=地震波!G11,"Wave9",IF(Overview!P5="JPN","対象外","excepted")))))</f>
        <v>･</v>
      </c>
      <c r="DA9" s="137"/>
    </row>
    <row r="10" spans="2:105" ht="9.75" customHeight="1">
      <c r="B10" s="135" t="str">
        <f>IF(ISBLANK(地震波!H12),"･",
IF(OR(DA$1="L1",DA$1="L1.5"),IF(OR(地震波!G12="L1",地震波!G12="L1&amp;L2"),"Wave10",IF(Overview!P5="JPN","対象外","excepted")),
IF(OR(DA$1="L2",DA$1="L3"),IF(OR(地震波!G12="L2",地震波!G12="L1&amp;L2"),"Wave10",IF(Overview!P5="JPN","対象外","excepted")),
IF(DA$1=地震波!G12,"Wave10",IF(Overview!P5="JPN","対象外","excepted")))))</f>
        <v>･</v>
      </c>
      <c r="DA10" s="137"/>
    </row>
    <row r="11" spans="2:105" ht="9.75" customHeight="1">
      <c r="B11" s="135" t="str">
        <f>IF(ISBLANK(地震波!H13),"･",
IF(OR(DA$1="L1",DA$1="L1.5"),IF(OR(地震波!G13="L1",地震波!G13="L1&amp;L2"),"Wave11",IF(Overview!P5="JPN","対象外","excepted")),
IF(OR(DA$1="L2",DA$1="L3"),IF(OR(地震波!G13="L2",地震波!G13="L1&amp;L2"),"Wave11",IF(Overview!P5="JPN","対象外","excepted")),
IF(DA$1=地震波!G13,"Wave11",IF(Overview!P5="JPN","対象外","excepted")))))</f>
        <v>･</v>
      </c>
      <c r="DA11" s="137"/>
    </row>
    <row r="12" spans="2:105" ht="9.75" customHeight="1">
      <c r="B12" s="135" t="str">
        <f>IF(ISBLANK(地震波!H14),"･",
IF(OR(DA$1="L1",DA$1="L1.5"),IF(OR(地震波!G14="L1",地震波!G14="L1&amp;L2"),"Wave12",IF(Overview!P5="JPN","対象外","excepted")),
IF(OR(DA$1="L2",DA$1="L3"),IF(OR(地震波!G14="L2",地震波!G14="L1&amp;L2"),"Wave12",IF(Overview!P5="JPN","対象外","excepted")),
IF(DA$1=地震波!G14,"Wave12",IF(Overview!P5="JPN","対象外","excepted")))))</f>
        <v>･</v>
      </c>
      <c r="DA12" s="137"/>
    </row>
    <row r="13" spans="2:105" ht="9.75" customHeight="1">
      <c r="B13" s="135" t="str">
        <f>IF(ISBLANK(地震波!H15),"･",
IF(OR(DA$1="L1",DA$1="L1.5"),IF(OR(地震波!G15="L1",地震波!G15="L1&amp;L2"),"Wave13",IF(Overview!P5="JPN","対象外","excepted")),
IF(OR(DA$1="L2",DA$1="L3"),IF(OR(地震波!G15="L2",地震波!G15="L1&amp;L2"),"Wave13",IF(Overview!P5="JPN","対象外","excepted")),
IF(DA$1=地震波!G15,"Wave13",IF(Overview!P5="JPN","対象外","excepted")))))</f>
        <v>･</v>
      </c>
      <c r="DA13" s="137"/>
    </row>
    <row r="14" spans="2:105" ht="9.75" customHeight="1">
      <c r="B14" s="135" t="str">
        <f>IF(ISBLANK(地震波!H16),"･",
IF(OR(DA$1="L1",DA$1="L1.5"),IF(OR(地震波!G16="L1",地震波!G16="L1&amp;L2"),"Wave14",IF(Overview!P5="JPN","対象外","excepted")),
IF(OR(DA$1="L2",DA$1="L3"),IF(OR(地震波!G16="L2",地震波!G16="L1&amp;L2"),"Wave14",IF(Overview!P5="JPN","対象外","excepted")),
IF(DA$1=地震波!G16,"Wave14",IF(Overview!P5="JPN","対象外","excepted")))))</f>
        <v>･</v>
      </c>
      <c r="DA14" s="137"/>
    </row>
    <row r="15" spans="2:105" ht="9.75" customHeight="1">
      <c r="B15" s="135" t="str">
        <f>IF(ISBLANK(地震波!H17),"･",
IF(OR(DA$1="L1",DA$1="L1.5"),IF(OR(地震波!G17="L1",地震波!G17="L1&amp;L2"),"Wave15",IF(Overview!P5="JPN","対象外","excepted")),
IF(OR(DA$1="L2",DA$1="L3"),IF(OR(地震波!G17="L2",地震波!G17="L1&amp;L2"),"Wave15",IF(Overview!P5="JPN","対象外","excepted")),
IF(DA$1=地震波!G17,"Wave15",IF(Overview!P5="JPN","対象外","excepted")))))</f>
        <v>･</v>
      </c>
      <c r="DA15" s="137"/>
    </row>
    <row r="16" spans="2:105" ht="9.75" customHeight="1">
      <c r="B16" s="135" t="str">
        <f>IF(ISBLANK(地震波!H18),"･",
IF(OR(DA$1="L1",DA$1="L1.5"),IF(OR(地震波!G18="L1",地震波!G18="L1&amp;L2"),"Wave16",IF(Overview!P5="JPN","対象外","excepted")),
IF(OR(DA$1="L2",DA$1="L3"),IF(OR(地震波!G18="L2",地震波!G18="L1&amp;L2"),"Wave16",IF(Overview!P5="JPN","対象外","excepted")),
IF(DA$1=地震波!G18,"Wave16",IF(Overview!P5="JPN","対象外","excepted")))))</f>
        <v>･</v>
      </c>
      <c r="DA16" s="137"/>
    </row>
    <row r="17" spans="1:105" ht="9.75" customHeight="1">
      <c r="B17" s="135" t="str">
        <f>IF(ISBLANK(地震波!H19),"･",
IF(OR(DA$1="L1",DA$1="L1.5"),IF(OR(地震波!G19="L1",地震波!G19="L1&amp;L2"),"Wave17",IF(Overview!P5="JPN","対象外","excepted")),
IF(OR(DA$1="L2",DA$1="L3"),IF(OR(地震波!G19="L2",地震波!G19="L1&amp;L2"),"Wave17",IF(Overview!P5="JPN","対象外","excepted")),
IF(DA$1=地震波!G19,"Wave17",IF(Overview!P5="JPN","対象外","excepted")))))</f>
        <v>･</v>
      </c>
      <c r="DA17" s="137"/>
    </row>
    <row r="18" spans="1:105" ht="9.75" customHeight="1">
      <c r="B18" s="135" t="str">
        <f>IF(ISBLANK(地震波!H20),"･",
IF(OR(DA$1="L1",DA$1="L1.5"),IF(OR(地震波!G20="L1",地震波!G20="L1&amp;L2"),"Wave18",IF(Overview!P5="JPN","対象外","excepted")),
IF(OR(DA$1="L2",DA$1="L3"),IF(OR(地震波!G20="L2",地震波!G20="L1&amp;L2"),"Wave18",IF(Overview!P5="JPN","対象外","excepted")),
IF(DA$1=地震波!G20,"Wave18",IF(Overview!P5="JPN","対象外","excepted")))))</f>
        <v>･</v>
      </c>
      <c r="DA18" s="137"/>
    </row>
    <row r="19" spans="1:105" ht="9.75" customHeight="1">
      <c r="B19" s="135" t="str">
        <f>IF(ISBLANK(地震波!H21),"･",
IF(OR(DA$1="L1",DA$1="L1.5"),IF(OR(地震波!G21="L1",地震波!G21="L1&amp;L2"),"Wave19",IF(Overview!P5="JPN","対象外","excepted")),
IF(OR(DA$1="L2",DA$1="L3"),IF(OR(地震波!G21="L2",地震波!G21="L1&amp;L2"),"Wave19",IF(Overview!P5="JPN","対象外","excepted")),
IF(DA$1=地震波!G21,"Wave19",IF(Overview!P5="JPN","対象外","excepted")))))</f>
        <v>･</v>
      </c>
      <c r="DA19" s="137"/>
    </row>
    <row r="20" spans="1:105" ht="9.75" customHeight="1">
      <c r="B20" s="135" t="str">
        <f>IF(ISBLANK(地震波!H22),"･",
IF(OR(DA$1="L1",DA$1="L1.5"),IF(OR(地震波!G22="L1",地震波!G22="L1&amp;L2"),"Wave20",IF(Overview!P5="JPN","対象外","excepted")),
IF(OR(DA$1="L2",DA$1="L3"),IF(OR(地震波!G22="L2",地震波!G22="L1&amp;L2"),"Wave20",IF(Overview!P5="JPN","対象外","excepted")),
IF(DA$1=地震波!G22,"Wave20",IF(Overview!P5="JPN","対象外","excepted")))))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"U方向最大応答 ("&amp;IF(MID(DA1,1,1)="L","レベル"&amp;MID(DA1,2,LEN(DA1)-1),DA1)&amp;"地震時｜"&amp;DA3&amp;")"</f>
        <v>U方向最大応答 (レベル2地震時｜状態1)</v>
      </c>
      <c r="B79" s="162"/>
      <c r="C79" s="162" t="str">
        <f>A79</f>
        <v>U方向最大応答 (レベル2地震時｜状態1)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2BA70049-64CE-4326-9B13-27AE78F30505}">
      <formula1>"状態1,状態2,状態3"</formula1>
    </dataValidation>
    <dataValidation type="list" allowBlank="1" showInputMessage="1" showErrorMessage="1" sqref="DA1:DA2" xr:uid="{C86D9DB4-FF13-4CD3-B747-7CB7557B5BF9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9D98D-7CA2-41F3-A0EB-9768924A217F}">
  <sheetPr codeName="Sheet24"/>
  <dimension ref="A1:DA80"/>
  <sheetViews>
    <sheetView zoomScaleNormal="100" zoomScaleSheetLayoutView="100" workbookViewId="0"/>
  </sheetViews>
  <sheetFormatPr defaultColWidth="8.7109375" defaultRowHeight="9.75" customHeight="1"/>
  <cols>
    <col min="1" max="4" width="45.7109375" style="12" customWidth="1"/>
    <col min="5" max="104" width="8.7109375" hidden="1" customWidth="1"/>
    <col min="105" max="105" width="8.7109375" style="12" customWidth="1"/>
    <col min="106" max="132" width="8.7109375" style="136" customWidth="1"/>
    <col min="133" max="16384" width="8.7109375" style="136"/>
  </cols>
  <sheetData>
    <row r="1" spans="2:105" ht="9.75" customHeight="1">
      <c r="B1" s="135" t="str">
        <f>IF(ISBLANK(地震波!H3),"･",
IF(OR(DA$1="L1",DA$1="L1.5"),IF(OR(地震波!G3="L1",地震波!G3="L1&amp;L2"),"Wave1",IF(Overview!P5="JPN","対象外","excepted")),
IF(OR(DA$1="L2",DA$1="L3"),IF(OR(地震波!G3="L2",地震波!G3="L1&amp;L2"),"Wave1",IF(Overview!P5="JPN","対象外","excepted")),
IF(DA$1=地震波!G3,"Wave1",IF(Overview!P5="JPN","対象外","excepted")))))</f>
        <v>･</v>
      </c>
      <c r="DA1" s="163" t="s">
        <v>224</v>
      </c>
    </row>
    <row r="2" spans="2:105" ht="9.75" customHeight="1">
      <c r="B2" s="135" t="str">
        <f>IF(ISBLANK(地震波!H4),"･",
IF(OR(DA$1="L1",DA$1="L1.5"),IF(OR(地震波!G4="L1",地震波!G4="L1&amp;L2"),"Wave2",IF(Overview!P5="JPN","対象外","excepted")),
IF(OR(DA$1="L2",DA$1="L3"),IF(OR(地震波!G4="L2",地震波!G4="L1&amp;L2"),"Wave2",IF(Overview!P5="JPN","対象外","excepted")),
IF(DA$1=地震波!G4,"Wave2",IF(Overview!P5="JPN","対象外","excepted")))))</f>
        <v>･</v>
      </c>
      <c r="DA2" s="164"/>
    </row>
    <row r="3" spans="2:105" ht="9.75" customHeight="1">
      <c r="B3" s="135" t="str">
        <f>IF(ISBLANK(地震波!H5),"･",
IF(OR(DA$1="L1",DA$1="L1.5"),IF(OR(地震波!G5="L1",地震波!G5="L1&amp;L2"),"Wave3",IF(Overview!P5="JPN","対象外","excepted")),
IF(OR(DA$1="L2",DA$1="L3"),IF(OR(地震波!G5="L2",地震波!G5="L1&amp;L2"),"Wave3",IF(Overview!P5="JPN","対象外","excepted")),
IF(DA$1=地震波!G5,"Wave3",IF(Overview!P5="JPN","対象外","excepted")))))</f>
        <v>･</v>
      </c>
      <c r="DA3" s="163" t="s">
        <v>225</v>
      </c>
    </row>
    <row r="4" spans="2:105" ht="9.75" customHeight="1">
      <c r="B4" s="135" t="str">
        <f>IF(ISBLANK(地震波!H6),"･",
IF(OR(DA$1="L1",DA$1="L1.5"),IF(OR(地震波!G6="L1",地震波!G6="L1&amp;L2"),"Wave4",IF(Overview!P5="JPN","対象外","excepted")),
IF(OR(DA$1="L2",DA$1="L3"),IF(OR(地震波!G6="L2",地震波!G6="L1&amp;L2"),"Wave4",IF(Overview!P5="JPN","対象外","excepted")),
IF(DA$1=地震波!G6,"Wave4",IF(Overview!P5="JPN","対象外","excepted")))))</f>
        <v>･</v>
      </c>
      <c r="DA4" s="164"/>
    </row>
    <row r="5" spans="2:105" ht="9.75" customHeight="1">
      <c r="B5" s="135" t="str">
        <f>IF(ISBLANK(地震波!H7),"･",
IF(OR(DA$1="L1",DA$1="L1.5"),IF(OR(地震波!G7="L1",地震波!G7="L1&amp;L2"),"Wave5",IF(Overview!P5="JPN","対象外","excepted")),
IF(OR(DA$1="L2",DA$1="L3"),IF(OR(地震波!G7="L2",地震波!G7="L1&amp;L2"),"Wave5",IF(Overview!P5="JPN","対象外","excepted")),
IF(DA$1=地震波!G7,"Wave5",IF(Overview!P5="JPN","対象外","excepted")))))</f>
        <v>･</v>
      </c>
      <c r="DA5" s="137"/>
    </row>
    <row r="6" spans="2:105" ht="9.75" customHeight="1">
      <c r="B6" s="135" t="str">
        <f>IF(ISBLANK(地震波!H8),"･",
IF(OR(DA$1="L1",DA$1="L1.5"),IF(OR(地震波!G8="L1",地震波!G8="L1&amp;L2"),"Wave6",IF(Overview!P5="JPN","対象外","excepted")),
IF(OR(DA$1="L2",DA$1="L3"),IF(OR(地震波!G8="L2",地震波!G8="L1&amp;L2"),"Wave6",IF(Overview!P5="JPN","対象外","excepted")),
IF(DA$1=地震波!G8,"Wave6",IF(Overview!P5="JPN","対象外","excepted")))))</f>
        <v>･</v>
      </c>
      <c r="DA6" s="137"/>
    </row>
    <row r="7" spans="2:105" ht="9.75" customHeight="1">
      <c r="B7" s="135" t="str">
        <f>IF(ISBLANK(地震波!H9),"･",
IF(OR(DA$1="L1",DA$1="L1.5"),IF(OR(地震波!G9="L1",地震波!G9="L1&amp;L2"),"Wave7",IF(Overview!P5="JPN","対象外","excepted")),
IF(OR(DA$1="L2",DA$1="L3"),IF(OR(地震波!G9="L2",地震波!G9="L1&amp;L2"),"Wave7",IF(Overview!P5="JPN","対象外","excepted")),
IF(DA$1=地震波!G9,"Wave7",IF(Overview!P5="JPN","対象外","excepted")))))</f>
        <v>･</v>
      </c>
      <c r="DA7" s="137"/>
    </row>
    <row r="8" spans="2:105" ht="9.75" customHeight="1">
      <c r="B8" s="135" t="str">
        <f>IF(ISBLANK(地震波!H10),"･",
IF(OR(DA$1="L1",DA$1="L1.5"),IF(OR(地震波!G10="L1",地震波!G10="L1&amp;L2"),"Wave8",IF(Overview!P5="JPN","対象外","excepted")),
IF(OR(DA$1="L2",DA$1="L3"),IF(OR(地震波!G10="L2",地震波!G10="L1&amp;L2"),"Wave8",IF(Overview!P5="JPN","対象外","excepted")),
IF(DA$1=地震波!G10,"Wave8",IF(Overview!P5="JPN","対象外","excepted")))))</f>
        <v>･</v>
      </c>
      <c r="DA8" s="137"/>
    </row>
    <row r="9" spans="2:105" ht="9.75" customHeight="1">
      <c r="B9" s="135" t="str">
        <f>IF(ISBLANK(地震波!H11),"･",
IF(OR(DA$1="L1",DA$1="L1.5"),IF(OR(地震波!G11="L1",地震波!G11="L1&amp;L2"),"Wave9",IF(Overview!P5="JPN","対象外","excepted")),
IF(OR(DA$1="L2",DA$1="L3"),IF(OR(地震波!G11="L2",地震波!G11="L1&amp;L2"),"Wave9",IF(Overview!P5="JPN","対象外","excepted")),
IF(DA$1=地震波!G11,"Wave9",IF(Overview!P5="JPN","対象外","excepted")))))</f>
        <v>･</v>
      </c>
      <c r="DA9" s="137"/>
    </row>
    <row r="10" spans="2:105" ht="9.75" customHeight="1">
      <c r="B10" s="135" t="str">
        <f>IF(ISBLANK(地震波!H12),"･",
IF(OR(DA$1="L1",DA$1="L1.5"),IF(OR(地震波!G12="L1",地震波!G12="L1&amp;L2"),"Wave10",IF(Overview!P5="JPN","対象外","excepted")),
IF(OR(DA$1="L2",DA$1="L3"),IF(OR(地震波!G12="L2",地震波!G12="L1&amp;L2"),"Wave10",IF(Overview!P5="JPN","対象外","excepted")),
IF(DA$1=地震波!G12,"Wave10",IF(Overview!P5="JPN","対象外","excepted")))))</f>
        <v>･</v>
      </c>
      <c r="DA10" s="137"/>
    </row>
    <row r="11" spans="2:105" ht="9.75" customHeight="1">
      <c r="B11" s="135" t="str">
        <f>IF(ISBLANK(地震波!H13),"･",
IF(OR(DA$1="L1",DA$1="L1.5"),IF(OR(地震波!G13="L1",地震波!G13="L1&amp;L2"),"Wave11",IF(Overview!P5="JPN","対象外","excepted")),
IF(OR(DA$1="L2",DA$1="L3"),IF(OR(地震波!G13="L2",地震波!G13="L1&amp;L2"),"Wave11",IF(Overview!P5="JPN","対象外","excepted")),
IF(DA$1=地震波!G13,"Wave11",IF(Overview!P5="JPN","対象外","excepted")))))</f>
        <v>･</v>
      </c>
      <c r="DA11" s="137"/>
    </row>
    <row r="12" spans="2:105" ht="9.75" customHeight="1">
      <c r="B12" s="135" t="str">
        <f>IF(ISBLANK(地震波!H14),"･",
IF(OR(DA$1="L1",DA$1="L1.5"),IF(OR(地震波!G14="L1",地震波!G14="L1&amp;L2"),"Wave12",IF(Overview!P5="JPN","対象外","excepted")),
IF(OR(DA$1="L2",DA$1="L3"),IF(OR(地震波!G14="L2",地震波!G14="L1&amp;L2"),"Wave12",IF(Overview!P5="JPN","対象外","excepted")),
IF(DA$1=地震波!G14,"Wave12",IF(Overview!P5="JPN","対象外","excepted")))))</f>
        <v>･</v>
      </c>
      <c r="DA12" s="137"/>
    </row>
    <row r="13" spans="2:105" ht="9.75" customHeight="1">
      <c r="B13" s="135" t="str">
        <f>IF(ISBLANK(地震波!H15),"･",
IF(OR(DA$1="L1",DA$1="L1.5"),IF(OR(地震波!G15="L1",地震波!G15="L1&amp;L2"),"Wave13",IF(Overview!P5="JPN","対象外","excepted")),
IF(OR(DA$1="L2",DA$1="L3"),IF(OR(地震波!G15="L2",地震波!G15="L1&amp;L2"),"Wave13",IF(Overview!P5="JPN","対象外","excepted")),
IF(DA$1=地震波!G15,"Wave13",IF(Overview!P5="JPN","対象外","excepted")))))</f>
        <v>･</v>
      </c>
      <c r="DA13" s="137"/>
    </row>
    <row r="14" spans="2:105" ht="9.75" customHeight="1">
      <c r="B14" s="135" t="str">
        <f>IF(ISBLANK(地震波!H16),"･",
IF(OR(DA$1="L1",DA$1="L1.5"),IF(OR(地震波!G16="L1",地震波!G16="L1&amp;L2"),"Wave14",IF(Overview!P5="JPN","対象外","excepted")),
IF(OR(DA$1="L2",DA$1="L3"),IF(OR(地震波!G16="L2",地震波!G16="L1&amp;L2"),"Wave14",IF(Overview!P5="JPN","対象外","excepted")),
IF(DA$1=地震波!G16,"Wave14",IF(Overview!P5="JPN","対象外","excepted")))))</f>
        <v>･</v>
      </c>
      <c r="DA14" s="137"/>
    </row>
    <row r="15" spans="2:105" ht="9.75" customHeight="1">
      <c r="B15" s="135" t="str">
        <f>IF(ISBLANK(地震波!H17),"･",
IF(OR(DA$1="L1",DA$1="L1.5"),IF(OR(地震波!G17="L1",地震波!G17="L1&amp;L2"),"Wave15",IF(Overview!P5="JPN","対象外","excepted")),
IF(OR(DA$1="L2",DA$1="L3"),IF(OR(地震波!G17="L2",地震波!G17="L1&amp;L2"),"Wave15",IF(Overview!P5="JPN","対象外","excepted")),
IF(DA$1=地震波!G17,"Wave15",IF(Overview!P5="JPN","対象外","excepted")))))</f>
        <v>･</v>
      </c>
      <c r="DA15" s="137"/>
    </row>
    <row r="16" spans="2:105" ht="9.75" customHeight="1">
      <c r="B16" s="135" t="str">
        <f>IF(ISBLANK(地震波!H18),"･",
IF(OR(DA$1="L1",DA$1="L1.5"),IF(OR(地震波!G18="L1",地震波!G18="L1&amp;L2"),"Wave16",IF(Overview!P5="JPN","対象外","excepted")),
IF(OR(DA$1="L2",DA$1="L3"),IF(OR(地震波!G18="L2",地震波!G18="L1&amp;L2"),"Wave16",IF(Overview!P5="JPN","対象外","excepted")),
IF(DA$1=地震波!G18,"Wave16",IF(Overview!P5="JPN","対象外","excepted")))))</f>
        <v>･</v>
      </c>
      <c r="DA16" s="137"/>
    </row>
    <row r="17" spans="1:105" ht="9.75" customHeight="1">
      <c r="B17" s="135" t="str">
        <f>IF(ISBLANK(地震波!H19),"･",
IF(OR(DA$1="L1",DA$1="L1.5"),IF(OR(地震波!G19="L1",地震波!G19="L1&amp;L2"),"Wave17",IF(Overview!P5="JPN","対象外","excepted")),
IF(OR(DA$1="L2",DA$1="L3"),IF(OR(地震波!G19="L2",地震波!G19="L1&amp;L2"),"Wave17",IF(Overview!P5="JPN","対象外","excepted")),
IF(DA$1=地震波!G19,"Wave17",IF(Overview!P5="JPN","対象外","excepted")))))</f>
        <v>･</v>
      </c>
      <c r="DA17" s="137"/>
    </row>
    <row r="18" spans="1:105" ht="9.75" customHeight="1">
      <c r="B18" s="135" t="str">
        <f>IF(ISBLANK(地震波!H20),"･",
IF(OR(DA$1="L1",DA$1="L1.5"),IF(OR(地震波!G20="L1",地震波!G20="L1&amp;L2"),"Wave18",IF(Overview!P5="JPN","対象外","excepted")),
IF(OR(DA$1="L2",DA$1="L3"),IF(OR(地震波!G20="L2",地震波!G20="L1&amp;L2"),"Wave18",IF(Overview!P5="JPN","対象外","excepted")),
IF(DA$1=地震波!G20,"Wave18",IF(Overview!P5="JPN","対象外","excepted")))))</f>
        <v>･</v>
      </c>
      <c r="DA18" s="137"/>
    </row>
    <row r="19" spans="1:105" ht="9.75" customHeight="1">
      <c r="B19" s="135" t="str">
        <f>IF(ISBLANK(地震波!H21),"･",
IF(OR(DA$1="L1",DA$1="L1.5"),IF(OR(地震波!G21="L1",地震波!G21="L1&amp;L2"),"Wave19",IF(Overview!P5="JPN","対象外","excepted")),
IF(OR(DA$1="L2",DA$1="L3"),IF(OR(地震波!G21="L2",地震波!G21="L1&amp;L2"),"Wave19",IF(Overview!P5="JPN","対象外","excepted")),
IF(DA$1=地震波!G21,"Wave19",IF(Overview!P5="JPN","対象外","excepted")))))</f>
        <v>･</v>
      </c>
      <c r="DA19" s="137"/>
    </row>
    <row r="20" spans="1:105" ht="9.75" customHeight="1">
      <c r="B20" s="135" t="str">
        <f>IF(ISBLANK(地震波!H22),"･",
IF(OR(DA$1="L1",DA$1="L1.5"),IF(OR(地震波!G22="L1",地震波!G22="L1&amp;L2"),"Wave20",IF(Overview!P5="JPN","対象外","excepted")),
IF(OR(DA$1="L2",DA$1="L3"),IF(OR(地震波!G22="L2",地震波!G22="L1&amp;L2"),"Wave20",IF(Overview!P5="JPN","対象外","excepted")),
IF(DA$1=地震波!G22,"Wave20",IF(Overview!P5="JPN","対象外","excepted")))))</f>
        <v>･</v>
      </c>
      <c r="DA20" s="137"/>
    </row>
    <row r="21" spans="1:105" ht="9.75" customHeight="1">
      <c r="DA21" s="137"/>
    </row>
    <row r="22" spans="1:105" ht="9.75" customHeight="1">
      <c r="DA22" s="137"/>
    </row>
    <row r="23" spans="1:105" ht="9.75" customHeight="1">
      <c r="A23" s="162" t="s">
        <v>157</v>
      </c>
      <c r="B23" s="162" t="s">
        <v>150</v>
      </c>
      <c r="DA23" s="137"/>
    </row>
    <row r="24" spans="1:105" ht="9.75" customHeight="1">
      <c r="A24" s="162"/>
      <c r="B24" s="162"/>
      <c r="DA24" s="137"/>
    </row>
    <row r="26" spans="1:105" ht="9.75" customHeight="1">
      <c r="DA26" s="114"/>
    </row>
    <row r="41" spans="1:105" ht="9.75" customHeight="1">
      <c r="A41" s="162" t="str">
        <f>"(1) 加速度(cm/sec"&amp;_xlfn.UNICHAR(178)&amp;")"</f>
        <v>(1) 加速度(cm/sec²)</v>
      </c>
      <c r="B41" s="162" t="s">
        <v>200</v>
      </c>
      <c r="C41" s="162" t="s">
        <v>152</v>
      </c>
      <c r="D41" s="162" t="s">
        <v>153</v>
      </c>
    </row>
    <row r="42" spans="1:105" ht="9.75" customHeight="1">
      <c r="A42" s="162"/>
      <c r="B42" s="162"/>
      <c r="C42" s="162"/>
      <c r="D42" s="162"/>
    </row>
    <row r="47" spans="1:105" ht="9.75" customHeight="1">
      <c r="DA47" s="114"/>
    </row>
    <row r="48" spans="1:105" ht="9.75" customHeight="1">
      <c r="DA48" s="114"/>
    </row>
    <row r="49" spans="1:105" ht="9.75" customHeight="1">
      <c r="DA49" s="114"/>
    </row>
    <row r="59" spans="1:105" ht="9.75" customHeight="1">
      <c r="A59" s="162" t="s">
        <v>152</v>
      </c>
      <c r="B59" s="162" t="s">
        <v>154</v>
      </c>
    </row>
    <row r="60" spans="1:105" ht="9.75" customHeight="1">
      <c r="A60" s="162"/>
      <c r="B60" s="162"/>
    </row>
    <row r="77" spans="1:4" ht="9.75" customHeight="1">
      <c r="A77" s="162" t="s">
        <v>201</v>
      </c>
      <c r="B77" s="162" t="s">
        <v>151</v>
      </c>
      <c r="C77" s="162" t="s">
        <v>155</v>
      </c>
      <c r="D77" s="162" t="s">
        <v>156</v>
      </c>
    </row>
    <row r="78" spans="1:4" ht="9.75" customHeight="1">
      <c r="A78" s="162"/>
      <c r="B78" s="162"/>
      <c r="C78" s="162"/>
      <c r="D78" s="162"/>
    </row>
    <row r="79" spans="1:4" ht="9.75" customHeight="1">
      <c r="A79" s="162" t="str">
        <f>"V方向最大応答 ("&amp;IF(MID(DA1,1,1)="L","レベル"&amp;MID(DA1,2,LEN(DA1)-1),DA1)&amp;"地震時｜"&amp;DA3&amp;")"</f>
        <v>V方向最大応答 (レベル2地震時｜状態1)</v>
      </c>
      <c r="B79" s="162"/>
      <c r="C79" s="162" t="str">
        <f>A79</f>
        <v>V方向最大応答 (レベル2地震時｜状態1)</v>
      </c>
      <c r="D79" s="162"/>
    </row>
    <row r="80" spans="1:4" ht="9.75" customHeight="1">
      <c r="A80" s="162"/>
      <c r="B80" s="162"/>
      <c r="C80" s="162"/>
      <c r="D80" s="162"/>
    </row>
  </sheetData>
  <sheetProtection formatCells="0" formatColumns="0" formatRows="0" insertColumns="0" insertRows="0" insertHyperlinks="0" deleteColumns="0" deleteRows="0" sort="0" autoFilter="0" pivotTables="0"/>
  <mergeCells count="16">
    <mergeCell ref="A79:B80"/>
    <mergeCell ref="A59:A60"/>
    <mergeCell ref="B59:B60"/>
    <mergeCell ref="A77:A78"/>
    <mergeCell ref="B77:B78"/>
    <mergeCell ref="A23:A24"/>
    <mergeCell ref="B23:B24"/>
    <mergeCell ref="A41:A42"/>
    <mergeCell ref="B41:B42"/>
    <mergeCell ref="C41:C42"/>
    <mergeCell ref="C79:D80"/>
    <mergeCell ref="C77:C78"/>
    <mergeCell ref="D77:D78"/>
    <mergeCell ref="DA1:DA2"/>
    <mergeCell ref="DA3:DA4"/>
    <mergeCell ref="D41:D42"/>
  </mergeCells>
  <phoneticPr fontId="1"/>
  <dataValidations count="2">
    <dataValidation type="list" allowBlank="1" showInputMessage="1" showErrorMessage="1" sqref="DA3" xr:uid="{DCB43725-9333-4695-89D2-73BD95911F91}">
      <formula1>"状態1,状態2,状態3"</formula1>
    </dataValidation>
    <dataValidation type="list" allowBlank="1" showInputMessage="1" showErrorMessage="1" sqref="DA1:DA2" xr:uid="{22E3C7BC-E0B3-406C-8CF0-7CCFCB1BCFBE}">
      <formula1>"L1,L2,L1.5,L3"</formula1>
    </dataValidation>
  </dataValidations>
  <pageMargins left="0.92519685039370081" right="0.92519685039370081" top="0.83858267716535417" bottom="0.83858267716535417" header="0" footer="0"/>
  <pageSetup paperSize="9" orientation="portrait" r:id="rId1"/>
  <drawing r:id="rId2"/>
</worksheet>
</file>

<file path=customUI/_rels/customUI14.xml.rels><?xml version="1.0" encoding="UTF-8" standalone="yes"?>
<Relationships xmlns="http://schemas.openxmlformats.org/package/2006/relationships"><Relationship Id="F3T" Type="http://schemas.openxmlformats.org/officeDocument/2006/relationships/image" Target="images/de898479ec50df78d8d859b7f851a5f6_xo.ico"/></Relationships>
</file>

<file path=customUI/customUI14.xml><?xml version="1.0" encoding="utf-8"?>
<customUI xmlns="http://schemas.microsoft.com/office/2009/07/customui">
  <ribbon startFromScratch="false">
    <tabs>
      <tab id="Analysis" label="解析">
        <group id="EigenvalueAnalysisGroup" label="固有値解析">
          <button id="EigenvalueAnalysis" label="実行" imageMso="MacroPlay" size="large" onAction="EigenvalueAnalysis"/>
        </group>
        <group id="SetupWaveGroup" label="地震波読込">
          <button id="SetupWave" label="実行" imageMso="MacroPlay" size="large" onAction="SetupWave"/>
        </group>
        <group id="ResponseAnalysisGroup" label="時刻歴応答解析">
          <button id="ResponseAnalysis" label="実行" imageMso="MacroPlay" size="large" onAction="ResponseAnalysis"/>
          <button id="AdjustGraphForLowBuilding" label="グラフ調整 低層用" imageMso="ShapeLeftArrow" size="large" onAction="AdjustGraphForLowBuilding"/>
          <button id="AdjustGraphForHighBuilding" label="グラフ調整 高層用" imageMso="ShapeRightArrow" size="large" onAction="AdjustGraphForHighBuilding"/>
        </group>
        <group id="ProgramGroup" label="入力ファイル生成">
          <button id="RunSequenceF3T" label="実行" image="F3T" size="large" onAction="RunSequenceF3T"/>
        </group>
        <group id="ImportExportGroup" label="Excel入力情報">
          <button id="ImportCsv" label="csv&#10;→ Excel" imageMso="Import" size="large" onAction="ImportCsv"/>
          <button id="ExportCsv" label="Excel&#10;→ csv" imageMso="Export" size="large" onAction="ExportCsv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5</vt:i4>
      </vt:variant>
    </vt:vector>
  </HeadingPairs>
  <TitlesOfParts>
    <vt:vector size="14" baseType="lpstr">
      <vt:lpstr>概要</vt:lpstr>
      <vt:lpstr>固有値</vt:lpstr>
      <vt:lpstr>解析条件</vt:lpstr>
      <vt:lpstr>免震部材</vt:lpstr>
      <vt:lpstr>地震波</vt:lpstr>
      <vt:lpstr>X方向</vt:lpstr>
      <vt:lpstr>Y方向</vt:lpstr>
      <vt:lpstr>U方向</vt:lpstr>
      <vt:lpstr>V方向</vt:lpstr>
      <vt:lpstr>U方向!Print_Area</vt:lpstr>
      <vt:lpstr>V方向!Print_Area</vt:lpstr>
      <vt:lpstr>X方向!Print_Area</vt:lpstr>
      <vt:lpstr>Y方向!Print_Area</vt:lpstr>
      <vt:lpstr>固有値!Print_Area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excel-dynamic-analysis.com</dc:creator>
  <cp:lastModifiedBy>柳濟晟</cp:lastModifiedBy>
  <cp:lastPrinted>2026-10-11T00:49:19Z</cp:lastPrinted>
  <dcterms:created xsi:type="dcterms:W3CDTF">2026-10-02T03:50:24Z</dcterms:created>
  <dcterms:modified xsi:type="dcterms:W3CDTF">2026-10-18T15:26:47Z</dcterms:modified>
</cp:coreProperties>
</file>